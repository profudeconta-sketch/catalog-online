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Elev\Desktop\CLASA IXA TURISM\CATALOG\"/>
    </mc:Choice>
  </mc:AlternateContent>
  <xr:revisionPtr revIDLastSave="0" documentId="13_ncr:1_{876BFCBD-9DCF-42A2-AFDD-495F4B4F941C}" xr6:coauthVersionLast="36" xr6:coauthVersionMax="36" xr10:uidLastSave="{00000000-0000-0000-0000-000000000000}"/>
  <bookViews>
    <workbookView xWindow="0" yWindow="0" windowWidth="23040" windowHeight="8940" activeTab="1" xr2:uid="{00000000-000D-0000-FFFF-FFFF00000000}"/>
  </bookViews>
  <sheets>
    <sheet name="Centralizator Medii" sheetId="1" r:id="rId1"/>
    <sheet name="Cultură Generală" sheetId="2" r:id="rId2"/>
    <sheet name="Module Tehnologice" sheetId="3" r:id="rId3"/>
    <sheet name="Absențe &amp; Purtare" sheetId="4" r:id="rId4"/>
    <sheet name="Fișă Individuală Elev" sheetId="5" r:id="rId5"/>
    <sheet name="Adeverință Elev" sheetId="6" r:id="rId6"/>
    <sheet name="Raport Diriginte" sheetId="7" r:id="rId7"/>
  </sheets>
  <calcPr calcId="191029"/>
</workbook>
</file>

<file path=xl/calcChain.xml><?xml version="1.0" encoding="utf-8"?>
<calcChain xmlns="http://schemas.openxmlformats.org/spreadsheetml/2006/main">
  <c r="A6" i="7" l="1"/>
  <c r="B13" i="6"/>
  <c r="B11" i="6"/>
  <c r="H5" i="5"/>
  <c r="E5" i="5"/>
  <c r="E4" i="5"/>
  <c r="EC40" i="3"/>
  <c r="EB40" i="3"/>
  <c r="DS40" i="3"/>
  <c r="DH40" i="3"/>
  <c r="DG40" i="3"/>
  <c r="CX40" i="3"/>
  <c r="CM40" i="3"/>
  <c r="CL40" i="3"/>
  <c r="CC40" i="3"/>
  <c r="BR40" i="3"/>
  <c r="BQ40" i="3"/>
  <c r="BH40" i="3"/>
  <c r="AW40" i="3"/>
  <c r="AV40" i="3"/>
  <c r="G40" i="3" s="1"/>
  <c r="AM40" i="3"/>
  <c r="AB40" i="3"/>
  <c r="F40" i="3" s="1"/>
  <c r="AA40" i="3"/>
  <c r="R40" i="3"/>
  <c r="E40" i="3" s="1"/>
  <c r="F40" i="1" s="1"/>
  <c r="EC39" i="3"/>
  <c r="EB39" i="3"/>
  <c r="DS39" i="3"/>
  <c r="DH39" i="3"/>
  <c r="DG39" i="3"/>
  <c r="CX39" i="3"/>
  <c r="CM39" i="3"/>
  <c r="CL39" i="3"/>
  <c r="CC39" i="3"/>
  <c r="BR39" i="3"/>
  <c r="BQ39" i="3"/>
  <c r="BH39" i="3"/>
  <c r="AW39" i="3"/>
  <c r="F39" i="3" s="1"/>
  <c r="AV39" i="3"/>
  <c r="AM39" i="3"/>
  <c r="E39" i="3" s="1"/>
  <c r="F39" i="1" s="1"/>
  <c r="AB39" i="3"/>
  <c r="AA39" i="3"/>
  <c r="R39" i="3"/>
  <c r="G39" i="3"/>
  <c r="EC38" i="3"/>
  <c r="EB38" i="3"/>
  <c r="DS38" i="3"/>
  <c r="DH38" i="3"/>
  <c r="DG38" i="3"/>
  <c r="CX38" i="3"/>
  <c r="CM38" i="3"/>
  <c r="CL38" i="3"/>
  <c r="CC38" i="3"/>
  <c r="BR38" i="3"/>
  <c r="BQ38" i="3"/>
  <c r="BH38" i="3"/>
  <c r="AW38" i="3"/>
  <c r="AV38" i="3"/>
  <c r="G38" i="3" s="1"/>
  <c r="AM38" i="3"/>
  <c r="AB38" i="3"/>
  <c r="AA38" i="3"/>
  <c r="R38" i="3"/>
  <c r="E38" i="3" s="1"/>
  <c r="F38" i="1" s="1"/>
  <c r="F38" i="3"/>
  <c r="EC37" i="3"/>
  <c r="EB37" i="3"/>
  <c r="DS37" i="3"/>
  <c r="DH37" i="3"/>
  <c r="DG37" i="3"/>
  <c r="CX37" i="3"/>
  <c r="CM37" i="3"/>
  <c r="CL37" i="3"/>
  <c r="CC37" i="3"/>
  <c r="BR37" i="3"/>
  <c r="BQ37" i="3"/>
  <c r="BH37" i="3"/>
  <c r="AW37" i="3"/>
  <c r="F37" i="3" s="1"/>
  <c r="AV37" i="3"/>
  <c r="AM37" i="3"/>
  <c r="AB37" i="3"/>
  <c r="AA37" i="3"/>
  <c r="R37" i="3"/>
  <c r="G37" i="3"/>
  <c r="E37" i="3"/>
  <c r="F37" i="1" s="1"/>
  <c r="EC36" i="3"/>
  <c r="EB36" i="3"/>
  <c r="DS36" i="3"/>
  <c r="DH36" i="3"/>
  <c r="DG36" i="3"/>
  <c r="CX36" i="3"/>
  <c r="CM36" i="3"/>
  <c r="CL36" i="3"/>
  <c r="CC36" i="3"/>
  <c r="BR36" i="3"/>
  <c r="BQ36" i="3"/>
  <c r="BH36" i="3"/>
  <c r="AW36" i="3"/>
  <c r="AV36" i="3"/>
  <c r="G36" i="3" s="1"/>
  <c r="AM36" i="3"/>
  <c r="AB36" i="3"/>
  <c r="F36" i="3" s="1"/>
  <c r="AA36" i="3"/>
  <c r="R36" i="3"/>
  <c r="E36" i="3" s="1"/>
  <c r="F36" i="1" s="1"/>
  <c r="EC35" i="3"/>
  <c r="EB35" i="3"/>
  <c r="DS35" i="3"/>
  <c r="DH35" i="3"/>
  <c r="DG35" i="3"/>
  <c r="CX35" i="3"/>
  <c r="CM35" i="3"/>
  <c r="CL35" i="3"/>
  <c r="CC35" i="3"/>
  <c r="BR35" i="3"/>
  <c r="BQ35" i="3"/>
  <c r="BH35" i="3"/>
  <c r="AW35" i="3"/>
  <c r="F35" i="3" s="1"/>
  <c r="AV35" i="3"/>
  <c r="AM35" i="3"/>
  <c r="E35" i="3" s="1"/>
  <c r="F35" i="1" s="1"/>
  <c r="AB35" i="3"/>
  <c r="AA35" i="3"/>
  <c r="R35" i="3"/>
  <c r="G35" i="3"/>
  <c r="EC34" i="3"/>
  <c r="EB34" i="3"/>
  <c r="DS34" i="3"/>
  <c r="DH34" i="3"/>
  <c r="DG34" i="3"/>
  <c r="CX34" i="3"/>
  <c r="CM34" i="3"/>
  <c r="CL34" i="3"/>
  <c r="CC34" i="3"/>
  <c r="BR34" i="3"/>
  <c r="BQ34" i="3"/>
  <c r="BH34" i="3"/>
  <c r="AW34" i="3"/>
  <c r="AV34" i="3"/>
  <c r="G34" i="3" s="1"/>
  <c r="AM34" i="3"/>
  <c r="AB34" i="3"/>
  <c r="AA34" i="3"/>
  <c r="R34" i="3"/>
  <c r="E34" i="3" s="1"/>
  <c r="F34" i="1" s="1"/>
  <c r="F34" i="3"/>
  <c r="EC33" i="3"/>
  <c r="EB33" i="3"/>
  <c r="DS33" i="3"/>
  <c r="DH33" i="3"/>
  <c r="DG33" i="3"/>
  <c r="CX33" i="3"/>
  <c r="CM33" i="3"/>
  <c r="CL33" i="3"/>
  <c r="CC33" i="3"/>
  <c r="BR33" i="3"/>
  <c r="BQ33" i="3"/>
  <c r="BH33" i="3"/>
  <c r="AW33" i="3"/>
  <c r="F33" i="3" s="1"/>
  <c r="AV33" i="3"/>
  <c r="AM33" i="3"/>
  <c r="AB33" i="3"/>
  <c r="AA33" i="3"/>
  <c r="R33" i="3"/>
  <c r="G33" i="3"/>
  <c r="E33" i="3"/>
  <c r="F33" i="1" s="1"/>
  <c r="EC32" i="3"/>
  <c r="EB32" i="3"/>
  <c r="DS32" i="3"/>
  <c r="DH32" i="3"/>
  <c r="DG32" i="3"/>
  <c r="CX32" i="3"/>
  <c r="CM32" i="3"/>
  <c r="CL32" i="3"/>
  <c r="CC32" i="3"/>
  <c r="BR32" i="3"/>
  <c r="BQ32" i="3"/>
  <c r="BH32" i="3"/>
  <c r="AW32" i="3"/>
  <c r="AV32" i="3"/>
  <c r="G32" i="3" s="1"/>
  <c r="AM32" i="3"/>
  <c r="AB32" i="3"/>
  <c r="F32" i="3" s="1"/>
  <c r="AA32" i="3"/>
  <c r="R32" i="3"/>
  <c r="E32" i="3" s="1"/>
  <c r="EC31" i="3"/>
  <c r="EB31" i="3"/>
  <c r="DS31" i="3"/>
  <c r="DH31" i="3"/>
  <c r="DG31" i="3"/>
  <c r="CX31" i="3"/>
  <c r="CM31" i="3"/>
  <c r="CL31" i="3"/>
  <c r="CC31" i="3"/>
  <c r="BR31" i="3"/>
  <c r="BQ31" i="3"/>
  <c r="BH31" i="3"/>
  <c r="AW31" i="3"/>
  <c r="F31" i="3" s="1"/>
  <c r="AV31" i="3"/>
  <c r="AM31" i="3"/>
  <c r="E31" i="3" s="1"/>
  <c r="F31" i="1" s="1"/>
  <c r="AB31" i="3"/>
  <c r="AA31" i="3"/>
  <c r="R31" i="3"/>
  <c r="G31" i="3"/>
  <c r="EC30" i="3"/>
  <c r="EB30" i="3"/>
  <c r="DS30" i="3"/>
  <c r="DH30" i="3"/>
  <c r="DG30" i="3"/>
  <c r="CX30" i="3"/>
  <c r="CM30" i="3"/>
  <c r="CL30" i="3"/>
  <c r="CC30" i="3"/>
  <c r="BR30" i="3"/>
  <c r="BQ30" i="3"/>
  <c r="BH30" i="3"/>
  <c r="AW30" i="3"/>
  <c r="AV30" i="3"/>
  <c r="G30" i="3" s="1"/>
  <c r="AM30" i="3"/>
  <c r="AB30" i="3"/>
  <c r="AA30" i="3"/>
  <c r="R30" i="3"/>
  <c r="E30" i="3" s="1"/>
  <c r="F30" i="3"/>
  <c r="EC29" i="3"/>
  <c r="EB29" i="3"/>
  <c r="DS29" i="3"/>
  <c r="DH29" i="3"/>
  <c r="DG29" i="3"/>
  <c r="CX29" i="3"/>
  <c r="CM29" i="3"/>
  <c r="CL29" i="3"/>
  <c r="CC29" i="3"/>
  <c r="BR29" i="3"/>
  <c r="BQ29" i="3"/>
  <c r="BH29" i="3"/>
  <c r="AW29" i="3"/>
  <c r="F29" i="3" s="1"/>
  <c r="AV29" i="3"/>
  <c r="AM29" i="3"/>
  <c r="AB29" i="3"/>
  <c r="AA29" i="3"/>
  <c r="R29" i="3"/>
  <c r="G29" i="3"/>
  <c r="E29" i="3"/>
  <c r="EC28" i="3"/>
  <c r="EB28" i="3"/>
  <c r="DS28" i="3"/>
  <c r="DH28" i="3"/>
  <c r="DG28" i="3"/>
  <c r="CX28" i="3"/>
  <c r="CM28" i="3"/>
  <c r="CL28" i="3"/>
  <c r="CC28" i="3"/>
  <c r="BR28" i="3"/>
  <c r="BQ28" i="3"/>
  <c r="BH28" i="3"/>
  <c r="AW28" i="3"/>
  <c r="AV28" i="3"/>
  <c r="G28" i="3" s="1"/>
  <c r="AM28" i="3"/>
  <c r="AB28" i="3"/>
  <c r="F28" i="3" s="1"/>
  <c r="AA28" i="3"/>
  <c r="R28" i="3"/>
  <c r="E28" i="3" s="1"/>
  <c r="EC27" i="3"/>
  <c r="EB27" i="3"/>
  <c r="DS27" i="3"/>
  <c r="DH27" i="3"/>
  <c r="DG27" i="3"/>
  <c r="CX27" i="3"/>
  <c r="CM27" i="3"/>
  <c r="CL27" i="3"/>
  <c r="CC27" i="3"/>
  <c r="BR27" i="3"/>
  <c r="BQ27" i="3"/>
  <c r="BH27" i="3"/>
  <c r="AW27" i="3"/>
  <c r="F27" i="3" s="1"/>
  <c r="AV27" i="3"/>
  <c r="AM27" i="3"/>
  <c r="E27" i="3" s="1"/>
  <c r="F27" i="1" s="1"/>
  <c r="AB27" i="3"/>
  <c r="AA27" i="3"/>
  <c r="R27" i="3"/>
  <c r="G27" i="3"/>
  <c r="EC26" i="3"/>
  <c r="EB26" i="3"/>
  <c r="DS26" i="3"/>
  <c r="DH26" i="3"/>
  <c r="DG26" i="3"/>
  <c r="CX26" i="3"/>
  <c r="CM26" i="3"/>
  <c r="CL26" i="3"/>
  <c r="CC26" i="3"/>
  <c r="BR26" i="3"/>
  <c r="BQ26" i="3"/>
  <c r="BH26" i="3"/>
  <c r="AW26" i="3"/>
  <c r="AV26" i="3"/>
  <c r="G26" i="3" s="1"/>
  <c r="AM26" i="3"/>
  <c r="AB26" i="3"/>
  <c r="AA26" i="3"/>
  <c r="R26" i="3"/>
  <c r="E26" i="3" s="1"/>
  <c r="F26" i="3"/>
  <c r="EC25" i="3"/>
  <c r="EB25" i="3"/>
  <c r="DS25" i="3"/>
  <c r="DH25" i="3"/>
  <c r="DG25" i="3"/>
  <c r="CX25" i="3"/>
  <c r="CM25" i="3"/>
  <c r="CL25" i="3"/>
  <c r="CC25" i="3"/>
  <c r="BR25" i="3"/>
  <c r="BQ25" i="3"/>
  <c r="BH25" i="3"/>
  <c r="AW25" i="3"/>
  <c r="F25" i="3" s="1"/>
  <c r="AV25" i="3"/>
  <c r="AM25" i="3"/>
  <c r="AB25" i="3"/>
  <c r="AA25" i="3"/>
  <c r="R25" i="3"/>
  <c r="G25" i="3"/>
  <c r="E25" i="3"/>
  <c r="EC24" i="3"/>
  <c r="EB24" i="3"/>
  <c r="DS24" i="3"/>
  <c r="DH24" i="3"/>
  <c r="DG24" i="3"/>
  <c r="CX24" i="3"/>
  <c r="CM24" i="3"/>
  <c r="CL24" i="3"/>
  <c r="CC24" i="3"/>
  <c r="BR24" i="3"/>
  <c r="BQ24" i="3"/>
  <c r="BH24" i="3"/>
  <c r="AW24" i="3"/>
  <c r="AV24" i="3"/>
  <c r="G24" i="3" s="1"/>
  <c r="AM24" i="3"/>
  <c r="AB24" i="3"/>
  <c r="F24" i="3" s="1"/>
  <c r="AA24" i="3"/>
  <c r="R24" i="3"/>
  <c r="E24" i="3" s="1"/>
  <c r="EC23" i="3"/>
  <c r="EB23" i="3"/>
  <c r="DS23" i="3"/>
  <c r="DH23" i="3"/>
  <c r="DG23" i="3"/>
  <c r="CX23" i="3"/>
  <c r="CM23" i="3"/>
  <c r="CL23" i="3"/>
  <c r="CC23" i="3"/>
  <c r="BR23" i="3"/>
  <c r="BQ23" i="3"/>
  <c r="BH23" i="3"/>
  <c r="AW23" i="3"/>
  <c r="F23" i="3" s="1"/>
  <c r="AV23" i="3"/>
  <c r="AM23" i="3"/>
  <c r="E23" i="3" s="1"/>
  <c r="F23" i="1" s="1"/>
  <c r="AB23" i="3"/>
  <c r="AA23" i="3"/>
  <c r="R23" i="3"/>
  <c r="G23" i="3"/>
  <c r="EC22" i="3"/>
  <c r="EB22" i="3"/>
  <c r="DS22" i="3"/>
  <c r="DH22" i="3"/>
  <c r="DG22" i="3"/>
  <c r="CX22" i="3"/>
  <c r="CM22" i="3"/>
  <c r="CL22" i="3"/>
  <c r="CC22" i="3"/>
  <c r="BR22" i="3"/>
  <c r="BQ22" i="3"/>
  <c r="BH22" i="3"/>
  <c r="AW22" i="3"/>
  <c r="AV22" i="3"/>
  <c r="G22" i="3" s="1"/>
  <c r="AM22" i="3"/>
  <c r="AB22" i="3"/>
  <c r="AA22" i="3"/>
  <c r="R22" i="3"/>
  <c r="E22" i="3" s="1"/>
  <c r="F22" i="3"/>
  <c r="EC21" i="3"/>
  <c r="EB21" i="3"/>
  <c r="DS21" i="3"/>
  <c r="DH21" i="3"/>
  <c r="DG21" i="3"/>
  <c r="CX21" i="3"/>
  <c r="CM21" i="3"/>
  <c r="CL21" i="3"/>
  <c r="CC21" i="3"/>
  <c r="BR21" i="3"/>
  <c r="BQ21" i="3"/>
  <c r="BH21" i="3"/>
  <c r="AW21" i="3"/>
  <c r="F21" i="3" s="1"/>
  <c r="AV21" i="3"/>
  <c r="AM21" i="3"/>
  <c r="AB21" i="3"/>
  <c r="AA21" i="3"/>
  <c r="R21" i="3"/>
  <c r="G21" i="3"/>
  <c r="E21" i="3"/>
  <c r="EC20" i="3"/>
  <c r="EB20" i="3"/>
  <c r="DS20" i="3"/>
  <c r="DH20" i="3"/>
  <c r="DG20" i="3"/>
  <c r="CX20" i="3"/>
  <c r="CM20" i="3"/>
  <c r="CL20" i="3"/>
  <c r="CC20" i="3"/>
  <c r="BR20" i="3"/>
  <c r="BQ20" i="3"/>
  <c r="BH20" i="3"/>
  <c r="AW20" i="3"/>
  <c r="AV20" i="3"/>
  <c r="G20" i="3" s="1"/>
  <c r="AM20" i="3"/>
  <c r="AB20" i="3"/>
  <c r="F20" i="3" s="1"/>
  <c r="AA20" i="3"/>
  <c r="R20" i="3"/>
  <c r="E20" i="3" s="1"/>
  <c r="EC19" i="3"/>
  <c r="EB19" i="3"/>
  <c r="DS19" i="3"/>
  <c r="DH19" i="3"/>
  <c r="DG19" i="3"/>
  <c r="CX19" i="3"/>
  <c r="CM19" i="3"/>
  <c r="CL19" i="3"/>
  <c r="CC19" i="3"/>
  <c r="BR19" i="3"/>
  <c r="BQ19" i="3"/>
  <c r="BH19" i="3"/>
  <c r="AW19" i="3"/>
  <c r="F19" i="3" s="1"/>
  <c r="AV19" i="3"/>
  <c r="AM19" i="3"/>
  <c r="E19" i="3" s="1"/>
  <c r="F19" i="1" s="1"/>
  <c r="AB19" i="3"/>
  <c r="AA19" i="3"/>
  <c r="R19" i="3"/>
  <c r="G19" i="3"/>
  <c r="EC18" i="3"/>
  <c r="EB18" i="3"/>
  <c r="DS18" i="3"/>
  <c r="DH18" i="3"/>
  <c r="DG18" i="3"/>
  <c r="CX18" i="3"/>
  <c r="CM18" i="3"/>
  <c r="CL18" i="3"/>
  <c r="CC18" i="3"/>
  <c r="BR18" i="3"/>
  <c r="BQ18" i="3"/>
  <c r="BH18" i="3"/>
  <c r="AW18" i="3"/>
  <c r="AV18" i="3"/>
  <c r="G18" i="3" s="1"/>
  <c r="AM18" i="3"/>
  <c r="AB18" i="3"/>
  <c r="AA18" i="3"/>
  <c r="R18" i="3"/>
  <c r="E18" i="3" s="1"/>
  <c r="F18" i="3"/>
  <c r="EC17" i="3"/>
  <c r="EB17" i="3"/>
  <c r="DS17" i="3"/>
  <c r="DH17" i="3"/>
  <c r="DG17" i="3"/>
  <c r="CX17" i="3"/>
  <c r="CM17" i="3"/>
  <c r="CL17" i="3"/>
  <c r="CC17" i="3"/>
  <c r="BR17" i="3"/>
  <c r="BQ17" i="3"/>
  <c r="BH17" i="3"/>
  <c r="AW17" i="3"/>
  <c r="F17" i="3" s="1"/>
  <c r="AV17" i="3"/>
  <c r="AM17" i="3"/>
  <c r="AB17" i="3"/>
  <c r="AA17" i="3"/>
  <c r="R17" i="3"/>
  <c r="G17" i="3"/>
  <c r="E17" i="3"/>
  <c r="EC16" i="3"/>
  <c r="EB16" i="3"/>
  <c r="DS16" i="3"/>
  <c r="DH16" i="3"/>
  <c r="DG16" i="3"/>
  <c r="CX16" i="3"/>
  <c r="CM16" i="3"/>
  <c r="CL16" i="3"/>
  <c r="CC16" i="3"/>
  <c r="BR16" i="3"/>
  <c r="BQ16" i="3"/>
  <c r="BH16" i="3"/>
  <c r="AW16" i="3"/>
  <c r="AV16" i="3"/>
  <c r="G16" i="3" s="1"/>
  <c r="AM16" i="3"/>
  <c r="AB16" i="3"/>
  <c r="F16" i="3" s="1"/>
  <c r="AA16" i="3"/>
  <c r="R16" i="3"/>
  <c r="E16" i="3" s="1"/>
  <c r="EC15" i="3"/>
  <c r="EB15" i="3"/>
  <c r="DS15" i="3"/>
  <c r="DH15" i="3"/>
  <c r="DG15" i="3"/>
  <c r="CX15" i="3"/>
  <c r="CM15" i="3"/>
  <c r="CL15" i="3"/>
  <c r="CC15" i="3"/>
  <c r="BR15" i="3"/>
  <c r="BQ15" i="3"/>
  <c r="BH15" i="3"/>
  <c r="AW15" i="3"/>
  <c r="F15" i="3" s="1"/>
  <c r="AV15" i="3"/>
  <c r="AM15" i="3"/>
  <c r="E15" i="3" s="1"/>
  <c r="F15" i="1" s="1"/>
  <c r="AB15" i="3"/>
  <c r="AA15" i="3"/>
  <c r="R15" i="3"/>
  <c r="G15" i="3"/>
  <c r="EC14" i="3"/>
  <c r="EB14" i="3"/>
  <c r="DS14" i="3"/>
  <c r="DH14" i="3"/>
  <c r="DG14" i="3"/>
  <c r="CX14" i="3"/>
  <c r="CM14" i="3"/>
  <c r="CL14" i="3"/>
  <c r="CC14" i="3"/>
  <c r="BR14" i="3"/>
  <c r="BQ14" i="3"/>
  <c r="BH14" i="3"/>
  <c r="AW14" i="3"/>
  <c r="AV14" i="3"/>
  <c r="G14" i="3" s="1"/>
  <c r="AM14" i="3"/>
  <c r="AB14" i="3"/>
  <c r="AA14" i="3"/>
  <c r="R14" i="3"/>
  <c r="E14" i="3" s="1"/>
  <c r="F14" i="3"/>
  <c r="EC13" i="3"/>
  <c r="EB13" i="3"/>
  <c r="DS13" i="3"/>
  <c r="DH13" i="3"/>
  <c r="DG13" i="3"/>
  <c r="CX13" i="3"/>
  <c r="CM13" i="3"/>
  <c r="CL13" i="3"/>
  <c r="CC13" i="3"/>
  <c r="BR13" i="3"/>
  <c r="BQ13" i="3"/>
  <c r="BH13" i="3"/>
  <c r="AW13" i="3"/>
  <c r="F13" i="3" s="1"/>
  <c r="AV13" i="3"/>
  <c r="AM13" i="3"/>
  <c r="AB13" i="3"/>
  <c r="AA13" i="3"/>
  <c r="R13" i="3"/>
  <c r="G13" i="3"/>
  <c r="E13" i="3"/>
  <c r="EC12" i="3"/>
  <c r="EB12" i="3"/>
  <c r="DS12" i="3"/>
  <c r="DH12" i="3"/>
  <c r="DG12" i="3"/>
  <c r="CX12" i="3"/>
  <c r="CM12" i="3"/>
  <c r="CL12" i="3"/>
  <c r="CC12" i="3"/>
  <c r="BR12" i="3"/>
  <c r="BQ12" i="3"/>
  <c r="BH12" i="3"/>
  <c r="AW12" i="3"/>
  <c r="AV12" i="3"/>
  <c r="G12" i="3" s="1"/>
  <c r="AM12" i="3"/>
  <c r="AB12" i="3"/>
  <c r="F12" i="3" s="1"/>
  <c r="AA12" i="3"/>
  <c r="R12" i="3"/>
  <c r="E12" i="3" s="1"/>
  <c r="EC11" i="3"/>
  <c r="EB11" i="3"/>
  <c r="DS11" i="3"/>
  <c r="DH11" i="3"/>
  <c r="DG11" i="3"/>
  <c r="CX11" i="3"/>
  <c r="CM11" i="3"/>
  <c r="CL11" i="3"/>
  <c r="CC11" i="3"/>
  <c r="BR11" i="3"/>
  <c r="BQ11" i="3"/>
  <c r="BH11" i="3"/>
  <c r="AW11" i="3"/>
  <c r="F11" i="3" s="1"/>
  <c r="AV11" i="3"/>
  <c r="AM11" i="3"/>
  <c r="E11" i="3" s="1"/>
  <c r="F11" i="1" s="1"/>
  <c r="AB11" i="3"/>
  <c r="AA11" i="3"/>
  <c r="R11" i="3"/>
  <c r="G11" i="3"/>
  <c r="EC10" i="3"/>
  <c r="EB10" i="3"/>
  <c r="DS10" i="3"/>
  <c r="DH10" i="3"/>
  <c r="DG10" i="3"/>
  <c r="CX10" i="3"/>
  <c r="CM10" i="3"/>
  <c r="CL10" i="3"/>
  <c r="CC10" i="3"/>
  <c r="BR10" i="3"/>
  <c r="BQ10" i="3"/>
  <c r="BH10" i="3"/>
  <c r="AW10" i="3"/>
  <c r="AV10" i="3"/>
  <c r="G10" i="3" s="1"/>
  <c r="AM10" i="3"/>
  <c r="AB10" i="3"/>
  <c r="AA10" i="3"/>
  <c r="R10" i="3"/>
  <c r="E10" i="3" s="1"/>
  <c r="F10" i="3"/>
  <c r="EC9" i="3"/>
  <c r="EB9" i="3"/>
  <c r="DS9" i="3"/>
  <c r="DH9" i="3"/>
  <c r="DG9" i="3"/>
  <c r="CX9" i="3"/>
  <c r="CM9" i="3"/>
  <c r="CL9" i="3"/>
  <c r="CC9" i="3"/>
  <c r="BR9" i="3"/>
  <c r="BQ9" i="3"/>
  <c r="BH9" i="3"/>
  <c r="AW9" i="3"/>
  <c r="F9" i="3" s="1"/>
  <c r="AV9" i="3"/>
  <c r="AM9" i="3"/>
  <c r="AB9" i="3"/>
  <c r="AA9" i="3"/>
  <c r="R9" i="3"/>
  <c r="G9" i="3"/>
  <c r="E9" i="3"/>
  <c r="KO40" i="2"/>
  <c r="KN40" i="2"/>
  <c r="KE40" i="2"/>
  <c r="JT40" i="2"/>
  <c r="JS40" i="2"/>
  <c r="JJ40" i="2"/>
  <c r="IY40" i="2"/>
  <c r="IX40" i="2"/>
  <c r="IO40" i="2"/>
  <c r="ID40" i="2"/>
  <c r="IC40" i="2"/>
  <c r="HT40" i="2"/>
  <c r="HI40" i="2"/>
  <c r="HH40" i="2"/>
  <c r="GY40" i="2"/>
  <c r="GN40" i="2"/>
  <c r="GM40" i="2"/>
  <c r="GD40" i="2"/>
  <c r="FS40" i="2"/>
  <c r="FR40" i="2"/>
  <c r="FI40" i="2"/>
  <c r="EX40" i="2"/>
  <c r="EW40" i="2"/>
  <c r="EN40" i="2"/>
  <c r="EC40" i="2"/>
  <c r="EB40" i="2"/>
  <c r="DS40" i="2"/>
  <c r="DH40" i="2"/>
  <c r="DG40" i="2"/>
  <c r="CX40" i="2"/>
  <c r="CM40" i="2"/>
  <c r="CL40" i="2"/>
  <c r="CC40" i="2"/>
  <c r="BR40" i="2"/>
  <c r="BQ40" i="2"/>
  <c r="BH40" i="2"/>
  <c r="AW40" i="2"/>
  <c r="AV40" i="2"/>
  <c r="G40" i="2" s="1"/>
  <c r="F40" i="4" s="1"/>
  <c r="AM40" i="2"/>
  <c r="AB40" i="2"/>
  <c r="F40" i="2" s="1"/>
  <c r="E40" i="4" s="1"/>
  <c r="AA40" i="2"/>
  <c r="R40" i="2"/>
  <c r="E40" i="2" s="1"/>
  <c r="KO39" i="2"/>
  <c r="KN39" i="2"/>
  <c r="KE39" i="2"/>
  <c r="JT39" i="2"/>
  <c r="JS39" i="2"/>
  <c r="JJ39" i="2"/>
  <c r="IY39" i="2"/>
  <c r="IX39" i="2"/>
  <c r="IO39" i="2"/>
  <c r="ID39" i="2"/>
  <c r="IC39" i="2"/>
  <c r="HT39" i="2"/>
  <c r="HI39" i="2"/>
  <c r="HH39" i="2"/>
  <c r="GY39" i="2"/>
  <c r="GN39" i="2"/>
  <c r="GM39" i="2"/>
  <c r="GD39" i="2"/>
  <c r="FS39" i="2"/>
  <c r="FR39" i="2"/>
  <c r="FI39" i="2"/>
  <c r="EX39" i="2"/>
  <c r="EW39" i="2"/>
  <c r="EN39" i="2"/>
  <c r="EC39" i="2"/>
  <c r="EB39" i="2"/>
  <c r="DS39" i="2"/>
  <c r="DH39" i="2"/>
  <c r="DG39" i="2"/>
  <c r="CX39" i="2"/>
  <c r="CM39" i="2"/>
  <c r="CL39" i="2"/>
  <c r="CC39" i="2"/>
  <c r="BR39" i="2"/>
  <c r="BQ39" i="2"/>
  <c r="BH39" i="2"/>
  <c r="AW39" i="2"/>
  <c r="F39" i="2" s="1"/>
  <c r="E39" i="4" s="1"/>
  <c r="AV39" i="2"/>
  <c r="AM39" i="2"/>
  <c r="E39" i="2" s="1"/>
  <c r="E39" i="1" s="1"/>
  <c r="AB39" i="2"/>
  <c r="AA39" i="2"/>
  <c r="R39" i="2"/>
  <c r="G39" i="2"/>
  <c r="F39" i="4" s="1"/>
  <c r="KO38" i="2"/>
  <c r="KN38" i="2"/>
  <c r="KE38" i="2"/>
  <c r="JT38" i="2"/>
  <c r="JS38" i="2"/>
  <c r="JJ38" i="2"/>
  <c r="IY38" i="2"/>
  <c r="IX38" i="2"/>
  <c r="IO38" i="2"/>
  <c r="ID38" i="2"/>
  <c r="IC38" i="2"/>
  <c r="HT38" i="2"/>
  <c r="HI38" i="2"/>
  <c r="HH38" i="2"/>
  <c r="GY38" i="2"/>
  <c r="GN38" i="2"/>
  <c r="GM38" i="2"/>
  <c r="GD38" i="2"/>
  <c r="FS38" i="2"/>
  <c r="FR38" i="2"/>
  <c r="FI38" i="2"/>
  <c r="EX38" i="2"/>
  <c r="EW38" i="2"/>
  <c r="EN38" i="2"/>
  <c r="EC38" i="2"/>
  <c r="EB38" i="2"/>
  <c r="DS38" i="2"/>
  <c r="DH38" i="2"/>
  <c r="DG38" i="2"/>
  <c r="CX38" i="2"/>
  <c r="CM38" i="2"/>
  <c r="CL38" i="2"/>
  <c r="CC38" i="2"/>
  <c r="BR38" i="2"/>
  <c r="BQ38" i="2"/>
  <c r="BH38" i="2"/>
  <c r="AW38" i="2"/>
  <c r="AV38" i="2"/>
  <c r="G38" i="2" s="1"/>
  <c r="F38" i="4" s="1"/>
  <c r="AM38" i="2"/>
  <c r="AB38" i="2"/>
  <c r="AA38" i="2"/>
  <c r="R38" i="2"/>
  <c r="E38" i="2" s="1"/>
  <c r="F38" i="2"/>
  <c r="E38" i="4" s="1"/>
  <c r="KO37" i="2"/>
  <c r="KN37" i="2"/>
  <c r="KE37" i="2"/>
  <c r="JT37" i="2"/>
  <c r="JS37" i="2"/>
  <c r="JJ37" i="2"/>
  <c r="IY37" i="2"/>
  <c r="IX37" i="2"/>
  <c r="IO37" i="2"/>
  <c r="ID37" i="2"/>
  <c r="IC37" i="2"/>
  <c r="HT37" i="2"/>
  <c r="HI37" i="2"/>
  <c r="HH37" i="2"/>
  <c r="GY37" i="2"/>
  <c r="GN37" i="2"/>
  <c r="GM37" i="2"/>
  <c r="GD37" i="2"/>
  <c r="FS37" i="2"/>
  <c r="FR37" i="2"/>
  <c r="FI37" i="2"/>
  <c r="EX37" i="2"/>
  <c r="EW37" i="2"/>
  <c r="EN37" i="2"/>
  <c r="EC37" i="2"/>
  <c r="EB37" i="2"/>
  <c r="DS37" i="2"/>
  <c r="DH37" i="2"/>
  <c r="DG37" i="2"/>
  <c r="CX37" i="2"/>
  <c r="CM37" i="2"/>
  <c r="CL37" i="2"/>
  <c r="CC37" i="2"/>
  <c r="BR37" i="2"/>
  <c r="BQ37" i="2"/>
  <c r="BH37" i="2"/>
  <c r="AW37" i="2"/>
  <c r="F37" i="2" s="1"/>
  <c r="E37" i="4" s="1"/>
  <c r="AV37" i="2"/>
  <c r="AM37" i="2"/>
  <c r="AB37" i="2"/>
  <c r="AA37" i="2"/>
  <c r="R37" i="2"/>
  <c r="G37" i="2"/>
  <c r="F37" i="4" s="1"/>
  <c r="E37" i="2"/>
  <c r="KO36" i="2"/>
  <c r="KN36" i="2"/>
  <c r="KE36" i="2"/>
  <c r="JT36" i="2"/>
  <c r="JS36" i="2"/>
  <c r="JJ36" i="2"/>
  <c r="IY36" i="2"/>
  <c r="IX36" i="2"/>
  <c r="IO36" i="2"/>
  <c r="ID36" i="2"/>
  <c r="IC36" i="2"/>
  <c r="HT36" i="2"/>
  <c r="HI36" i="2"/>
  <c r="HH36" i="2"/>
  <c r="GY36" i="2"/>
  <c r="GN36" i="2"/>
  <c r="GM36" i="2"/>
  <c r="GD36" i="2"/>
  <c r="FS36" i="2"/>
  <c r="FR36" i="2"/>
  <c r="FI36" i="2"/>
  <c r="EX36" i="2"/>
  <c r="EW36" i="2"/>
  <c r="EN36" i="2"/>
  <c r="EC36" i="2"/>
  <c r="EB36" i="2"/>
  <c r="DS36" i="2"/>
  <c r="DH36" i="2"/>
  <c r="DG36" i="2"/>
  <c r="CX36" i="2"/>
  <c r="CM36" i="2"/>
  <c r="CL36" i="2"/>
  <c r="CC36" i="2"/>
  <c r="BR36" i="2"/>
  <c r="BQ36" i="2"/>
  <c r="BH36" i="2"/>
  <c r="AW36" i="2"/>
  <c r="AV36" i="2"/>
  <c r="G36" i="2" s="1"/>
  <c r="F36" i="4" s="1"/>
  <c r="AM36" i="2"/>
  <c r="AB36" i="2"/>
  <c r="F36" i="2" s="1"/>
  <c r="E36" i="4" s="1"/>
  <c r="AA36" i="2"/>
  <c r="R36" i="2"/>
  <c r="E36" i="2" s="1"/>
  <c r="KO35" i="2"/>
  <c r="KN35" i="2"/>
  <c r="KE35" i="2"/>
  <c r="JT35" i="2"/>
  <c r="JS35" i="2"/>
  <c r="JJ35" i="2"/>
  <c r="IY35" i="2"/>
  <c r="IX35" i="2"/>
  <c r="IO35" i="2"/>
  <c r="ID35" i="2"/>
  <c r="IC35" i="2"/>
  <c r="HT35" i="2"/>
  <c r="HI35" i="2"/>
  <c r="HH35" i="2"/>
  <c r="GY35" i="2"/>
  <c r="GN35" i="2"/>
  <c r="GM35" i="2"/>
  <c r="GD35" i="2"/>
  <c r="FS35" i="2"/>
  <c r="FR35" i="2"/>
  <c r="FI35" i="2"/>
  <c r="EX35" i="2"/>
  <c r="EW35" i="2"/>
  <c r="EN35" i="2"/>
  <c r="EC35" i="2"/>
  <c r="EB35" i="2"/>
  <c r="DS35" i="2"/>
  <c r="DH35" i="2"/>
  <c r="DG35" i="2"/>
  <c r="CX35" i="2"/>
  <c r="CM35" i="2"/>
  <c r="CL35" i="2"/>
  <c r="CC35" i="2"/>
  <c r="BR35" i="2"/>
  <c r="BQ35" i="2"/>
  <c r="BH35" i="2"/>
  <c r="AW35" i="2"/>
  <c r="F35" i="2" s="1"/>
  <c r="E35" i="4" s="1"/>
  <c r="AV35" i="2"/>
  <c r="AM35" i="2"/>
  <c r="E35" i="2" s="1"/>
  <c r="E35" i="1" s="1"/>
  <c r="AB35" i="2"/>
  <c r="AA35" i="2"/>
  <c r="R35" i="2"/>
  <c r="G35" i="2"/>
  <c r="F35" i="4" s="1"/>
  <c r="KO34" i="2"/>
  <c r="KN34" i="2"/>
  <c r="KE34" i="2"/>
  <c r="JT34" i="2"/>
  <c r="JS34" i="2"/>
  <c r="JJ34" i="2"/>
  <c r="IY34" i="2"/>
  <c r="IX34" i="2"/>
  <c r="IO34" i="2"/>
  <c r="ID34" i="2"/>
  <c r="IC34" i="2"/>
  <c r="HT34" i="2"/>
  <c r="HI34" i="2"/>
  <c r="HH34" i="2"/>
  <c r="GY34" i="2"/>
  <c r="GN34" i="2"/>
  <c r="GM34" i="2"/>
  <c r="GD34" i="2"/>
  <c r="FS34" i="2"/>
  <c r="FR34" i="2"/>
  <c r="FI34" i="2"/>
  <c r="EX34" i="2"/>
  <c r="EW34" i="2"/>
  <c r="EN34" i="2"/>
  <c r="EC34" i="2"/>
  <c r="EB34" i="2"/>
  <c r="DS34" i="2"/>
  <c r="DH34" i="2"/>
  <c r="DG34" i="2"/>
  <c r="CX34" i="2"/>
  <c r="CM34" i="2"/>
  <c r="CL34" i="2"/>
  <c r="CC34" i="2"/>
  <c r="BR34" i="2"/>
  <c r="BQ34" i="2"/>
  <c r="BH34" i="2"/>
  <c r="AW34" i="2"/>
  <c r="AV34" i="2"/>
  <c r="G34" i="2" s="1"/>
  <c r="F34" i="4" s="1"/>
  <c r="AM34" i="2"/>
  <c r="AB34" i="2"/>
  <c r="AA34" i="2"/>
  <c r="R34" i="2"/>
  <c r="E34" i="2" s="1"/>
  <c r="F34" i="2"/>
  <c r="E34" i="4" s="1"/>
  <c r="KO33" i="2"/>
  <c r="KN33" i="2"/>
  <c r="KE33" i="2"/>
  <c r="JT33" i="2"/>
  <c r="JS33" i="2"/>
  <c r="JJ33" i="2"/>
  <c r="IY33" i="2"/>
  <c r="IX33" i="2"/>
  <c r="IO33" i="2"/>
  <c r="ID33" i="2"/>
  <c r="IC33" i="2"/>
  <c r="HT33" i="2"/>
  <c r="HI33" i="2"/>
  <c r="HH33" i="2"/>
  <c r="GY33" i="2"/>
  <c r="GN33" i="2"/>
  <c r="GM33" i="2"/>
  <c r="GD33" i="2"/>
  <c r="FS33" i="2"/>
  <c r="FR33" i="2"/>
  <c r="FI33" i="2"/>
  <c r="EX33" i="2"/>
  <c r="EW33" i="2"/>
  <c r="EN33" i="2"/>
  <c r="EC33" i="2"/>
  <c r="EB33" i="2"/>
  <c r="DS33" i="2"/>
  <c r="DH33" i="2"/>
  <c r="DG33" i="2"/>
  <c r="CX33" i="2"/>
  <c r="CM33" i="2"/>
  <c r="CL33" i="2"/>
  <c r="CC33" i="2"/>
  <c r="BR33" i="2"/>
  <c r="BQ33" i="2"/>
  <c r="BH33" i="2"/>
  <c r="AW33" i="2"/>
  <c r="F33" i="2" s="1"/>
  <c r="E33" i="4" s="1"/>
  <c r="AV33" i="2"/>
  <c r="AM33" i="2"/>
  <c r="AB33" i="2"/>
  <c r="AA33" i="2"/>
  <c r="R33" i="2"/>
  <c r="G33" i="2"/>
  <c r="F33" i="4" s="1"/>
  <c r="E33" i="2"/>
  <c r="KO32" i="2"/>
  <c r="KN32" i="2"/>
  <c r="KE32" i="2"/>
  <c r="JT32" i="2"/>
  <c r="JS32" i="2"/>
  <c r="JJ32" i="2"/>
  <c r="IY32" i="2"/>
  <c r="IX32" i="2"/>
  <c r="IO32" i="2"/>
  <c r="ID32" i="2"/>
  <c r="IC32" i="2"/>
  <c r="HT32" i="2"/>
  <c r="HI32" i="2"/>
  <c r="HH32" i="2"/>
  <c r="GY32" i="2"/>
  <c r="GN32" i="2"/>
  <c r="GM32" i="2"/>
  <c r="GD32" i="2"/>
  <c r="FS32" i="2"/>
  <c r="FR32" i="2"/>
  <c r="FI32" i="2"/>
  <c r="EX32" i="2"/>
  <c r="EW32" i="2"/>
  <c r="EN32" i="2"/>
  <c r="EC32" i="2"/>
  <c r="EB32" i="2"/>
  <c r="DS32" i="2"/>
  <c r="DH32" i="2"/>
  <c r="DG32" i="2"/>
  <c r="CX32" i="2"/>
  <c r="CM32" i="2"/>
  <c r="CL32" i="2"/>
  <c r="CC32" i="2"/>
  <c r="BR32" i="2"/>
  <c r="BQ32" i="2"/>
  <c r="BH32" i="2"/>
  <c r="AW32" i="2"/>
  <c r="AV32" i="2"/>
  <c r="G32" i="2" s="1"/>
  <c r="F32" i="4" s="1"/>
  <c r="AM32" i="2"/>
  <c r="AB32" i="2"/>
  <c r="F32" i="2" s="1"/>
  <c r="E32" i="4" s="1"/>
  <c r="AA32" i="2"/>
  <c r="R32" i="2"/>
  <c r="E32" i="2" s="1"/>
  <c r="KO31" i="2"/>
  <c r="KN31" i="2"/>
  <c r="KE31" i="2"/>
  <c r="JT31" i="2"/>
  <c r="JS31" i="2"/>
  <c r="JJ31" i="2"/>
  <c r="IY31" i="2"/>
  <c r="IX31" i="2"/>
  <c r="IO31" i="2"/>
  <c r="ID31" i="2"/>
  <c r="IC31" i="2"/>
  <c r="HT31" i="2"/>
  <c r="HI31" i="2"/>
  <c r="HH31" i="2"/>
  <c r="GY31" i="2"/>
  <c r="GN31" i="2"/>
  <c r="GM31" i="2"/>
  <c r="GD31" i="2"/>
  <c r="FS31" i="2"/>
  <c r="FR31" i="2"/>
  <c r="FI31" i="2"/>
  <c r="EX31" i="2"/>
  <c r="EW31" i="2"/>
  <c r="EN31" i="2"/>
  <c r="EC31" i="2"/>
  <c r="EB31" i="2"/>
  <c r="DS31" i="2"/>
  <c r="DH31" i="2"/>
  <c r="DG31" i="2"/>
  <c r="CX31" i="2"/>
  <c r="CM31" i="2"/>
  <c r="CL31" i="2"/>
  <c r="CC31" i="2"/>
  <c r="BR31" i="2"/>
  <c r="BQ31" i="2"/>
  <c r="BH31" i="2"/>
  <c r="AW31" i="2"/>
  <c r="F31" i="2" s="1"/>
  <c r="E31" i="4" s="1"/>
  <c r="H31" i="4" s="1"/>
  <c r="H31" i="1" s="1"/>
  <c r="AV31" i="2"/>
  <c r="AM31" i="2"/>
  <c r="E31" i="2" s="1"/>
  <c r="E31" i="1" s="1"/>
  <c r="AB31" i="2"/>
  <c r="AA31" i="2"/>
  <c r="R31" i="2"/>
  <c r="G31" i="2"/>
  <c r="F31" i="4" s="1"/>
  <c r="KO30" i="2"/>
  <c r="KN30" i="2"/>
  <c r="KE30" i="2"/>
  <c r="JT30" i="2"/>
  <c r="JS30" i="2"/>
  <c r="JJ30" i="2"/>
  <c r="IY30" i="2"/>
  <c r="IX30" i="2"/>
  <c r="IO30" i="2"/>
  <c r="ID30" i="2"/>
  <c r="IC30" i="2"/>
  <c r="HT30" i="2"/>
  <c r="HI30" i="2"/>
  <c r="HH30" i="2"/>
  <c r="GY30" i="2"/>
  <c r="GN30" i="2"/>
  <c r="GM30" i="2"/>
  <c r="GD30" i="2"/>
  <c r="FS30" i="2"/>
  <c r="FR30" i="2"/>
  <c r="FI30" i="2"/>
  <c r="EX30" i="2"/>
  <c r="EW30" i="2"/>
  <c r="EN30" i="2"/>
  <c r="EC30" i="2"/>
  <c r="EB30" i="2"/>
  <c r="DS30" i="2"/>
  <c r="DH30" i="2"/>
  <c r="DG30" i="2"/>
  <c r="CX30" i="2"/>
  <c r="CM30" i="2"/>
  <c r="CL30" i="2"/>
  <c r="CC30" i="2"/>
  <c r="BR30" i="2"/>
  <c r="BQ30" i="2"/>
  <c r="BH30" i="2"/>
  <c r="AW30" i="2"/>
  <c r="AV30" i="2"/>
  <c r="G30" i="2" s="1"/>
  <c r="F30" i="4" s="1"/>
  <c r="AM30" i="2"/>
  <c r="AB30" i="2"/>
  <c r="AA30" i="2"/>
  <c r="R30" i="2"/>
  <c r="E30" i="2" s="1"/>
  <c r="F30" i="2"/>
  <c r="E30" i="4" s="1"/>
  <c r="KO29" i="2"/>
  <c r="KN29" i="2"/>
  <c r="KE29" i="2"/>
  <c r="JT29" i="2"/>
  <c r="JS29" i="2"/>
  <c r="JJ29" i="2"/>
  <c r="IY29" i="2"/>
  <c r="IX29" i="2"/>
  <c r="IO29" i="2"/>
  <c r="ID29" i="2"/>
  <c r="IC29" i="2"/>
  <c r="HT29" i="2"/>
  <c r="HI29" i="2"/>
  <c r="HH29" i="2"/>
  <c r="GY29" i="2"/>
  <c r="GN29" i="2"/>
  <c r="GM29" i="2"/>
  <c r="GD29" i="2"/>
  <c r="FS29" i="2"/>
  <c r="FR29" i="2"/>
  <c r="FI29" i="2"/>
  <c r="EX29" i="2"/>
  <c r="EW29" i="2"/>
  <c r="EN29" i="2"/>
  <c r="EC29" i="2"/>
  <c r="EB29" i="2"/>
  <c r="DS29" i="2"/>
  <c r="DH29" i="2"/>
  <c r="DG29" i="2"/>
  <c r="CX29" i="2"/>
  <c r="CM29" i="2"/>
  <c r="CL29" i="2"/>
  <c r="CC29" i="2"/>
  <c r="BR29" i="2"/>
  <c r="BQ29" i="2"/>
  <c r="BH29" i="2"/>
  <c r="AW29" i="2"/>
  <c r="F29" i="2" s="1"/>
  <c r="E29" i="4" s="1"/>
  <c r="G29" i="4" s="1"/>
  <c r="J29" i="1" s="1"/>
  <c r="AV29" i="2"/>
  <c r="AM29" i="2"/>
  <c r="AB29" i="2"/>
  <c r="AA29" i="2"/>
  <c r="R29" i="2"/>
  <c r="G29" i="2"/>
  <c r="F29" i="4" s="1"/>
  <c r="E29" i="2"/>
  <c r="KO28" i="2"/>
  <c r="KN28" i="2"/>
  <c r="KE28" i="2"/>
  <c r="JT28" i="2"/>
  <c r="JS28" i="2"/>
  <c r="JJ28" i="2"/>
  <c r="IY28" i="2"/>
  <c r="IX28" i="2"/>
  <c r="IO28" i="2"/>
  <c r="ID28" i="2"/>
  <c r="IC28" i="2"/>
  <c r="HT28" i="2"/>
  <c r="HI28" i="2"/>
  <c r="HH28" i="2"/>
  <c r="GY28" i="2"/>
  <c r="GN28" i="2"/>
  <c r="GM28" i="2"/>
  <c r="GD28" i="2"/>
  <c r="FS28" i="2"/>
  <c r="FR28" i="2"/>
  <c r="FI28" i="2"/>
  <c r="EX28" i="2"/>
  <c r="EW28" i="2"/>
  <c r="EN28" i="2"/>
  <c r="EC28" i="2"/>
  <c r="EB28" i="2"/>
  <c r="DS28" i="2"/>
  <c r="DH28" i="2"/>
  <c r="DG28" i="2"/>
  <c r="CX28" i="2"/>
  <c r="CM28" i="2"/>
  <c r="CL28" i="2"/>
  <c r="CC28" i="2"/>
  <c r="BR28" i="2"/>
  <c r="BQ28" i="2"/>
  <c r="BH28" i="2"/>
  <c r="AW28" i="2"/>
  <c r="AV28" i="2"/>
  <c r="G28" i="2" s="1"/>
  <c r="F28" i="4" s="1"/>
  <c r="AM28" i="2"/>
  <c r="AB28" i="2"/>
  <c r="F28" i="2" s="1"/>
  <c r="E28" i="4" s="1"/>
  <c r="AA28" i="2"/>
  <c r="R28" i="2"/>
  <c r="E28" i="2" s="1"/>
  <c r="KO27" i="2"/>
  <c r="KN27" i="2"/>
  <c r="KE27" i="2"/>
  <c r="JT27" i="2"/>
  <c r="JS27" i="2"/>
  <c r="JJ27" i="2"/>
  <c r="IY27" i="2"/>
  <c r="IX27" i="2"/>
  <c r="IO27" i="2"/>
  <c r="ID27" i="2"/>
  <c r="IC27" i="2"/>
  <c r="HT27" i="2"/>
  <c r="HI27" i="2"/>
  <c r="HH27" i="2"/>
  <c r="GY27" i="2"/>
  <c r="GN27" i="2"/>
  <c r="GM27" i="2"/>
  <c r="GD27" i="2"/>
  <c r="FS27" i="2"/>
  <c r="FR27" i="2"/>
  <c r="FI27" i="2"/>
  <c r="EX27" i="2"/>
  <c r="EW27" i="2"/>
  <c r="EN27" i="2"/>
  <c r="EC27" i="2"/>
  <c r="EB27" i="2"/>
  <c r="DS27" i="2"/>
  <c r="DH27" i="2"/>
  <c r="DG27" i="2"/>
  <c r="CX27" i="2"/>
  <c r="CM27" i="2"/>
  <c r="CL27" i="2"/>
  <c r="CC27" i="2"/>
  <c r="BR27" i="2"/>
  <c r="BQ27" i="2"/>
  <c r="BH27" i="2"/>
  <c r="AW27" i="2"/>
  <c r="F27" i="2" s="1"/>
  <c r="E27" i="4" s="1"/>
  <c r="AV27" i="2"/>
  <c r="AM27" i="2"/>
  <c r="E27" i="2" s="1"/>
  <c r="E27" i="1" s="1"/>
  <c r="AB27" i="2"/>
  <c r="AA27" i="2"/>
  <c r="R27" i="2"/>
  <c r="G27" i="2"/>
  <c r="F27" i="4" s="1"/>
  <c r="KO26" i="2"/>
  <c r="KN26" i="2"/>
  <c r="KE26" i="2"/>
  <c r="JT26" i="2"/>
  <c r="JS26" i="2"/>
  <c r="JJ26" i="2"/>
  <c r="IY26" i="2"/>
  <c r="IX26" i="2"/>
  <c r="IO26" i="2"/>
  <c r="ID26" i="2"/>
  <c r="IC26" i="2"/>
  <c r="HT26" i="2"/>
  <c r="HI26" i="2"/>
  <c r="HH26" i="2"/>
  <c r="GY26" i="2"/>
  <c r="GN26" i="2"/>
  <c r="GM26" i="2"/>
  <c r="GD26" i="2"/>
  <c r="FS26" i="2"/>
  <c r="FR26" i="2"/>
  <c r="FI26" i="2"/>
  <c r="EX26" i="2"/>
  <c r="EW26" i="2"/>
  <c r="EN26" i="2"/>
  <c r="EC26" i="2"/>
  <c r="EB26" i="2"/>
  <c r="DS26" i="2"/>
  <c r="DH26" i="2"/>
  <c r="DG26" i="2"/>
  <c r="CX26" i="2"/>
  <c r="CM26" i="2"/>
  <c r="CL26" i="2"/>
  <c r="CC26" i="2"/>
  <c r="BR26" i="2"/>
  <c r="BQ26" i="2"/>
  <c r="BH26" i="2"/>
  <c r="AW26" i="2"/>
  <c r="AV26" i="2"/>
  <c r="G26" i="2" s="1"/>
  <c r="F26" i="4" s="1"/>
  <c r="AM26" i="2"/>
  <c r="AB26" i="2"/>
  <c r="AA26" i="2"/>
  <c r="R26" i="2"/>
  <c r="E26" i="2" s="1"/>
  <c r="F26" i="2"/>
  <c r="E26" i="4" s="1"/>
  <c r="KO25" i="2"/>
  <c r="KN25" i="2"/>
  <c r="KE25" i="2"/>
  <c r="JT25" i="2"/>
  <c r="JS25" i="2"/>
  <c r="JJ25" i="2"/>
  <c r="IY25" i="2"/>
  <c r="IX25" i="2"/>
  <c r="IO25" i="2"/>
  <c r="ID25" i="2"/>
  <c r="IC25" i="2"/>
  <c r="HT25" i="2"/>
  <c r="HI25" i="2"/>
  <c r="HH25" i="2"/>
  <c r="GY25" i="2"/>
  <c r="GN25" i="2"/>
  <c r="GM25" i="2"/>
  <c r="GD25" i="2"/>
  <c r="FS25" i="2"/>
  <c r="FR25" i="2"/>
  <c r="FI25" i="2"/>
  <c r="EX25" i="2"/>
  <c r="EW25" i="2"/>
  <c r="EN25" i="2"/>
  <c r="EC25" i="2"/>
  <c r="EB25" i="2"/>
  <c r="DS25" i="2"/>
  <c r="DH25" i="2"/>
  <c r="DG25" i="2"/>
  <c r="CX25" i="2"/>
  <c r="CM25" i="2"/>
  <c r="CL25" i="2"/>
  <c r="CC25" i="2"/>
  <c r="BR25" i="2"/>
  <c r="BQ25" i="2"/>
  <c r="BH25" i="2"/>
  <c r="AW25" i="2"/>
  <c r="F25" i="2" s="1"/>
  <c r="E25" i="4" s="1"/>
  <c r="AV25" i="2"/>
  <c r="AM25" i="2"/>
  <c r="AB25" i="2"/>
  <c r="AA25" i="2"/>
  <c r="R25" i="2"/>
  <c r="G25" i="2"/>
  <c r="F25" i="4" s="1"/>
  <c r="E25" i="2"/>
  <c r="KO24" i="2"/>
  <c r="KN24" i="2"/>
  <c r="KE24" i="2"/>
  <c r="JT24" i="2"/>
  <c r="JS24" i="2"/>
  <c r="JJ24" i="2"/>
  <c r="IY24" i="2"/>
  <c r="IX24" i="2"/>
  <c r="IO24" i="2"/>
  <c r="ID24" i="2"/>
  <c r="IC24" i="2"/>
  <c r="HT24" i="2"/>
  <c r="HI24" i="2"/>
  <c r="HH24" i="2"/>
  <c r="GY24" i="2"/>
  <c r="GN24" i="2"/>
  <c r="GM24" i="2"/>
  <c r="GD24" i="2"/>
  <c r="FS24" i="2"/>
  <c r="FR24" i="2"/>
  <c r="FI24" i="2"/>
  <c r="EX24" i="2"/>
  <c r="EW24" i="2"/>
  <c r="EN24" i="2"/>
  <c r="EC24" i="2"/>
  <c r="EB24" i="2"/>
  <c r="DS24" i="2"/>
  <c r="DH24" i="2"/>
  <c r="DG24" i="2"/>
  <c r="CX24" i="2"/>
  <c r="CM24" i="2"/>
  <c r="CL24" i="2"/>
  <c r="CC24" i="2"/>
  <c r="BR24" i="2"/>
  <c r="BQ24" i="2"/>
  <c r="BH24" i="2"/>
  <c r="AW24" i="2"/>
  <c r="AV24" i="2"/>
  <c r="G24" i="2" s="1"/>
  <c r="F24" i="4" s="1"/>
  <c r="AM24" i="2"/>
  <c r="AB24" i="2"/>
  <c r="F24" i="2" s="1"/>
  <c r="E24" i="4" s="1"/>
  <c r="AA24" i="2"/>
  <c r="R24" i="2"/>
  <c r="E24" i="2" s="1"/>
  <c r="KO23" i="2"/>
  <c r="KN23" i="2"/>
  <c r="KE23" i="2"/>
  <c r="JT23" i="2"/>
  <c r="JS23" i="2"/>
  <c r="JJ23" i="2"/>
  <c r="IY23" i="2"/>
  <c r="IX23" i="2"/>
  <c r="IO23" i="2"/>
  <c r="ID23" i="2"/>
  <c r="IC23" i="2"/>
  <c r="HT23" i="2"/>
  <c r="HI23" i="2"/>
  <c r="HH23" i="2"/>
  <c r="GY23" i="2"/>
  <c r="GN23" i="2"/>
  <c r="GM23" i="2"/>
  <c r="GD23" i="2"/>
  <c r="FS23" i="2"/>
  <c r="FR23" i="2"/>
  <c r="FI23" i="2"/>
  <c r="EX23" i="2"/>
  <c r="EW23" i="2"/>
  <c r="EN23" i="2"/>
  <c r="EC23" i="2"/>
  <c r="EB23" i="2"/>
  <c r="DS23" i="2"/>
  <c r="DH23" i="2"/>
  <c r="DG23" i="2"/>
  <c r="CX23" i="2"/>
  <c r="CM23" i="2"/>
  <c r="CL23" i="2"/>
  <c r="CC23" i="2"/>
  <c r="BR23" i="2"/>
  <c r="BQ23" i="2"/>
  <c r="BH23" i="2"/>
  <c r="AW23" i="2"/>
  <c r="F23" i="2" s="1"/>
  <c r="E23" i="4" s="1"/>
  <c r="AV23" i="2"/>
  <c r="AM23" i="2"/>
  <c r="E23" i="2" s="1"/>
  <c r="E23" i="1" s="1"/>
  <c r="AB23" i="2"/>
  <c r="AA23" i="2"/>
  <c r="R23" i="2"/>
  <c r="G23" i="2"/>
  <c r="F23" i="4" s="1"/>
  <c r="KO22" i="2"/>
  <c r="KN22" i="2"/>
  <c r="KE22" i="2"/>
  <c r="JT22" i="2"/>
  <c r="JS22" i="2"/>
  <c r="JJ22" i="2"/>
  <c r="IY22" i="2"/>
  <c r="IX22" i="2"/>
  <c r="IO22" i="2"/>
  <c r="ID22" i="2"/>
  <c r="IC22" i="2"/>
  <c r="HT22" i="2"/>
  <c r="HI22" i="2"/>
  <c r="HH22" i="2"/>
  <c r="GY22" i="2"/>
  <c r="GN22" i="2"/>
  <c r="GM22" i="2"/>
  <c r="GD22" i="2"/>
  <c r="FS22" i="2"/>
  <c r="FR22" i="2"/>
  <c r="FI22" i="2"/>
  <c r="EX22" i="2"/>
  <c r="EW22" i="2"/>
  <c r="EN22" i="2"/>
  <c r="EC22" i="2"/>
  <c r="EB22" i="2"/>
  <c r="DS22" i="2"/>
  <c r="DH22" i="2"/>
  <c r="DG22" i="2"/>
  <c r="CX22" i="2"/>
  <c r="CM22" i="2"/>
  <c r="CL22" i="2"/>
  <c r="CC22" i="2"/>
  <c r="BR22" i="2"/>
  <c r="BQ22" i="2"/>
  <c r="BH22" i="2"/>
  <c r="AW22" i="2"/>
  <c r="AV22" i="2"/>
  <c r="G22" i="2" s="1"/>
  <c r="F22" i="4" s="1"/>
  <c r="AM22" i="2"/>
  <c r="AB22" i="2"/>
  <c r="AA22" i="2"/>
  <c r="R22" i="2"/>
  <c r="E22" i="2" s="1"/>
  <c r="F22" i="2"/>
  <c r="E22" i="4" s="1"/>
  <c r="KO21" i="2"/>
  <c r="KN21" i="2"/>
  <c r="KE21" i="2"/>
  <c r="JT21" i="2"/>
  <c r="JS21" i="2"/>
  <c r="JJ21" i="2"/>
  <c r="IY21" i="2"/>
  <c r="IX21" i="2"/>
  <c r="IO21" i="2"/>
  <c r="ID21" i="2"/>
  <c r="IC21" i="2"/>
  <c r="HT21" i="2"/>
  <c r="HI21" i="2"/>
  <c r="HH21" i="2"/>
  <c r="GY21" i="2"/>
  <c r="GN21" i="2"/>
  <c r="GM21" i="2"/>
  <c r="GD21" i="2"/>
  <c r="FS21" i="2"/>
  <c r="FR21" i="2"/>
  <c r="FI21" i="2"/>
  <c r="EX21" i="2"/>
  <c r="EW21" i="2"/>
  <c r="EN21" i="2"/>
  <c r="EC21" i="2"/>
  <c r="EB21" i="2"/>
  <c r="DS21" i="2"/>
  <c r="DH21" i="2"/>
  <c r="DG21" i="2"/>
  <c r="CX21" i="2"/>
  <c r="CM21" i="2"/>
  <c r="CL21" i="2"/>
  <c r="CC21" i="2"/>
  <c r="BR21" i="2"/>
  <c r="BQ21" i="2"/>
  <c r="BH21" i="2"/>
  <c r="AW21" i="2"/>
  <c r="F21" i="2" s="1"/>
  <c r="E21" i="4" s="1"/>
  <c r="G21" i="4" s="1"/>
  <c r="J21" i="1" s="1"/>
  <c r="AV21" i="2"/>
  <c r="AM21" i="2"/>
  <c r="AB21" i="2"/>
  <c r="AA21" i="2"/>
  <c r="R21" i="2"/>
  <c r="G21" i="2"/>
  <c r="F21" i="4" s="1"/>
  <c r="E21" i="2"/>
  <c r="KO20" i="2"/>
  <c r="KN20" i="2"/>
  <c r="KE20" i="2"/>
  <c r="JT20" i="2"/>
  <c r="JS20" i="2"/>
  <c r="JJ20" i="2"/>
  <c r="IY20" i="2"/>
  <c r="IX20" i="2"/>
  <c r="IO20" i="2"/>
  <c r="ID20" i="2"/>
  <c r="IC20" i="2"/>
  <c r="HT20" i="2"/>
  <c r="HI20" i="2"/>
  <c r="HH20" i="2"/>
  <c r="GY20" i="2"/>
  <c r="GN20" i="2"/>
  <c r="GM20" i="2"/>
  <c r="GD20" i="2"/>
  <c r="FS20" i="2"/>
  <c r="FR20" i="2"/>
  <c r="FI20" i="2"/>
  <c r="EX20" i="2"/>
  <c r="EW20" i="2"/>
  <c r="EN20" i="2"/>
  <c r="EC20" i="2"/>
  <c r="EB20" i="2"/>
  <c r="DS20" i="2"/>
  <c r="DH20" i="2"/>
  <c r="DG20" i="2"/>
  <c r="CX20" i="2"/>
  <c r="CM20" i="2"/>
  <c r="CL20" i="2"/>
  <c r="CC20" i="2"/>
  <c r="BR20" i="2"/>
  <c r="BQ20" i="2"/>
  <c r="BH20" i="2"/>
  <c r="AW20" i="2"/>
  <c r="AV20" i="2"/>
  <c r="G20" i="2" s="1"/>
  <c r="F20" i="4" s="1"/>
  <c r="AM20" i="2"/>
  <c r="AB20" i="2"/>
  <c r="F20" i="2" s="1"/>
  <c r="E20" i="4" s="1"/>
  <c r="AA20" i="2"/>
  <c r="R20" i="2"/>
  <c r="E20" i="2" s="1"/>
  <c r="KO19" i="2"/>
  <c r="KN19" i="2"/>
  <c r="KE19" i="2"/>
  <c r="JT19" i="2"/>
  <c r="JS19" i="2"/>
  <c r="JJ19" i="2"/>
  <c r="IY19" i="2"/>
  <c r="IX19" i="2"/>
  <c r="IO19" i="2"/>
  <c r="ID19" i="2"/>
  <c r="IC19" i="2"/>
  <c r="HT19" i="2"/>
  <c r="HI19" i="2"/>
  <c r="HH19" i="2"/>
  <c r="GY19" i="2"/>
  <c r="GN19" i="2"/>
  <c r="GM19" i="2"/>
  <c r="GD19" i="2"/>
  <c r="FS19" i="2"/>
  <c r="FR19" i="2"/>
  <c r="FI19" i="2"/>
  <c r="EX19" i="2"/>
  <c r="EW19" i="2"/>
  <c r="EN19" i="2"/>
  <c r="EC19" i="2"/>
  <c r="EB19" i="2"/>
  <c r="DS19" i="2"/>
  <c r="DH19" i="2"/>
  <c r="DG19" i="2"/>
  <c r="CX19" i="2"/>
  <c r="CM19" i="2"/>
  <c r="CL19" i="2"/>
  <c r="CC19" i="2"/>
  <c r="BR19" i="2"/>
  <c r="BQ19" i="2"/>
  <c r="BH19" i="2"/>
  <c r="AW19" i="2"/>
  <c r="F19" i="2" s="1"/>
  <c r="E19" i="4" s="1"/>
  <c r="AV19" i="2"/>
  <c r="AM19" i="2"/>
  <c r="E19" i="2" s="1"/>
  <c r="E19" i="1" s="1"/>
  <c r="AB19" i="2"/>
  <c r="AA19" i="2"/>
  <c r="R19" i="2"/>
  <c r="G19" i="2"/>
  <c r="F19" i="4" s="1"/>
  <c r="KO18" i="2"/>
  <c r="KN18" i="2"/>
  <c r="KE18" i="2"/>
  <c r="JT18" i="2"/>
  <c r="JS18" i="2"/>
  <c r="JJ18" i="2"/>
  <c r="IY18" i="2"/>
  <c r="IX18" i="2"/>
  <c r="IO18" i="2"/>
  <c r="ID18" i="2"/>
  <c r="IC18" i="2"/>
  <c r="HT18" i="2"/>
  <c r="HI18" i="2"/>
  <c r="HH18" i="2"/>
  <c r="GY18" i="2"/>
  <c r="GN18" i="2"/>
  <c r="GM18" i="2"/>
  <c r="GD18" i="2"/>
  <c r="FS18" i="2"/>
  <c r="FR18" i="2"/>
  <c r="FI18" i="2"/>
  <c r="EX18" i="2"/>
  <c r="EW18" i="2"/>
  <c r="EN18" i="2"/>
  <c r="EC18" i="2"/>
  <c r="EB18" i="2"/>
  <c r="DS18" i="2"/>
  <c r="DH18" i="2"/>
  <c r="DG18" i="2"/>
  <c r="CX18" i="2"/>
  <c r="CM18" i="2"/>
  <c r="CL18" i="2"/>
  <c r="CC18" i="2"/>
  <c r="BR18" i="2"/>
  <c r="BQ18" i="2"/>
  <c r="BH18" i="2"/>
  <c r="AW18" i="2"/>
  <c r="AV18" i="2"/>
  <c r="G18" i="2" s="1"/>
  <c r="F18" i="4" s="1"/>
  <c r="AM18" i="2"/>
  <c r="AB18" i="2"/>
  <c r="AA18" i="2"/>
  <c r="R18" i="2"/>
  <c r="E18" i="2" s="1"/>
  <c r="F18" i="2"/>
  <c r="E18" i="4" s="1"/>
  <c r="KO17" i="2"/>
  <c r="KN17" i="2"/>
  <c r="KE17" i="2"/>
  <c r="JT17" i="2"/>
  <c r="JS17" i="2"/>
  <c r="JJ17" i="2"/>
  <c r="IY17" i="2"/>
  <c r="IX17" i="2"/>
  <c r="IO17" i="2"/>
  <c r="ID17" i="2"/>
  <c r="IC17" i="2"/>
  <c r="HT17" i="2"/>
  <c r="HI17" i="2"/>
  <c r="HH17" i="2"/>
  <c r="GY17" i="2"/>
  <c r="GN17" i="2"/>
  <c r="GM17" i="2"/>
  <c r="GD17" i="2"/>
  <c r="FS17" i="2"/>
  <c r="FR17" i="2"/>
  <c r="FI17" i="2"/>
  <c r="EX17" i="2"/>
  <c r="EW17" i="2"/>
  <c r="EN17" i="2"/>
  <c r="EC17" i="2"/>
  <c r="EB17" i="2"/>
  <c r="DS17" i="2"/>
  <c r="DH17" i="2"/>
  <c r="DG17" i="2"/>
  <c r="CX17" i="2"/>
  <c r="CM17" i="2"/>
  <c r="CL17" i="2"/>
  <c r="CC17" i="2"/>
  <c r="BR17" i="2"/>
  <c r="BQ17" i="2"/>
  <c r="BH17" i="2"/>
  <c r="AW17" i="2"/>
  <c r="F17" i="2" s="1"/>
  <c r="E17" i="4" s="1"/>
  <c r="AV17" i="2"/>
  <c r="AM17" i="2"/>
  <c r="AB17" i="2"/>
  <c r="AA17" i="2"/>
  <c r="R17" i="2"/>
  <c r="G17" i="2"/>
  <c r="F17" i="4" s="1"/>
  <c r="E17" i="2"/>
  <c r="KO16" i="2"/>
  <c r="KN16" i="2"/>
  <c r="KE16" i="2"/>
  <c r="JT16" i="2"/>
  <c r="JS16" i="2"/>
  <c r="JJ16" i="2"/>
  <c r="IY16" i="2"/>
  <c r="IX16" i="2"/>
  <c r="IO16" i="2"/>
  <c r="ID16" i="2"/>
  <c r="IC16" i="2"/>
  <c r="HT16" i="2"/>
  <c r="HI16" i="2"/>
  <c r="HH16" i="2"/>
  <c r="GY16" i="2"/>
  <c r="GN16" i="2"/>
  <c r="GM16" i="2"/>
  <c r="GD16" i="2"/>
  <c r="FS16" i="2"/>
  <c r="FR16" i="2"/>
  <c r="FI16" i="2"/>
  <c r="EX16" i="2"/>
  <c r="EW16" i="2"/>
  <c r="EN16" i="2"/>
  <c r="EC16" i="2"/>
  <c r="EB16" i="2"/>
  <c r="DS16" i="2"/>
  <c r="DH16" i="2"/>
  <c r="DG16" i="2"/>
  <c r="CX16" i="2"/>
  <c r="CM16" i="2"/>
  <c r="CL16" i="2"/>
  <c r="CC16" i="2"/>
  <c r="BR16" i="2"/>
  <c r="BQ16" i="2"/>
  <c r="BH16" i="2"/>
  <c r="AW16" i="2"/>
  <c r="AV16" i="2"/>
  <c r="G16" i="2" s="1"/>
  <c r="F16" i="4" s="1"/>
  <c r="AM16" i="2"/>
  <c r="AB16" i="2"/>
  <c r="F16" i="2" s="1"/>
  <c r="E16" i="4" s="1"/>
  <c r="AA16" i="2"/>
  <c r="R16" i="2"/>
  <c r="E16" i="2" s="1"/>
  <c r="KO15" i="2"/>
  <c r="KN15" i="2"/>
  <c r="KE15" i="2"/>
  <c r="JT15" i="2"/>
  <c r="JS15" i="2"/>
  <c r="JJ15" i="2"/>
  <c r="IY15" i="2"/>
  <c r="IX15" i="2"/>
  <c r="IO15" i="2"/>
  <c r="ID15" i="2"/>
  <c r="IC15" i="2"/>
  <c r="HT15" i="2"/>
  <c r="HI15" i="2"/>
  <c r="HH15" i="2"/>
  <c r="GY15" i="2"/>
  <c r="GN15" i="2"/>
  <c r="GM15" i="2"/>
  <c r="GD15" i="2"/>
  <c r="FS15" i="2"/>
  <c r="FR15" i="2"/>
  <c r="FI15" i="2"/>
  <c r="EX15" i="2"/>
  <c r="EW15" i="2"/>
  <c r="EN15" i="2"/>
  <c r="EC15" i="2"/>
  <c r="EB15" i="2"/>
  <c r="DS15" i="2"/>
  <c r="DH15" i="2"/>
  <c r="DG15" i="2"/>
  <c r="CX15" i="2"/>
  <c r="CM15" i="2"/>
  <c r="CL15" i="2"/>
  <c r="CC15" i="2"/>
  <c r="BR15" i="2"/>
  <c r="BQ15" i="2"/>
  <c r="BH15" i="2"/>
  <c r="AW15" i="2"/>
  <c r="F15" i="2" s="1"/>
  <c r="E15" i="4" s="1"/>
  <c r="AV15" i="2"/>
  <c r="AM15" i="2"/>
  <c r="E15" i="2" s="1"/>
  <c r="E15" i="1" s="1"/>
  <c r="AB15" i="2"/>
  <c r="AA15" i="2"/>
  <c r="R15" i="2"/>
  <c r="G15" i="2"/>
  <c r="F15" i="4" s="1"/>
  <c r="KO14" i="2"/>
  <c r="KN14" i="2"/>
  <c r="KE14" i="2"/>
  <c r="JT14" i="2"/>
  <c r="JS14" i="2"/>
  <c r="JJ14" i="2"/>
  <c r="IY14" i="2"/>
  <c r="IX14" i="2"/>
  <c r="IO14" i="2"/>
  <c r="ID14" i="2"/>
  <c r="IC14" i="2"/>
  <c r="HT14" i="2"/>
  <c r="HI14" i="2"/>
  <c r="HH14" i="2"/>
  <c r="GY14" i="2"/>
  <c r="GN14" i="2"/>
  <c r="GM14" i="2"/>
  <c r="GD14" i="2"/>
  <c r="FS14" i="2"/>
  <c r="FR14" i="2"/>
  <c r="FI14" i="2"/>
  <c r="EX14" i="2"/>
  <c r="EW14" i="2"/>
  <c r="EN14" i="2"/>
  <c r="EC14" i="2"/>
  <c r="EB14" i="2"/>
  <c r="DS14" i="2"/>
  <c r="DH14" i="2"/>
  <c r="DG14" i="2"/>
  <c r="CX14" i="2"/>
  <c r="CM14" i="2"/>
  <c r="CL14" i="2"/>
  <c r="CC14" i="2"/>
  <c r="BR14" i="2"/>
  <c r="BQ14" i="2"/>
  <c r="BH14" i="2"/>
  <c r="AW14" i="2"/>
  <c r="AV14" i="2"/>
  <c r="G14" i="2" s="1"/>
  <c r="F14" i="4" s="1"/>
  <c r="AM14" i="2"/>
  <c r="AB14" i="2"/>
  <c r="AA14" i="2"/>
  <c r="R14" i="2"/>
  <c r="E14" i="2" s="1"/>
  <c r="F14" i="2"/>
  <c r="E14" i="4" s="1"/>
  <c r="KO13" i="2"/>
  <c r="KN13" i="2"/>
  <c r="KE13" i="2"/>
  <c r="JT13" i="2"/>
  <c r="JS13" i="2"/>
  <c r="JJ13" i="2"/>
  <c r="IY13" i="2"/>
  <c r="IX13" i="2"/>
  <c r="IO13" i="2"/>
  <c r="ID13" i="2"/>
  <c r="IC13" i="2"/>
  <c r="HT13" i="2"/>
  <c r="HI13" i="2"/>
  <c r="HH13" i="2"/>
  <c r="GY13" i="2"/>
  <c r="GN13" i="2"/>
  <c r="GM13" i="2"/>
  <c r="GD13" i="2"/>
  <c r="FS13" i="2"/>
  <c r="FR13" i="2"/>
  <c r="FI13" i="2"/>
  <c r="EX13" i="2"/>
  <c r="EW13" i="2"/>
  <c r="EN13" i="2"/>
  <c r="EC13" i="2"/>
  <c r="EB13" i="2"/>
  <c r="DS13" i="2"/>
  <c r="DH13" i="2"/>
  <c r="DG13" i="2"/>
  <c r="CX13" i="2"/>
  <c r="CM13" i="2"/>
  <c r="CL13" i="2"/>
  <c r="CC13" i="2"/>
  <c r="BR13" i="2"/>
  <c r="BQ13" i="2"/>
  <c r="BH13" i="2"/>
  <c r="AW13" i="2"/>
  <c r="F13" i="2" s="1"/>
  <c r="E13" i="4" s="1"/>
  <c r="G13" i="4" s="1"/>
  <c r="J13" i="1" s="1"/>
  <c r="AV13" i="2"/>
  <c r="AM13" i="2"/>
  <c r="AB13" i="2"/>
  <c r="AA13" i="2"/>
  <c r="R13" i="2"/>
  <c r="G13" i="2"/>
  <c r="F13" i="4" s="1"/>
  <c r="E13" i="2"/>
  <c r="KO12" i="2"/>
  <c r="KN12" i="2"/>
  <c r="KE12" i="2"/>
  <c r="JT12" i="2"/>
  <c r="JS12" i="2"/>
  <c r="JJ12" i="2"/>
  <c r="IY12" i="2"/>
  <c r="IX12" i="2"/>
  <c r="IO12" i="2"/>
  <c r="ID12" i="2"/>
  <c r="IC12" i="2"/>
  <c r="HT12" i="2"/>
  <c r="HI12" i="2"/>
  <c r="HH12" i="2"/>
  <c r="GY12" i="2"/>
  <c r="GN12" i="2"/>
  <c r="GM12" i="2"/>
  <c r="GD12" i="2"/>
  <c r="FS12" i="2"/>
  <c r="FR12" i="2"/>
  <c r="FI12" i="2"/>
  <c r="EX12" i="2"/>
  <c r="EW12" i="2"/>
  <c r="EN12" i="2"/>
  <c r="EC12" i="2"/>
  <c r="EB12" i="2"/>
  <c r="DS12" i="2"/>
  <c r="DH12" i="2"/>
  <c r="DG12" i="2"/>
  <c r="CX12" i="2"/>
  <c r="CM12" i="2"/>
  <c r="CL12" i="2"/>
  <c r="CC12" i="2"/>
  <c r="BR12" i="2"/>
  <c r="BQ12" i="2"/>
  <c r="BH12" i="2"/>
  <c r="AW12" i="2"/>
  <c r="AV12" i="2"/>
  <c r="G12" i="2" s="1"/>
  <c r="F12" i="4" s="1"/>
  <c r="AM12" i="2"/>
  <c r="AB12" i="2"/>
  <c r="F12" i="2" s="1"/>
  <c r="E12" i="4" s="1"/>
  <c r="AA12" i="2"/>
  <c r="R12" i="2"/>
  <c r="E12" i="2" s="1"/>
  <c r="KO11" i="2"/>
  <c r="KN11" i="2"/>
  <c r="KE11" i="2"/>
  <c r="JT11" i="2"/>
  <c r="JS11" i="2"/>
  <c r="JJ11" i="2"/>
  <c r="IY11" i="2"/>
  <c r="IX11" i="2"/>
  <c r="IO11" i="2"/>
  <c r="ID11" i="2"/>
  <c r="IC11" i="2"/>
  <c r="HT11" i="2"/>
  <c r="HI11" i="2"/>
  <c r="HH11" i="2"/>
  <c r="GY11" i="2"/>
  <c r="GN11" i="2"/>
  <c r="GM11" i="2"/>
  <c r="GD11" i="2"/>
  <c r="FS11" i="2"/>
  <c r="FR11" i="2"/>
  <c r="FI11" i="2"/>
  <c r="EX11" i="2"/>
  <c r="EW11" i="2"/>
  <c r="EN11" i="2"/>
  <c r="EC11" i="2"/>
  <c r="EB11" i="2"/>
  <c r="DS11" i="2"/>
  <c r="DH11" i="2"/>
  <c r="DG11" i="2"/>
  <c r="CX11" i="2"/>
  <c r="CM11" i="2"/>
  <c r="CL11" i="2"/>
  <c r="CC11" i="2"/>
  <c r="BR11" i="2"/>
  <c r="BQ11" i="2"/>
  <c r="BH11" i="2"/>
  <c r="AW11" i="2"/>
  <c r="F11" i="2" s="1"/>
  <c r="E11" i="4" s="1"/>
  <c r="AV11" i="2"/>
  <c r="AM11" i="2"/>
  <c r="E11" i="2" s="1"/>
  <c r="E11" i="1" s="1"/>
  <c r="AB11" i="2"/>
  <c r="AA11" i="2"/>
  <c r="R11" i="2"/>
  <c r="G11" i="2"/>
  <c r="F11" i="4" s="1"/>
  <c r="KO10" i="2"/>
  <c r="KN10" i="2"/>
  <c r="KE10" i="2"/>
  <c r="JT10" i="2"/>
  <c r="JS10" i="2"/>
  <c r="JJ10" i="2"/>
  <c r="IY10" i="2"/>
  <c r="IX10" i="2"/>
  <c r="IO10" i="2"/>
  <c r="ID10" i="2"/>
  <c r="IC10" i="2"/>
  <c r="HT10" i="2"/>
  <c r="HI10" i="2"/>
  <c r="HH10" i="2"/>
  <c r="GY10" i="2"/>
  <c r="GN10" i="2"/>
  <c r="GM10" i="2"/>
  <c r="GD10" i="2"/>
  <c r="FS10" i="2"/>
  <c r="FR10" i="2"/>
  <c r="FI10" i="2"/>
  <c r="EX10" i="2"/>
  <c r="EW10" i="2"/>
  <c r="EN10" i="2"/>
  <c r="EC10" i="2"/>
  <c r="EB10" i="2"/>
  <c r="DS10" i="2"/>
  <c r="DH10" i="2"/>
  <c r="DG10" i="2"/>
  <c r="CX10" i="2"/>
  <c r="CM10" i="2"/>
  <c r="CL10" i="2"/>
  <c r="CC10" i="2"/>
  <c r="BR10" i="2"/>
  <c r="BQ10" i="2"/>
  <c r="BH10" i="2"/>
  <c r="AW10" i="2"/>
  <c r="AV10" i="2"/>
  <c r="G10" i="2" s="1"/>
  <c r="F10" i="4" s="1"/>
  <c r="AM10" i="2"/>
  <c r="AB10" i="2"/>
  <c r="AA10" i="2"/>
  <c r="R10" i="2"/>
  <c r="E10" i="2" s="1"/>
  <c r="F10" i="2"/>
  <c r="E10" i="4" s="1"/>
  <c r="KO9" i="2"/>
  <c r="KN9" i="2"/>
  <c r="KE9" i="2"/>
  <c r="JT9" i="2"/>
  <c r="JS9" i="2"/>
  <c r="JJ9" i="2"/>
  <c r="IY9" i="2"/>
  <c r="IX9" i="2"/>
  <c r="IO9" i="2"/>
  <c r="ID9" i="2"/>
  <c r="IC9" i="2"/>
  <c r="HT9" i="2"/>
  <c r="HI9" i="2"/>
  <c r="HH9" i="2"/>
  <c r="GY9" i="2"/>
  <c r="GN9" i="2"/>
  <c r="GM9" i="2"/>
  <c r="GD9" i="2"/>
  <c r="FS9" i="2"/>
  <c r="FR9" i="2"/>
  <c r="FI9" i="2"/>
  <c r="EX9" i="2"/>
  <c r="EW9" i="2"/>
  <c r="EN9" i="2"/>
  <c r="EC9" i="2"/>
  <c r="EB9" i="2"/>
  <c r="DS9" i="2"/>
  <c r="DH9" i="2"/>
  <c r="DG9" i="2"/>
  <c r="CX9" i="2"/>
  <c r="CM9" i="2"/>
  <c r="CL9" i="2"/>
  <c r="CC9" i="2"/>
  <c r="BR9" i="2"/>
  <c r="BQ9" i="2"/>
  <c r="BH9" i="2"/>
  <c r="AW9" i="2"/>
  <c r="AV9" i="2"/>
  <c r="AM9" i="2"/>
  <c r="AB9" i="2"/>
  <c r="AA9" i="2"/>
  <c r="R9" i="2"/>
  <c r="G9" i="2"/>
  <c r="F9" i="4" s="1"/>
  <c r="F41" i="4" s="1"/>
  <c r="I12" i="7" s="1"/>
  <c r="E9" i="2"/>
  <c r="E40" i="1"/>
  <c r="G40" i="1" s="1"/>
  <c r="K40" i="1" s="1"/>
  <c r="L40" i="1" s="1"/>
  <c r="E38" i="1"/>
  <c r="G38" i="1" s="1"/>
  <c r="K38" i="1" s="1"/>
  <c r="L38" i="1" s="1"/>
  <c r="E37" i="1"/>
  <c r="G37" i="1" s="1"/>
  <c r="K37" i="1" s="1"/>
  <c r="L37" i="1" s="1"/>
  <c r="E36" i="1"/>
  <c r="G36" i="1" s="1"/>
  <c r="K36" i="1" s="1"/>
  <c r="L36" i="1" s="1"/>
  <c r="E34" i="1"/>
  <c r="G34" i="1" s="1"/>
  <c r="K34" i="1" s="1"/>
  <c r="L34" i="1" s="1"/>
  <c r="E33" i="1"/>
  <c r="G33" i="1" s="1"/>
  <c r="K33" i="1" s="1"/>
  <c r="L33" i="1" s="1"/>
  <c r="F32" i="1"/>
  <c r="E32" i="1"/>
  <c r="G32" i="1" s="1"/>
  <c r="K32" i="1" s="1"/>
  <c r="L32" i="1" s="1"/>
  <c r="F30" i="1"/>
  <c r="E30" i="1"/>
  <c r="I30" i="1" s="1"/>
  <c r="F29" i="1"/>
  <c r="E29" i="1"/>
  <c r="I29" i="1" s="1"/>
  <c r="F28" i="1"/>
  <c r="E28" i="1"/>
  <c r="I28" i="1" s="1"/>
  <c r="F26" i="1"/>
  <c r="E26" i="1"/>
  <c r="G26" i="1" s="1"/>
  <c r="K26" i="1" s="1"/>
  <c r="L26" i="1" s="1"/>
  <c r="F25" i="1"/>
  <c r="E25" i="1"/>
  <c r="I25" i="1" s="1"/>
  <c r="F24" i="1"/>
  <c r="E24" i="1"/>
  <c r="I24" i="1" s="1"/>
  <c r="F22" i="1"/>
  <c r="E22" i="1"/>
  <c r="G22" i="1" s="1"/>
  <c r="K22" i="1" s="1"/>
  <c r="L22" i="1" s="1"/>
  <c r="F21" i="1"/>
  <c r="E21" i="1"/>
  <c r="I21" i="1" s="1"/>
  <c r="F20" i="1"/>
  <c r="E20" i="1"/>
  <c r="I20" i="1" s="1"/>
  <c r="F18" i="1"/>
  <c r="E18" i="1"/>
  <c r="G18" i="1" s="1"/>
  <c r="K18" i="1" s="1"/>
  <c r="L18" i="1" s="1"/>
  <c r="F17" i="1"/>
  <c r="E17" i="1"/>
  <c r="I17" i="1" s="1"/>
  <c r="F16" i="1"/>
  <c r="E16" i="1"/>
  <c r="I16" i="1" s="1"/>
  <c r="F14" i="1"/>
  <c r="E14" i="1"/>
  <c r="G14" i="1" s="1"/>
  <c r="K14" i="1" s="1"/>
  <c r="L14" i="1" s="1"/>
  <c r="F13" i="1"/>
  <c r="E13" i="1"/>
  <c r="I13" i="1" s="1"/>
  <c r="F12" i="1"/>
  <c r="E12" i="1"/>
  <c r="G12" i="1" s="1"/>
  <c r="K12" i="1" s="1"/>
  <c r="L12" i="1" s="1"/>
  <c r="F10" i="1"/>
  <c r="E10" i="1"/>
  <c r="G10" i="1" s="1"/>
  <c r="K10" i="1" s="1"/>
  <c r="L10" i="1" s="1"/>
  <c r="F9" i="1"/>
  <c r="C8" i="5" s="1"/>
  <c r="E9" i="1"/>
  <c r="A8" i="5" s="1"/>
  <c r="B5" i="1"/>
  <c r="F32" i="5"/>
  <c r="D32" i="5"/>
  <c r="F31" i="5"/>
  <c r="D31" i="5"/>
  <c r="F30" i="5"/>
  <c r="D30" i="5"/>
  <c r="F29" i="5"/>
  <c r="D29" i="5"/>
  <c r="F28" i="5"/>
  <c r="D28" i="5"/>
  <c r="F27" i="5"/>
  <c r="D27" i="5"/>
  <c r="F26" i="5"/>
  <c r="D26" i="5"/>
  <c r="F25" i="5"/>
  <c r="D25" i="5"/>
  <c r="F24" i="5"/>
  <c r="D24" i="5"/>
  <c r="F23" i="5"/>
  <c r="D23" i="5"/>
  <c r="F22" i="5"/>
  <c r="D22" i="5"/>
  <c r="F21" i="5"/>
  <c r="D21" i="5"/>
  <c r="F20" i="5"/>
  <c r="D20" i="5"/>
  <c r="F19" i="5"/>
  <c r="D19" i="5"/>
  <c r="F18" i="5"/>
  <c r="D18" i="5"/>
  <c r="F17" i="5"/>
  <c r="D17" i="5"/>
  <c r="F16" i="5"/>
  <c r="D16" i="5"/>
  <c r="F15" i="5"/>
  <c r="D15" i="5"/>
  <c r="F14" i="5"/>
  <c r="D14" i="5"/>
  <c r="F13" i="5"/>
  <c r="D1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E31" i="5"/>
  <c r="E29" i="5"/>
  <c r="E27" i="5"/>
  <c r="E25" i="5"/>
  <c r="E23" i="5"/>
  <c r="E21" i="5"/>
  <c r="E19" i="5"/>
  <c r="E17" i="5"/>
  <c r="E15" i="5"/>
  <c r="E13" i="5"/>
  <c r="E30" i="5"/>
  <c r="E26" i="5"/>
  <c r="E22" i="5"/>
  <c r="E18" i="5"/>
  <c r="E14" i="5"/>
  <c r="E32" i="5"/>
  <c r="E28" i="5"/>
  <c r="E24" i="5"/>
  <c r="E20" i="5"/>
  <c r="E16" i="5"/>
  <c r="F9" i="2" l="1"/>
  <c r="E9" i="4" s="1"/>
  <c r="E41" i="4" s="1"/>
  <c r="I11" i="7" s="1"/>
  <c r="I16" i="4"/>
  <c r="G16" i="4"/>
  <c r="J16" i="1" s="1"/>
  <c r="H16" i="4"/>
  <c r="H16" i="1" s="1"/>
  <c r="I24" i="4"/>
  <c r="G24" i="4"/>
  <c r="J24" i="1" s="1"/>
  <c r="H24" i="4"/>
  <c r="H24" i="1" s="1"/>
  <c r="H32" i="4"/>
  <c r="H32" i="1" s="1"/>
  <c r="I32" i="4"/>
  <c r="G32" i="4"/>
  <c r="J32" i="1" s="1"/>
  <c r="H38" i="4"/>
  <c r="H38" i="1" s="1"/>
  <c r="G38" i="4"/>
  <c r="J38" i="1" s="1"/>
  <c r="I38" i="4"/>
  <c r="H40" i="4"/>
  <c r="H40" i="1" s="1"/>
  <c r="I40" i="4"/>
  <c r="G40" i="4"/>
  <c r="J40" i="1" s="1"/>
  <c r="I12" i="4"/>
  <c r="G12" i="4"/>
  <c r="J12" i="1" s="1"/>
  <c r="H12" i="4"/>
  <c r="H12" i="1" s="1"/>
  <c r="I20" i="4"/>
  <c r="G20" i="4"/>
  <c r="J20" i="1" s="1"/>
  <c r="H20" i="4"/>
  <c r="H20" i="1" s="1"/>
  <c r="I28" i="4"/>
  <c r="G28" i="4"/>
  <c r="J28" i="1" s="1"/>
  <c r="H28" i="4"/>
  <c r="H28" i="1" s="1"/>
  <c r="H36" i="4"/>
  <c r="H36" i="1" s="1"/>
  <c r="I36" i="4"/>
  <c r="G36" i="4"/>
  <c r="J36" i="1" s="1"/>
  <c r="I16" i="7"/>
  <c r="H9" i="4"/>
  <c r="H9" i="1" s="1"/>
  <c r="G9" i="4"/>
  <c r="G11" i="1"/>
  <c r="K11" i="1" s="1"/>
  <c r="L11" i="1" s="1"/>
  <c r="I11" i="1"/>
  <c r="H11" i="4"/>
  <c r="H11" i="1" s="1"/>
  <c r="G11" i="4"/>
  <c r="J11" i="1" s="1"/>
  <c r="I11" i="4"/>
  <c r="G15" i="1"/>
  <c r="K15" i="1" s="1"/>
  <c r="L15" i="1" s="1"/>
  <c r="I15" i="1"/>
  <c r="H15" i="4"/>
  <c r="H15" i="1" s="1"/>
  <c r="G15" i="4"/>
  <c r="J15" i="1" s="1"/>
  <c r="I15" i="4"/>
  <c r="I19" i="1"/>
  <c r="G19" i="1"/>
  <c r="K19" i="1" s="1"/>
  <c r="L19" i="1" s="1"/>
  <c r="H19" i="4"/>
  <c r="H19" i="1" s="1"/>
  <c r="G19" i="4"/>
  <c r="J19" i="1" s="1"/>
  <c r="I19" i="4"/>
  <c r="G23" i="1"/>
  <c r="K23" i="1" s="1"/>
  <c r="L23" i="1" s="1"/>
  <c r="I23" i="1"/>
  <c r="H23" i="4"/>
  <c r="H23" i="1" s="1"/>
  <c r="G23" i="4"/>
  <c r="J23" i="1" s="1"/>
  <c r="I23" i="4"/>
  <c r="G27" i="1"/>
  <c r="K27" i="1" s="1"/>
  <c r="L27" i="1" s="1"/>
  <c r="I27" i="1"/>
  <c r="H27" i="4"/>
  <c r="H27" i="1" s="1"/>
  <c r="G27" i="4"/>
  <c r="J27" i="1" s="1"/>
  <c r="I27" i="4"/>
  <c r="I31" i="1"/>
  <c r="G31" i="1"/>
  <c r="K31" i="1" s="1"/>
  <c r="L31" i="1" s="1"/>
  <c r="G35" i="1"/>
  <c r="K35" i="1" s="1"/>
  <c r="L35" i="1" s="1"/>
  <c r="I35" i="1"/>
  <c r="G39" i="1"/>
  <c r="K39" i="1" s="1"/>
  <c r="L39" i="1" s="1"/>
  <c r="I39" i="1"/>
  <c r="G9" i="1"/>
  <c r="I10" i="1"/>
  <c r="I12" i="1"/>
  <c r="G13" i="1"/>
  <c r="K13" i="1" s="1"/>
  <c r="L13" i="1" s="1"/>
  <c r="I14" i="1"/>
  <c r="G16" i="1"/>
  <c r="K16" i="1" s="1"/>
  <c r="L16" i="1" s="1"/>
  <c r="G17" i="1"/>
  <c r="K17" i="1" s="1"/>
  <c r="L17" i="1" s="1"/>
  <c r="I18" i="1"/>
  <c r="G20" i="1"/>
  <c r="K20" i="1" s="1"/>
  <c r="L20" i="1" s="1"/>
  <c r="G21" i="1"/>
  <c r="K21" i="1" s="1"/>
  <c r="L21" i="1" s="1"/>
  <c r="I22" i="1"/>
  <c r="G24" i="1"/>
  <c r="K24" i="1" s="1"/>
  <c r="L24" i="1" s="1"/>
  <c r="G25" i="1"/>
  <c r="K25" i="1" s="1"/>
  <c r="L25" i="1" s="1"/>
  <c r="I26" i="1"/>
  <c r="G28" i="1"/>
  <c r="K28" i="1" s="1"/>
  <c r="L28" i="1" s="1"/>
  <c r="G29" i="1"/>
  <c r="K29" i="1" s="1"/>
  <c r="L29" i="1" s="1"/>
  <c r="G30" i="1"/>
  <c r="K30" i="1" s="1"/>
  <c r="L30" i="1" s="1"/>
  <c r="I32" i="1"/>
  <c r="I33" i="1"/>
  <c r="I34" i="1"/>
  <c r="I37" i="1"/>
  <c r="I38" i="1"/>
  <c r="I40" i="1"/>
  <c r="H34" i="4"/>
  <c r="H34" i="1" s="1"/>
  <c r="G34" i="4"/>
  <c r="J34" i="1" s="1"/>
  <c r="I35" i="4"/>
  <c r="G35" i="4"/>
  <c r="J35" i="1" s="1"/>
  <c r="H35" i="4"/>
  <c r="H35" i="1" s="1"/>
  <c r="I39" i="4"/>
  <c r="G39" i="4"/>
  <c r="J39" i="1" s="1"/>
  <c r="I34" i="4"/>
  <c r="I9" i="1"/>
  <c r="I36" i="1"/>
  <c r="I10" i="4"/>
  <c r="G10" i="4"/>
  <c r="J10" i="1" s="1"/>
  <c r="H10" i="4"/>
  <c r="H10" i="1" s="1"/>
  <c r="I14" i="4"/>
  <c r="G14" i="4"/>
  <c r="J14" i="1" s="1"/>
  <c r="H14" i="4"/>
  <c r="H14" i="1" s="1"/>
  <c r="I18" i="4"/>
  <c r="G18" i="4"/>
  <c r="J18" i="1" s="1"/>
  <c r="H18" i="4"/>
  <c r="H18" i="1" s="1"/>
  <c r="I22" i="4"/>
  <c r="G22" i="4"/>
  <c r="J22" i="1" s="1"/>
  <c r="H22" i="4"/>
  <c r="H22" i="1" s="1"/>
  <c r="I26" i="4"/>
  <c r="G26" i="4"/>
  <c r="J26" i="1" s="1"/>
  <c r="H26" i="4"/>
  <c r="H26" i="1" s="1"/>
  <c r="H30" i="4"/>
  <c r="H30" i="1" s="1"/>
  <c r="G30" i="4"/>
  <c r="J30" i="1" s="1"/>
  <c r="I30" i="4"/>
  <c r="I31" i="4"/>
  <c r="G31" i="4"/>
  <c r="J31" i="1" s="1"/>
  <c r="H13" i="4"/>
  <c r="H13" i="1" s="1"/>
  <c r="I13" i="4"/>
  <c r="H17" i="4"/>
  <c r="H17" i="1" s="1"/>
  <c r="I17" i="4"/>
  <c r="H21" i="4"/>
  <c r="H21" i="1" s="1"/>
  <c r="I21" i="4"/>
  <c r="H25" i="4"/>
  <c r="H25" i="1" s="1"/>
  <c r="I25" i="4"/>
  <c r="H29" i="4"/>
  <c r="H29" i="1" s="1"/>
  <c r="I29" i="4"/>
  <c r="I33" i="4"/>
  <c r="G33" i="4"/>
  <c r="J33" i="1" s="1"/>
  <c r="H33" i="4"/>
  <c r="H33" i="1" s="1"/>
  <c r="I37" i="4"/>
  <c r="G37" i="4"/>
  <c r="J37" i="1" s="1"/>
  <c r="H37" i="4"/>
  <c r="H37" i="1" s="1"/>
  <c r="G17" i="4"/>
  <c r="J17" i="1" s="1"/>
  <c r="G25" i="4"/>
  <c r="J25" i="1" s="1"/>
  <c r="H39" i="4"/>
  <c r="H39" i="1" s="1"/>
  <c r="I9" i="4" l="1"/>
  <c r="B16" i="7"/>
  <c r="D16" i="7" s="1"/>
  <c r="B15" i="7"/>
  <c r="D15" i="7" s="1"/>
  <c r="B13" i="7"/>
  <c r="D13" i="7" s="1"/>
  <c r="B11" i="7"/>
  <c r="B15" i="6"/>
  <c r="E8" i="5"/>
  <c r="B14" i="7"/>
  <c r="D14" i="7" s="1"/>
  <c r="E6" i="7"/>
  <c r="B12" i="7"/>
  <c r="D12" i="7" s="1"/>
  <c r="K9" i="1"/>
  <c r="H5" i="1"/>
  <c r="G41" i="4"/>
  <c r="J9" i="1"/>
  <c r="I15" i="7"/>
  <c r="G6" i="7"/>
  <c r="G8" i="5"/>
  <c r="C6" i="7"/>
  <c r="K5" i="1"/>
  <c r="E5" i="1"/>
  <c r="I25" i="7" l="1"/>
  <c r="G25" i="7"/>
  <c r="E25" i="7"/>
  <c r="I24" i="7"/>
  <c r="G24" i="7"/>
  <c r="E24" i="7"/>
  <c r="I23" i="7"/>
  <c r="G23" i="7"/>
  <c r="E23" i="7"/>
  <c r="I22" i="7"/>
  <c r="G22" i="7"/>
  <c r="E22" i="7"/>
  <c r="G21" i="7"/>
  <c r="E21" i="7"/>
  <c r="H25" i="7"/>
  <c r="F25" i="7"/>
  <c r="B25" i="7"/>
  <c r="H24" i="7"/>
  <c r="F24" i="7"/>
  <c r="B24" i="7"/>
  <c r="H23" i="7"/>
  <c r="F23" i="7"/>
  <c r="B23" i="7"/>
  <c r="H22" i="7"/>
  <c r="F22" i="7"/>
  <c r="B22" i="7"/>
  <c r="H21" i="7"/>
  <c r="F21" i="7"/>
  <c r="B21" i="7"/>
  <c r="L9" i="1"/>
  <c r="I21" i="7" s="1"/>
  <c r="B17" i="7"/>
  <c r="D11" i="7"/>
  <c r="D17" i="7" s="1"/>
  <c r="I13" i="7"/>
  <c r="I14" i="7"/>
  <c r="I6" i="7"/>
</calcChain>
</file>

<file path=xl/sharedStrings.xml><?xml version="1.0" encoding="utf-8"?>
<sst xmlns="http://schemas.openxmlformats.org/spreadsheetml/2006/main" count="868" uniqueCount="212">
  <si>
    <t>COLEGIUL 'EMIL NEGRUȚIU' TURDA — CENTRALIZATOR MEDII &amp; SITUAȚIE ȘCOLARĂ</t>
  </si>
  <si>
    <t>CLASA a IX-a TH — Domeniul Turism și Alimentație (Lucrător Hotelier) | An școlar 2026-2027 | Centralizare medii generale, purtare și statut școlar</t>
  </si>
  <si>
    <t>TOTAL ELEVI</t>
  </si>
  <si>
    <t>ELEVI PROMOVATI</t>
  </si>
  <si>
    <t>MEDIA CLASEI</t>
  </si>
  <si>
    <t>ELEVI CORIGENȚI</t>
  </si>
  <si>
    <t>NR.</t>
  </si>
  <si>
    <t>NUME SI PRENUME</t>
  </si>
  <si>
    <t>NR. MATR.</t>
  </si>
  <si>
    <t>RM / PG</t>
  </si>
  <si>
    <t>MEDIA CG</t>
  </si>
  <si>
    <t>MEDIA MODULE</t>
  </si>
  <si>
    <t>MEDIA GENERALĂ</t>
  </si>
  <si>
    <t>NOTĂ PURTARE</t>
  </si>
  <si>
    <t>STATUT ȘCOLAR</t>
  </si>
  <si>
    <t>TOTAL ABSENȚE</t>
  </si>
  <si>
    <t>RANG</t>
  </si>
  <si>
    <t>CLASAMENT / PREMIU</t>
  </si>
  <si>
    <t>ALBAC V. ALEXANDRU ANDREI</t>
  </si>
  <si>
    <t>126/76</t>
  </si>
  <si>
    <t>BARA D. ADRIAN DANIEL</t>
  </si>
  <si>
    <t>126/77</t>
  </si>
  <si>
    <t>BUDACĂ I. MARIA MADALINA</t>
  </si>
  <si>
    <t>126/78</t>
  </si>
  <si>
    <t>BUDULĂU I.M. VLAD IOAN</t>
  </si>
  <si>
    <t>126/79</t>
  </si>
  <si>
    <t>CHESZOVAN D.E. IRINA JULIETA</t>
  </si>
  <si>
    <t>126/80</t>
  </si>
  <si>
    <t>CIURCUI V. DIANA</t>
  </si>
  <si>
    <t>126/81</t>
  </si>
  <si>
    <t>CORDIȘ M.C. EDUARD IONUȚ</t>
  </si>
  <si>
    <t>126/82</t>
  </si>
  <si>
    <t>DEMETER D.C. DENIS RĂZVAN</t>
  </si>
  <si>
    <t>126/83</t>
  </si>
  <si>
    <t>FERENCZI E.C. MEDEA MARICARMEN</t>
  </si>
  <si>
    <t>126/84</t>
  </si>
  <si>
    <t>FLOREA V. FLAVIU CRISTIAN</t>
  </si>
  <si>
    <t>126/85</t>
  </si>
  <si>
    <t>GHERMAN M.I. DAVID MARIUS</t>
  </si>
  <si>
    <t>126/86</t>
  </si>
  <si>
    <t>LOBONȚ M. MIHNEA</t>
  </si>
  <si>
    <t>126/87</t>
  </si>
  <si>
    <t>LUKACS A.L. LORENA DENISA</t>
  </si>
  <si>
    <t>126/88</t>
  </si>
  <si>
    <t>MAGYARI A.M. ANDREI</t>
  </si>
  <si>
    <t>126/89</t>
  </si>
  <si>
    <t>MARCOVICI L.S. IOANA DENISA</t>
  </si>
  <si>
    <t>126/90</t>
  </si>
  <si>
    <t>MARIAN M.I. MIHAELA DARIA</t>
  </si>
  <si>
    <t>126/91</t>
  </si>
  <si>
    <t>MATEI V.C. ROXANA MIHAELA</t>
  </si>
  <si>
    <t>126/92</t>
  </si>
  <si>
    <t>MENCU R.R. DIANA OLIVIA</t>
  </si>
  <si>
    <t>126/93</t>
  </si>
  <si>
    <t>MUNTEANU V.N. ELENA</t>
  </si>
  <si>
    <t>126/94</t>
  </si>
  <si>
    <t>NAP A.C. ALEXANDRA MARIA</t>
  </si>
  <si>
    <t>126/95</t>
  </si>
  <si>
    <t>PETELEU C.A. CLAUDIA MARIA</t>
  </si>
  <si>
    <t>126/96</t>
  </si>
  <si>
    <t>POP D. ANDRA MARIA</t>
  </si>
  <si>
    <t>126/97</t>
  </si>
  <si>
    <t>POP M.V. LARISA ANDREEA</t>
  </si>
  <si>
    <t>126/98</t>
  </si>
  <si>
    <t>POP I.C. ROBERT EUGEN</t>
  </si>
  <si>
    <t>126/99</t>
  </si>
  <si>
    <t>POPA C.F. ILINCA</t>
  </si>
  <si>
    <t>126/100</t>
  </si>
  <si>
    <t>PUICA G. GEORGE ROBERT</t>
  </si>
  <si>
    <t>126/101</t>
  </si>
  <si>
    <t>RĂDUȚ I.M. ADELINA IOANA</t>
  </si>
  <si>
    <t>128/1</t>
  </si>
  <si>
    <t>ȘIPOȘ T.R. DAVID ADRIAN</t>
  </si>
  <si>
    <t>128/2</t>
  </si>
  <si>
    <t>TRIF S.D. TUȘA DANIEL</t>
  </si>
  <si>
    <t>128/3</t>
  </si>
  <si>
    <t>TUȘINEAN S.V. IRINA</t>
  </si>
  <si>
    <t>128/4</t>
  </si>
  <si>
    <t>ȚANDEA M. LUCAS MIHAI</t>
  </si>
  <si>
    <t>128/5</t>
  </si>
  <si>
    <t>VRÎNCIANU M.G. DELIA MARIA</t>
  </si>
  <si>
    <t>128/6</t>
  </si>
  <si>
    <t>COLEGIUL 'EMIL NEGRUȚIU' TURDA — DISCIPLINE CULTURĂ GENERALĂ (TRUNCHI COMUN)</t>
  </si>
  <si>
    <t>CLASA a IX-a TH — Domeniul Turism și Alimentație (Lucrător Hotelier) | An școlar 2026-2027 | Note (N1..N5), Date Note (D1..D5) și Date Absențe (21.09, 25.09m) cu numărare automată per disciplină</t>
  </si>
  <si>
    <t>RM/PG</t>
  </si>
  <si>
    <t>MEDIA GEN. CLASĂ</t>
  </si>
  <si>
    <t>TOT. ABS. NEM</t>
  </si>
  <si>
    <t>TOT. ABS. MOT</t>
  </si>
  <si>
    <t>Limba și literatura română</t>
  </si>
  <si>
    <t>Limba engleză (L1)</t>
  </si>
  <si>
    <t>Limba franceză (L2)</t>
  </si>
  <si>
    <t>Matematică</t>
  </si>
  <si>
    <t>Fizică</t>
  </si>
  <si>
    <t>Chimie</t>
  </si>
  <si>
    <t>Biologie</t>
  </si>
  <si>
    <t>Istorie</t>
  </si>
  <si>
    <t>Geografie</t>
  </si>
  <si>
    <t>Logică, argumentare și comunicare</t>
  </si>
  <si>
    <t>Informatică / TIC</t>
  </si>
  <si>
    <t>Educație fizică</t>
  </si>
  <si>
    <t>Religie</t>
  </si>
  <si>
    <t>Arte vizuale și educație plastică</t>
  </si>
  <si>
    <t>N1</t>
  </si>
  <si>
    <t>D1</t>
  </si>
  <si>
    <t>N2</t>
  </si>
  <si>
    <t>D2</t>
  </si>
  <si>
    <t>N3</t>
  </si>
  <si>
    <t>D3</t>
  </si>
  <si>
    <t>N4</t>
  </si>
  <si>
    <t>D4</t>
  </si>
  <si>
    <t>N5</t>
  </si>
  <si>
    <t>D5</t>
  </si>
  <si>
    <t>MEDIE</t>
  </si>
  <si>
    <t>A1</t>
  </si>
  <si>
    <t>A2</t>
  </si>
  <si>
    <t>A3</t>
  </si>
  <si>
    <t>A4</t>
  </si>
  <si>
    <t>A5</t>
  </si>
  <si>
    <t>A6</t>
  </si>
  <si>
    <t>A7</t>
  </si>
  <si>
    <t>A8</t>
  </si>
  <si>
    <t>ABS.MOT</t>
  </si>
  <si>
    <t>ABS.NEM</t>
  </si>
  <si>
    <t>COLEGIUL 'EMIL NEGRUȚIU' TURDA — MODULE TEHNOLOGICE &amp; PREGĂTIRE PRACTICĂ (HORECA / CDEOȘ)</t>
  </si>
  <si>
    <t>CLASA a IX-a TH — Domeniul Turism și Alimentație (Lucrător Hotelier) | An școlar 2026-2027 | Note (N1..N5), Date Note (D1..D5) și Date Absențe (21.09, 25.09m) cu numărare automată per modul</t>
  </si>
  <si>
    <t>M1: Bazele contabilității</t>
  </si>
  <si>
    <t>M2: Etică și comunicare</t>
  </si>
  <si>
    <t>M3: Structuri de primire turistică</t>
  </si>
  <si>
    <t>M4: Procese și calitate în HoReCa</t>
  </si>
  <si>
    <t>M5: CDEOȘ (IP) - Instruire Practică</t>
  </si>
  <si>
    <t>M6: Curriculum de aprofundare și inserție profesională</t>
  </si>
  <si>
    <t>COLEGIUL 'EMIL NEGRUȚIU' TURDA — EVIDENȚĂ CENTRALIZATĂ ABSENȚE &amp; NOTA LA PURTARE</t>
  </si>
  <si>
    <t>CLASA a IX-a TH — Domeniul Turism și Alimentație (Lucrător Hotelier) | An școlar 2026-2027 | Preluare automată din fișele de disciplină | Scăderea notei la purtare: -1 punct la fiecare 20 absențe nemotivate</t>
  </si>
  <si>
    <t>ABS. NEMOTIVATE</t>
  </si>
  <si>
    <t>ABS. MOTIVATE</t>
  </si>
  <si>
    <t>MĂSURI DISCIPLINARE / OBSERVAȚII</t>
  </si>
  <si>
    <t>TOTAL ABSENȚE CLASĂ</t>
  </si>
  <si>
    <t>COLEGIUL 'EMIL NEGRUȚIU' TURDA — FIȘĂ INDIVIDUALĂ DE EVALUARE</t>
  </si>
  <si>
    <t>CLASA a IX-a TH — Domeniul Turism și Alimentație (Lucrător Hotelier) | An școlar 2026-2027 | Raport individual de evaluare și frecvență școlară | Clasa a IX-a TH (Lucrător Hotelier)</t>
  </si>
  <si>
    <t>SELECTEAZĂ ELEVUL (1 - 32):</t>
  </si>
  <si>
    <t>NUME SI PRENUME:</t>
  </si>
  <si>
    <t>NR. MATRICOL:</t>
  </si>
  <si>
    <t>RM / PG:</t>
  </si>
  <si>
    <t>MEDIA CULTURĂ GEN.</t>
  </si>
  <si>
    <t>MEDIA MODULE TH.</t>
  </si>
  <si>
    <t>SITUAȚIA DETALIATĂ PE DISCIPLINE ȘI MODULE</t>
  </si>
  <si>
    <t>DISCIPLINĂ / MODUL</t>
  </si>
  <si>
    <t>CATEGORIE</t>
  </si>
  <si>
    <t>ABS. NEM.</t>
  </si>
  <si>
    <t>ABS. MOT.</t>
  </si>
  <si>
    <t>DATE ABSENȚE (CALENDARIC)</t>
  </si>
  <si>
    <t>Cultură Generală</t>
  </si>
  <si>
    <t>Module Tehnologice</t>
  </si>
  <si>
    <t>COLEGIUL 'EMIL NEGRUȚIU' TURDA</t>
  </si>
  <si>
    <t>Str. Agronomilor Nr. 1, Turda, Jud. Cluj | Tel/Fax: 0264.311.660</t>
  </si>
  <si>
    <t>Nr. Înregistrare: ______ / Data: ____________</t>
  </si>
  <si>
    <t>SELECTAȚI ELEVUL (NR. CRT):</t>
  </si>
  <si>
    <t>ADEVERINȚĂ DE ELEV</t>
  </si>
  <si>
    <t>Se adeverește prin prezenta că elevul(a):</t>
  </si>
  <si>
    <t>Prezenta adeverință s-a eliberat pentru a-i servi la: _________________________________________.</t>
  </si>
  <si>
    <t>DIRECTOR,</t>
  </si>
  <si>
    <t>SECRETAR ȘEF,</t>
  </si>
  <si>
    <t>DIRIGINTE,</t>
  </si>
  <si>
    <t>Prof. ___________________</t>
  </si>
  <si>
    <t>___________________</t>
  </si>
  <si>
    <t>COLEGIUL 'EMIL NEGRUȚIU' TURDA — RAPORT SEMESTRIAL / ANUAL AL DIRIGINTELUI</t>
  </si>
  <si>
    <t>CLASA a IX-a TH — Domeniul Turism și Alimentație (Lucrător Hotelier) | An școlar 2026-2027 | Prof. Diriginte: _____________________</t>
  </si>
  <si>
    <t>I. INDICATORI CHEIE DE PERFORMANȚĂ ȘI FRECVENȚĂ (SITUAȚIE GENERALĂ CLASĂ)</t>
  </si>
  <si>
    <t>TOTAL ELEVI ÎNSCRIȘI</t>
  </si>
  <si>
    <t>PROMOVABILITATE (%)</t>
  </si>
  <si>
    <t>MEDIA GENERALĂ CLASĂ</t>
  </si>
  <si>
    <t>MEDIA LA PURTARE</t>
  </si>
  <si>
    <t>II. DISTRIBUȚIA ELEVILOR PE TRANȘE DE MEDII ȘI SITUAȚIA FRECVENȚEI</t>
  </si>
  <si>
    <t>DISTRIBUȚIA MEDIILOR GENERALE</t>
  </si>
  <si>
    <t>CENTRALIZATOR ABSENȚE ȘI DISCIPLINĂ</t>
  </si>
  <si>
    <t>TRANȘĂ MEDIE</t>
  </si>
  <si>
    <t>NUMĂR ELEVI</t>
  </si>
  <si>
    <t>PONDERE (%)</t>
  </si>
  <si>
    <t>CATEGORIE ABSENȚE / DISCIPLINĂ</t>
  </si>
  <si>
    <t>VALOARE</t>
  </si>
  <si>
    <t>9.00 - 10.00 (Excelent)</t>
  </si>
  <si>
    <t>Total Absențe Nemotivate Clasă</t>
  </si>
  <si>
    <t>8.00 - 8.99 (Foarte Bine)</t>
  </si>
  <si>
    <t>Total Absențe Motivate Clasă</t>
  </si>
  <si>
    <t>7.00 - 7.99 (Bine)</t>
  </si>
  <si>
    <t>Total General Absențe Clasă</t>
  </si>
  <si>
    <t>6.00 - 6.99 (Satisfăcător)</t>
  </si>
  <si>
    <t>Media Absențelor per Elev</t>
  </si>
  <si>
    <t>5.00 - 5.99 (Suficient)</t>
  </si>
  <si>
    <t>Elevi cu Nota la Purtare &lt; 10</t>
  </si>
  <si>
    <t>&lt; 5.00 / Corigenți</t>
  </si>
  <si>
    <t>Elevi cu Preaviz Exmatriculare (&gt;=40 nemotivate)</t>
  </si>
  <si>
    <t>TOTAL EVALUAȚI</t>
  </si>
  <si>
    <t>III. PRIMII 5 ELEVI AI CLASEI (TOP PERFORMANȚĂ ȘCOLARĂ)</t>
  </si>
  <si>
    <t>POZIȚIE</t>
  </si>
  <si>
    <t>NUME ȘI PRENUME ELEV</t>
  </si>
  <si>
    <t>MEDIA TH</t>
  </si>
  <si>
    <t>MEDIA GEN.</t>
  </si>
  <si>
    <t>PREMIU / STATUT</t>
  </si>
  <si>
    <t>Locul 1</t>
  </si>
  <si>
    <t>Locul 2</t>
  </si>
  <si>
    <t>Locul 3</t>
  </si>
  <si>
    <t>Locul 4</t>
  </si>
  <si>
    <t>Locul 5</t>
  </si>
  <si>
    <t>IV. OBSERVAȚII CALITATIVE ȘI MĂSURI PEDAGOGICE</t>
  </si>
  <si>
    <t>1. Aspecte pozitive privind integrarea colectivului și activitatea la ore:</t>
  </si>
  <si>
    <t>____________________________________________________________________________________________________________________________________</t>
  </si>
  <si>
    <t>2. Dificultăți identificate (frecvență redusă, probleme de disciplină, corigențe):</t>
  </si>
  <si>
    <t>3. Măsuri de consiliere, instruire remedială și parteneriatul cu părinții / operatorii economici (stagii HoReCa):</t>
  </si>
  <si>
    <t>Data întocmirii: _______________</t>
  </si>
  <si>
    <t>PROF. DIRIGINTE,</t>
  </si>
  <si>
    <t>Prof. 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</si>
</sst>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scheme val="minor"/>
    </font>
    <font>
      <b/>
      <sz val="15"/>
      <color rgb="FF1F4E78"/>
      <name val="Calibri"/>
    </font>
    <font>
      <i/>
      <sz val="10"/>
      <color rgb="FF595959"/>
      <name val="Calibri"/>
    </font>
    <font>
      <b/>
      <sz val="9"/>
      <color rgb="FF595959"/>
      <name val="Calibri"/>
    </font>
    <font>
      <b/>
      <sz val="16"/>
      <color rgb="FF1F4E78"/>
      <name val="Calibri"/>
    </font>
    <font>
      <b/>
      <sz val="11"/>
      <color rgb="FFFFFFFF"/>
      <name val="Calibri"/>
    </font>
    <font>
      <b/>
      <sz val="10"/>
      <name val="Calibri"/>
    </font>
    <font>
      <sz val="10"/>
      <name val="Calibri"/>
    </font>
    <font>
      <b/>
      <sz val="10"/>
      <color rgb="FF1F4E78"/>
      <name val="Calibri"/>
    </font>
    <font>
      <b/>
      <sz val="14"/>
      <color rgb="FF1F4E78"/>
      <name val="Calibri"/>
    </font>
    <font>
      <b/>
      <sz val="10"/>
      <color rgb="FFFFFFFF"/>
      <name val="Calibri"/>
    </font>
    <font>
      <b/>
      <sz val="11"/>
      <color rgb="FF595959"/>
      <name val="Calibri"/>
    </font>
    <font>
      <i/>
      <sz val="9"/>
      <color rgb="FF59595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1F4E78"/>
        <bgColor rgb="FF1F4E78"/>
      </patternFill>
    </fill>
    <fill>
      <patternFill patternType="solid">
        <fgColor rgb="FFE2EFDA"/>
        <bgColor rgb="FFE2EFDA"/>
      </patternFill>
    </fill>
    <fill>
      <patternFill patternType="solid">
        <fgColor rgb="FF2F5597"/>
        <bgColor rgb="FF2F5597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2F5496"/>
        <bgColor rgb="FF2F5496"/>
      </patternFill>
    </fill>
    <fill>
      <patternFill patternType="solid">
        <fgColor rgb="FF4472C4"/>
        <bgColor rgb="FF4472C4"/>
      </patternFill>
    </fill>
  </fills>
  <borders count="11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1F4E78"/>
      </left>
      <right style="thin">
        <color rgb="FF1F4E78"/>
      </right>
      <top style="medium">
        <color rgb="FF1F4E78"/>
      </top>
      <bottom style="medium">
        <color rgb="FF1F4E78"/>
      </bottom>
      <diagonal/>
    </border>
    <border>
      <left/>
      <right/>
      <top style="thin">
        <color rgb="FF1F4E78"/>
      </top>
      <bottom style="double">
        <color rgb="FF1F4E78"/>
      </bottom>
      <diagonal/>
    </border>
    <border>
      <left/>
      <right/>
      <top style="medium">
        <color rgb="FF1F4E78"/>
      </top>
      <bottom style="medium">
        <color rgb="FF1F4E78"/>
      </bottom>
      <diagonal/>
    </border>
    <border>
      <left/>
      <right style="thin">
        <color rgb="FF1F4E78"/>
      </right>
      <top style="medium">
        <color rgb="FF1F4E78"/>
      </top>
      <bottom style="medium">
        <color rgb="FF1F4E78"/>
      </bottom>
      <diagonal/>
    </border>
    <border>
      <left style="thin">
        <color rgb="FF1F4E78"/>
      </left>
      <right style="thin">
        <color rgb="FF1F4E78"/>
      </right>
      <top/>
      <bottom style="medium">
        <color rgb="FF1F4E78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double">
        <color rgb="FF2F5496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double">
        <color rgb="FF2F5496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7" fillId="8" borderId="0" xfId="0" applyFont="1" applyFill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8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1" fillId="0" borderId="0" xfId="0" applyFont="1"/>
    <xf numFmtId="0" fontId="2" fillId="0" borderId="0" xfId="0" applyFont="1"/>
    <xf numFmtId="0" fontId="4" fillId="0" borderId="0" xfId="0" applyFont="1"/>
    <xf numFmtId="0" fontId="7" fillId="0" borderId="0" xfId="0" applyFont="1"/>
    <xf numFmtId="0" fontId="9" fillId="0" borderId="0" xfId="0" applyFont="1"/>
    <xf numFmtId="0" fontId="10" fillId="9" borderId="2" xfId="0" applyFont="1" applyFill="1" applyBorder="1" applyAlignment="1">
      <alignment horizontal="center" vertical="center"/>
    </xf>
    <xf numFmtId="0" fontId="10" fillId="9" borderId="0" xfId="0" applyFont="1" applyFill="1" applyAlignment="1">
      <alignment horizontal="center" vertical="center"/>
    </xf>
    <xf numFmtId="0" fontId="7" fillId="0" borderId="1" xfId="0" applyFont="1" applyBorder="1" applyAlignment="1">
      <alignment horizontal="center"/>
    </xf>
    <xf numFmtId="164" fontId="7" fillId="0" borderId="1" xfId="0" applyNumberFormat="1" applyFont="1" applyBorder="1" applyAlignment="1">
      <alignment horizontal="center"/>
    </xf>
    <xf numFmtId="0" fontId="6" fillId="0" borderId="8" xfId="0" applyFont="1" applyBorder="1"/>
    <xf numFmtId="164" fontId="6" fillId="0" borderId="8" xfId="0" applyNumberFormat="1" applyFont="1" applyBorder="1" applyAlignment="1">
      <alignment horizontal="center"/>
    </xf>
    <xf numFmtId="0" fontId="10" fillId="10" borderId="1" xfId="0" applyFont="1" applyFill="1" applyBorder="1" applyAlignment="1">
      <alignment horizontal="center"/>
    </xf>
    <xf numFmtId="49" fontId="0" fillId="0" borderId="0" xfId="0" applyNumberFormat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0" fillId="0" borderId="0" xfId="0"/>
    <xf numFmtId="0" fontId="5" fillId="6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7" fillId="0" borderId="1" xfId="0" applyFont="1" applyBorder="1"/>
    <xf numFmtId="0" fontId="3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0" fillId="0" borderId="0" xfId="0"/>
    <xf numFmtId="0" fontId="1" fillId="0" borderId="0" xfId="0" applyFont="1" applyAlignment="1">
      <alignment horizontal="left" vertical="center"/>
    </xf>
    <xf numFmtId="0" fontId="5" fillId="6" borderId="2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5" fillId="4" borderId="2" xfId="0" applyFont="1" applyFill="1" applyBorder="1" applyAlignment="1">
      <alignment horizontal="center" vertical="center" wrapText="1"/>
    </xf>
    <xf numFmtId="0" fontId="0" fillId="0" borderId="6" xfId="0" applyBorder="1"/>
    <xf numFmtId="0" fontId="5" fillId="4" borderId="0" xfId="0" applyFont="1" applyFill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0" fontId="0" fillId="0" borderId="7" xfId="0" applyBorder="1"/>
    <xf numFmtId="0" fontId="5" fillId="4" borderId="0" xfId="0" applyFont="1" applyFill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164" fontId="4" fillId="3" borderId="1" xfId="0" applyNumberFormat="1" applyFont="1" applyFill="1" applyBorder="1" applyAlignment="1">
      <alignment horizontal="center"/>
    </xf>
    <xf numFmtId="0" fontId="10" fillId="10" borderId="0" xfId="0" applyFont="1" applyFill="1" applyAlignment="1">
      <alignment horizontal="center"/>
    </xf>
    <xf numFmtId="0" fontId="7" fillId="0" borderId="1" xfId="0" applyFont="1" applyBorder="1"/>
    <xf numFmtId="0" fontId="0" fillId="0" borderId="9" xfId="0" applyBorder="1"/>
    <xf numFmtId="0" fontId="3" fillId="3" borderId="1" xfId="0" applyFont="1" applyFill="1" applyBorder="1" applyAlignment="1">
      <alignment horizontal="center"/>
    </xf>
    <xf numFmtId="0" fontId="5" fillId="9" borderId="0" xfId="0" applyFont="1" applyFill="1" applyAlignment="1">
      <alignment horizontal="left" vertical="center" indent="1"/>
    </xf>
    <xf numFmtId="0" fontId="4" fillId="3" borderId="1" xfId="0" applyFont="1" applyFill="1" applyBorder="1" applyAlignment="1">
      <alignment horizontal="center"/>
    </xf>
    <xf numFmtId="0" fontId="12" fillId="0" borderId="0" xfId="0" applyFont="1"/>
    <xf numFmtId="0" fontId="11" fillId="0" borderId="0" xfId="0" applyFont="1" applyAlignment="1">
      <alignment horizontal="left" vertic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10" xfId="0" applyFont="1" applyBorder="1" applyAlignment="1">
      <alignment horizontal="center"/>
    </xf>
    <xf numFmtId="0" fontId="0" fillId="0" borderId="10" xfId="0" applyBorder="1"/>
    <xf numFmtId="0" fontId="10" fillId="10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o-RO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Distribuția Mediilor Generale pe Tranșe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'Raport Diriginte'!$B$10</c:f>
              <c:strCache>
                <c:ptCount val="1"/>
                <c:pt idx="0">
                  <c:v>NUMĂR ELEVI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'Raport Diriginte'!$A$11:$A$16</c:f>
              <c:strCache>
                <c:ptCount val="6"/>
                <c:pt idx="0">
                  <c:v>9.00 - 10.00 (Excelent)</c:v>
                </c:pt>
                <c:pt idx="1">
                  <c:v>8.00 - 8.99 (Foarte Bine)</c:v>
                </c:pt>
                <c:pt idx="2">
                  <c:v>7.00 - 7.99 (Bine)</c:v>
                </c:pt>
                <c:pt idx="3">
                  <c:v>6.00 - 6.99 (Satisfăcător)</c:v>
                </c:pt>
                <c:pt idx="4">
                  <c:v>5.00 - 5.99 (Suficient)</c:v>
                </c:pt>
                <c:pt idx="5">
                  <c:v>&lt; 5.00 / Corigenți</c:v>
                </c:pt>
              </c:strCache>
            </c:strRef>
          </c:cat>
          <c:val>
            <c:numRef>
              <c:f>'Raport Diriginte'!$B$11:$B$16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0B-4057-8CFB-35146A2C52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Tranșă Medie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Număr Elevi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37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"/>
  <sheetViews>
    <sheetView workbookViewId="0">
      <pane xSplit="2" ySplit="8" topLeftCell="C9" activePane="bottomRight" state="frozen"/>
      <selection pane="topRight"/>
      <selection pane="bottomLeft"/>
      <selection pane="bottomRight" sqref="A1:K1"/>
    </sheetView>
  </sheetViews>
  <sheetFormatPr defaultRowHeight="14.4" x14ac:dyDescent="0.3"/>
  <cols>
    <col min="1" max="1" width="6" style="36" customWidth="1"/>
    <col min="2" max="2" width="32" style="36" customWidth="1"/>
    <col min="3" max="5" width="12" style="36" customWidth="1"/>
    <col min="6" max="6" width="14" style="36" customWidth="1"/>
    <col min="7" max="7" width="15" style="36" customWidth="1"/>
    <col min="8" max="8" width="14" style="36" customWidth="1"/>
    <col min="9" max="9" width="22" style="36" customWidth="1"/>
    <col min="10" max="10" width="14" style="36" customWidth="1"/>
    <col min="11" max="11" width="20" style="36" customWidth="1"/>
    <col min="12" max="12" width="20.44140625" style="36" customWidth="1"/>
  </cols>
  <sheetData>
    <row r="1" spans="1:12" ht="19.8" customHeight="1" x14ac:dyDescent="0.3">
      <c r="A1" s="48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spans="1:12" x14ac:dyDescent="0.3">
      <c r="A2" s="46" t="s">
        <v>1</v>
      </c>
      <c r="B2" s="47"/>
      <c r="C2" s="47"/>
      <c r="D2" s="47"/>
      <c r="E2" s="47"/>
      <c r="F2" s="47"/>
      <c r="G2" s="47"/>
      <c r="H2" s="47"/>
      <c r="I2" s="47"/>
      <c r="J2" s="47"/>
      <c r="K2" s="47"/>
    </row>
    <row r="4" spans="1:12" ht="24" customHeight="1" x14ac:dyDescent="0.3">
      <c r="B4" s="1" t="s">
        <v>2</v>
      </c>
      <c r="E4" s="1" t="s">
        <v>3</v>
      </c>
      <c r="H4" s="1" t="s">
        <v>4</v>
      </c>
      <c r="K4" s="1" t="s">
        <v>5</v>
      </c>
    </row>
    <row r="5" spans="1:12" ht="21" customHeight="1" x14ac:dyDescent="0.3">
      <c r="B5" s="2">
        <f>COUNTA(B9:B40)</f>
        <v>32</v>
      </c>
      <c r="E5" s="2">
        <f>COUNTIF(I9:I40, "Promovat")</f>
        <v>0</v>
      </c>
      <c r="H5" s="2" t="str">
        <f>IFERROR(ROUND(AVERAGE(G9:G40), 2), "")</f>
        <v/>
      </c>
      <c r="K5" s="2">
        <f>COUNTIF(I9:I40, "Corigent / Repetent")</f>
        <v>0</v>
      </c>
    </row>
    <row r="8" spans="1:12" ht="28.8" customHeight="1" x14ac:dyDescent="0.3">
      <c r="A8" s="38" t="s">
        <v>6</v>
      </c>
      <c r="B8" s="38" t="s">
        <v>7</v>
      </c>
      <c r="C8" s="38" t="s">
        <v>8</v>
      </c>
      <c r="D8" s="38" t="s">
        <v>9</v>
      </c>
      <c r="E8" s="38" t="s">
        <v>10</v>
      </c>
      <c r="F8" s="38" t="s">
        <v>11</v>
      </c>
      <c r="G8" s="38" t="s">
        <v>12</v>
      </c>
      <c r="H8" s="38" t="s">
        <v>13</v>
      </c>
      <c r="I8" s="38" t="s">
        <v>14</v>
      </c>
      <c r="J8" s="38" t="s">
        <v>15</v>
      </c>
      <c r="K8" s="26" t="s">
        <v>16</v>
      </c>
      <c r="L8" s="27" t="s">
        <v>17</v>
      </c>
    </row>
    <row r="9" spans="1:12" x14ac:dyDescent="0.3">
      <c r="A9" s="3">
        <v>1</v>
      </c>
      <c r="B9" s="4" t="s">
        <v>18</v>
      </c>
      <c r="C9" s="3">
        <v>13</v>
      </c>
      <c r="D9" s="3" t="s">
        <v>19</v>
      </c>
      <c r="E9" s="3" t="str">
        <f>'Cultură Generală'!E9</f>
        <v/>
      </c>
      <c r="F9" s="3" t="str">
        <f>'Module Tehnologice'!E9</f>
        <v/>
      </c>
      <c r="G9" s="5" t="str">
        <f t="shared" ref="G9:G40" si="0">IF(AND(E9="", F9=""), "", IFERROR(ROUND(AVERAGE(E9, F9), 2), ""))</f>
        <v/>
      </c>
      <c r="H9" s="3">
        <f>'Absențe &amp; Purtare'!H9</f>
        <v>10</v>
      </c>
      <c r="I9" s="3" t="str">
        <f t="shared" ref="I9:I40" si="1">IF(AND(E9="", F9=""), "", IF(OR(E9&lt;5, F9&lt;5, H9&lt;5), "Corigent / Repetent", "Promovat"))</f>
        <v/>
      </c>
      <c r="J9" s="3" t="str">
        <f>'Absențe &amp; Purtare'!G9</f>
        <v/>
      </c>
      <c r="K9" s="28" t="str">
        <f t="shared" ref="K9:K40" si="2">IF(G9="", "", RANK(G9, $G$9:$G$40))</f>
        <v/>
      </c>
      <c r="L9" s="45" t="str">
        <f t="shared" ref="L9:L40" si="3">IF(K9="", "", IF(K9=1, "Premiul I", IF(K9=2, "Premiul II", IF(K9=3, "Premiul III", IF(K9&lt;=7, "Mențiune", "Membru")))))</f>
        <v/>
      </c>
    </row>
    <row r="10" spans="1:12" x14ac:dyDescent="0.3">
      <c r="A10" s="3">
        <v>2</v>
      </c>
      <c r="B10" s="4" t="s">
        <v>20</v>
      </c>
      <c r="C10" s="3">
        <v>14</v>
      </c>
      <c r="D10" s="3" t="s">
        <v>21</v>
      </c>
      <c r="E10" s="3" t="str">
        <f>'Cultură Generală'!E10</f>
        <v/>
      </c>
      <c r="F10" s="3" t="str">
        <f>'Module Tehnologice'!E10</f>
        <v/>
      </c>
      <c r="G10" s="5" t="str">
        <f t="shared" si="0"/>
        <v/>
      </c>
      <c r="H10" s="3">
        <f>'Absențe &amp; Purtare'!H10</f>
        <v>10</v>
      </c>
      <c r="I10" s="3" t="str">
        <f t="shared" si="1"/>
        <v/>
      </c>
      <c r="J10" s="3" t="str">
        <f>'Absențe &amp; Purtare'!G10</f>
        <v/>
      </c>
      <c r="K10" s="28" t="str">
        <f t="shared" si="2"/>
        <v/>
      </c>
      <c r="L10" s="45" t="str">
        <f t="shared" si="3"/>
        <v/>
      </c>
    </row>
    <row r="11" spans="1:12" x14ac:dyDescent="0.3">
      <c r="A11" s="3">
        <v>3</v>
      </c>
      <c r="B11" s="4" t="s">
        <v>22</v>
      </c>
      <c r="C11" s="3">
        <v>15</v>
      </c>
      <c r="D11" s="3" t="s">
        <v>23</v>
      </c>
      <c r="E11" s="3" t="str">
        <f>'Cultură Generală'!E11</f>
        <v/>
      </c>
      <c r="F11" s="3" t="str">
        <f>'Module Tehnologice'!E11</f>
        <v/>
      </c>
      <c r="G11" s="5" t="str">
        <f t="shared" si="0"/>
        <v/>
      </c>
      <c r="H11" s="3">
        <f>'Absențe &amp; Purtare'!H11</f>
        <v>10</v>
      </c>
      <c r="I11" s="3" t="str">
        <f t="shared" si="1"/>
        <v/>
      </c>
      <c r="J11" s="3" t="str">
        <f>'Absențe &amp; Purtare'!G11</f>
        <v/>
      </c>
      <c r="K11" s="28" t="str">
        <f t="shared" si="2"/>
        <v/>
      </c>
      <c r="L11" s="45" t="str">
        <f t="shared" si="3"/>
        <v/>
      </c>
    </row>
    <row r="12" spans="1:12" x14ac:dyDescent="0.3">
      <c r="A12" s="3">
        <v>4</v>
      </c>
      <c r="B12" s="4" t="s">
        <v>24</v>
      </c>
      <c r="C12" s="3">
        <v>16</v>
      </c>
      <c r="D12" s="3" t="s">
        <v>25</v>
      </c>
      <c r="E12" s="3" t="str">
        <f>'Cultură Generală'!E12</f>
        <v/>
      </c>
      <c r="F12" s="3" t="str">
        <f>'Module Tehnologice'!E12</f>
        <v/>
      </c>
      <c r="G12" s="5" t="str">
        <f t="shared" si="0"/>
        <v/>
      </c>
      <c r="H12" s="3">
        <f>'Absențe &amp; Purtare'!H12</f>
        <v>10</v>
      </c>
      <c r="I12" s="3" t="str">
        <f t="shared" si="1"/>
        <v/>
      </c>
      <c r="J12" s="3" t="str">
        <f>'Absențe &amp; Purtare'!G12</f>
        <v/>
      </c>
      <c r="K12" s="28" t="str">
        <f t="shared" si="2"/>
        <v/>
      </c>
      <c r="L12" s="45" t="str">
        <f t="shared" si="3"/>
        <v/>
      </c>
    </row>
    <row r="13" spans="1:12" x14ac:dyDescent="0.3">
      <c r="A13" s="3">
        <v>5</v>
      </c>
      <c r="B13" s="4" t="s">
        <v>26</v>
      </c>
      <c r="C13" s="3">
        <v>17</v>
      </c>
      <c r="D13" s="3" t="s">
        <v>27</v>
      </c>
      <c r="E13" s="3" t="str">
        <f>'Cultură Generală'!E13</f>
        <v/>
      </c>
      <c r="F13" s="3" t="str">
        <f>'Module Tehnologice'!E13</f>
        <v/>
      </c>
      <c r="G13" s="5" t="str">
        <f t="shared" si="0"/>
        <v/>
      </c>
      <c r="H13" s="3">
        <f>'Absențe &amp; Purtare'!H13</f>
        <v>10</v>
      </c>
      <c r="I13" s="3" t="str">
        <f t="shared" si="1"/>
        <v/>
      </c>
      <c r="J13" s="3" t="str">
        <f>'Absențe &amp; Purtare'!G13</f>
        <v/>
      </c>
      <c r="K13" s="28" t="str">
        <f t="shared" si="2"/>
        <v/>
      </c>
      <c r="L13" s="45" t="str">
        <f t="shared" si="3"/>
        <v/>
      </c>
    </row>
    <row r="14" spans="1:12" x14ac:dyDescent="0.3">
      <c r="A14" s="3">
        <v>6</v>
      </c>
      <c r="B14" s="4" t="s">
        <v>28</v>
      </c>
      <c r="C14" s="3">
        <v>18</v>
      </c>
      <c r="D14" s="3" t="s">
        <v>29</v>
      </c>
      <c r="E14" s="3" t="str">
        <f>'Cultură Generală'!E14</f>
        <v/>
      </c>
      <c r="F14" s="3" t="str">
        <f>'Module Tehnologice'!E14</f>
        <v/>
      </c>
      <c r="G14" s="5" t="str">
        <f t="shared" si="0"/>
        <v/>
      </c>
      <c r="H14" s="3">
        <f>'Absențe &amp; Purtare'!H14</f>
        <v>10</v>
      </c>
      <c r="I14" s="3" t="str">
        <f t="shared" si="1"/>
        <v/>
      </c>
      <c r="J14" s="3" t="str">
        <f>'Absențe &amp; Purtare'!G14</f>
        <v/>
      </c>
      <c r="K14" s="28" t="str">
        <f t="shared" si="2"/>
        <v/>
      </c>
      <c r="L14" s="45" t="str">
        <f t="shared" si="3"/>
        <v/>
      </c>
    </row>
    <row r="15" spans="1:12" x14ac:dyDescent="0.3">
      <c r="A15" s="3">
        <v>7</v>
      </c>
      <c r="B15" s="4" t="s">
        <v>30</v>
      </c>
      <c r="C15" s="3">
        <v>19</v>
      </c>
      <c r="D15" s="3" t="s">
        <v>31</v>
      </c>
      <c r="E15" s="3" t="str">
        <f>'Cultură Generală'!E15</f>
        <v/>
      </c>
      <c r="F15" s="3" t="str">
        <f>'Module Tehnologice'!E15</f>
        <v/>
      </c>
      <c r="G15" s="5" t="str">
        <f t="shared" si="0"/>
        <v/>
      </c>
      <c r="H15" s="3">
        <f>'Absențe &amp; Purtare'!H15</f>
        <v>10</v>
      </c>
      <c r="I15" s="3" t="str">
        <f t="shared" si="1"/>
        <v/>
      </c>
      <c r="J15" s="3" t="str">
        <f>'Absențe &amp; Purtare'!G15</f>
        <v/>
      </c>
      <c r="K15" s="28" t="str">
        <f t="shared" si="2"/>
        <v/>
      </c>
      <c r="L15" s="45" t="str">
        <f t="shared" si="3"/>
        <v/>
      </c>
    </row>
    <row r="16" spans="1:12" x14ac:dyDescent="0.3">
      <c r="A16" s="3">
        <v>8</v>
      </c>
      <c r="B16" s="4" t="s">
        <v>32</v>
      </c>
      <c r="C16" s="3">
        <v>20</v>
      </c>
      <c r="D16" s="3" t="s">
        <v>33</v>
      </c>
      <c r="E16" s="3" t="str">
        <f>'Cultură Generală'!E16</f>
        <v/>
      </c>
      <c r="F16" s="3" t="str">
        <f>'Module Tehnologice'!E16</f>
        <v/>
      </c>
      <c r="G16" s="5" t="str">
        <f t="shared" si="0"/>
        <v/>
      </c>
      <c r="H16" s="3">
        <f>'Absențe &amp; Purtare'!H16</f>
        <v>10</v>
      </c>
      <c r="I16" s="3" t="str">
        <f t="shared" si="1"/>
        <v/>
      </c>
      <c r="J16" s="3" t="str">
        <f>'Absențe &amp; Purtare'!G16</f>
        <v/>
      </c>
      <c r="K16" s="28" t="str">
        <f t="shared" si="2"/>
        <v/>
      </c>
      <c r="L16" s="45" t="str">
        <f t="shared" si="3"/>
        <v/>
      </c>
    </row>
    <row r="17" spans="1:12" x14ac:dyDescent="0.3">
      <c r="A17" s="3">
        <v>9</v>
      </c>
      <c r="B17" s="4" t="s">
        <v>34</v>
      </c>
      <c r="C17" s="3">
        <v>21</v>
      </c>
      <c r="D17" s="3" t="s">
        <v>35</v>
      </c>
      <c r="E17" s="3" t="str">
        <f>'Cultură Generală'!E17</f>
        <v/>
      </c>
      <c r="F17" s="3" t="str">
        <f>'Module Tehnologice'!E17</f>
        <v/>
      </c>
      <c r="G17" s="5" t="str">
        <f t="shared" si="0"/>
        <v/>
      </c>
      <c r="H17" s="3">
        <f>'Absențe &amp; Purtare'!H17</f>
        <v>10</v>
      </c>
      <c r="I17" s="3" t="str">
        <f t="shared" si="1"/>
        <v/>
      </c>
      <c r="J17" s="3" t="str">
        <f>'Absențe &amp; Purtare'!G17</f>
        <v/>
      </c>
      <c r="K17" s="28" t="str">
        <f t="shared" si="2"/>
        <v/>
      </c>
      <c r="L17" s="45" t="str">
        <f t="shared" si="3"/>
        <v/>
      </c>
    </row>
    <row r="18" spans="1:12" x14ac:dyDescent="0.3">
      <c r="A18" s="3">
        <v>10</v>
      </c>
      <c r="B18" s="4" t="s">
        <v>36</v>
      </c>
      <c r="C18" s="3">
        <v>22</v>
      </c>
      <c r="D18" s="3" t="s">
        <v>37</v>
      </c>
      <c r="E18" s="3" t="str">
        <f>'Cultură Generală'!E18</f>
        <v/>
      </c>
      <c r="F18" s="3" t="str">
        <f>'Module Tehnologice'!E18</f>
        <v/>
      </c>
      <c r="G18" s="5" t="str">
        <f t="shared" si="0"/>
        <v/>
      </c>
      <c r="H18" s="3">
        <f>'Absențe &amp; Purtare'!H18</f>
        <v>10</v>
      </c>
      <c r="I18" s="3" t="str">
        <f t="shared" si="1"/>
        <v/>
      </c>
      <c r="J18" s="3" t="str">
        <f>'Absențe &amp; Purtare'!G18</f>
        <v/>
      </c>
      <c r="K18" s="28" t="str">
        <f t="shared" si="2"/>
        <v/>
      </c>
      <c r="L18" s="45" t="str">
        <f t="shared" si="3"/>
        <v/>
      </c>
    </row>
    <row r="19" spans="1:12" x14ac:dyDescent="0.3">
      <c r="A19" s="3">
        <v>11</v>
      </c>
      <c r="B19" s="4" t="s">
        <v>38</v>
      </c>
      <c r="C19" s="3">
        <v>23</v>
      </c>
      <c r="D19" s="3" t="s">
        <v>39</v>
      </c>
      <c r="E19" s="3" t="str">
        <f>'Cultură Generală'!E19</f>
        <v/>
      </c>
      <c r="F19" s="3" t="str">
        <f>'Module Tehnologice'!E19</f>
        <v/>
      </c>
      <c r="G19" s="5" t="str">
        <f t="shared" si="0"/>
        <v/>
      </c>
      <c r="H19" s="3">
        <f>'Absențe &amp; Purtare'!H19</f>
        <v>10</v>
      </c>
      <c r="I19" s="3" t="str">
        <f t="shared" si="1"/>
        <v/>
      </c>
      <c r="J19" s="3" t="str">
        <f>'Absențe &amp; Purtare'!G19</f>
        <v/>
      </c>
      <c r="K19" s="28" t="str">
        <f t="shared" si="2"/>
        <v/>
      </c>
      <c r="L19" s="45" t="str">
        <f t="shared" si="3"/>
        <v/>
      </c>
    </row>
    <row r="20" spans="1:12" x14ac:dyDescent="0.3">
      <c r="A20" s="3">
        <v>12</v>
      </c>
      <c r="B20" s="4" t="s">
        <v>40</v>
      </c>
      <c r="C20" s="3">
        <v>24</v>
      </c>
      <c r="D20" s="3" t="s">
        <v>41</v>
      </c>
      <c r="E20" s="3" t="str">
        <f>'Cultură Generală'!E20</f>
        <v/>
      </c>
      <c r="F20" s="3" t="str">
        <f>'Module Tehnologice'!E20</f>
        <v/>
      </c>
      <c r="G20" s="5" t="str">
        <f t="shared" si="0"/>
        <v/>
      </c>
      <c r="H20" s="3">
        <f>'Absențe &amp; Purtare'!H20</f>
        <v>10</v>
      </c>
      <c r="I20" s="3" t="str">
        <f t="shared" si="1"/>
        <v/>
      </c>
      <c r="J20" s="3" t="str">
        <f>'Absențe &amp; Purtare'!G20</f>
        <v/>
      </c>
      <c r="K20" s="28" t="str">
        <f t="shared" si="2"/>
        <v/>
      </c>
      <c r="L20" s="45" t="str">
        <f t="shared" si="3"/>
        <v/>
      </c>
    </row>
    <row r="21" spans="1:12" x14ac:dyDescent="0.3">
      <c r="A21" s="3">
        <v>13</v>
      </c>
      <c r="B21" s="4" t="s">
        <v>42</v>
      </c>
      <c r="C21" s="3">
        <v>25</v>
      </c>
      <c r="D21" s="3" t="s">
        <v>43</v>
      </c>
      <c r="E21" s="3" t="str">
        <f>'Cultură Generală'!E21</f>
        <v/>
      </c>
      <c r="F21" s="3" t="str">
        <f>'Module Tehnologice'!E21</f>
        <v/>
      </c>
      <c r="G21" s="5" t="str">
        <f t="shared" si="0"/>
        <v/>
      </c>
      <c r="H21" s="3">
        <f>'Absențe &amp; Purtare'!H21</f>
        <v>10</v>
      </c>
      <c r="I21" s="3" t="str">
        <f t="shared" si="1"/>
        <v/>
      </c>
      <c r="J21" s="3" t="str">
        <f>'Absențe &amp; Purtare'!G21</f>
        <v/>
      </c>
      <c r="K21" s="28" t="str">
        <f t="shared" si="2"/>
        <v/>
      </c>
      <c r="L21" s="45" t="str">
        <f t="shared" si="3"/>
        <v/>
      </c>
    </row>
    <row r="22" spans="1:12" x14ac:dyDescent="0.3">
      <c r="A22" s="3">
        <v>14</v>
      </c>
      <c r="B22" s="4" t="s">
        <v>44</v>
      </c>
      <c r="C22" s="3">
        <v>26</v>
      </c>
      <c r="D22" s="3" t="s">
        <v>45</v>
      </c>
      <c r="E22" s="3" t="str">
        <f>'Cultură Generală'!E22</f>
        <v/>
      </c>
      <c r="F22" s="3" t="str">
        <f>'Module Tehnologice'!E22</f>
        <v/>
      </c>
      <c r="G22" s="5" t="str">
        <f t="shared" si="0"/>
        <v/>
      </c>
      <c r="H22" s="3">
        <f>'Absențe &amp; Purtare'!H22</f>
        <v>10</v>
      </c>
      <c r="I22" s="3" t="str">
        <f t="shared" si="1"/>
        <v/>
      </c>
      <c r="J22" s="3" t="str">
        <f>'Absențe &amp; Purtare'!G22</f>
        <v/>
      </c>
      <c r="K22" s="28" t="str">
        <f t="shared" si="2"/>
        <v/>
      </c>
      <c r="L22" s="45" t="str">
        <f t="shared" si="3"/>
        <v/>
      </c>
    </row>
    <row r="23" spans="1:12" x14ac:dyDescent="0.3">
      <c r="A23" s="3">
        <v>15</v>
      </c>
      <c r="B23" s="4" t="s">
        <v>46</v>
      </c>
      <c r="C23" s="3">
        <v>27</v>
      </c>
      <c r="D23" s="3" t="s">
        <v>47</v>
      </c>
      <c r="E23" s="3" t="str">
        <f>'Cultură Generală'!E23</f>
        <v/>
      </c>
      <c r="F23" s="3" t="str">
        <f>'Module Tehnologice'!E23</f>
        <v/>
      </c>
      <c r="G23" s="5" t="str">
        <f t="shared" si="0"/>
        <v/>
      </c>
      <c r="H23" s="3">
        <f>'Absențe &amp; Purtare'!H23</f>
        <v>10</v>
      </c>
      <c r="I23" s="3" t="str">
        <f t="shared" si="1"/>
        <v/>
      </c>
      <c r="J23" s="3" t="str">
        <f>'Absențe &amp; Purtare'!G23</f>
        <v/>
      </c>
      <c r="K23" s="28" t="str">
        <f t="shared" si="2"/>
        <v/>
      </c>
      <c r="L23" s="45" t="str">
        <f t="shared" si="3"/>
        <v/>
      </c>
    </row>
    <row r="24" spans="1:12" x14ac:dyDescent="0.3">
      <c r="A24" s="3">
        <v>16</v>
      </c>
      <c r="B24" s="4" t="s">
        <v>48</v>
      </c>
      <c r="C24" s="3">
        <v>28</v>
      </c>
      <c r="D24" s="3" t="s">
        <v>49</v>
      </c>
      <c r="E24" s="3" t="str">
        <f>'Cultură Generală'!E24</f>
        <v/>
      </c>
      <c r="F24" s="3" t="str">
        <f>'Module Tehnologice'!E24</f>
        <v/>
      </c>
      <c r="G24" s="5" t="str">
        <f t="shared" si="0"/>
        <v/>
      </c>
      <c r="H24" s="3">
        <f>'Absențe &amp; Purtare'!H24</f>
        <v>10</v>
      </c>
      <c r="I24" s="3" t="str">
        <f t="shared" si="1"/>
        <v/>
      </c>
      <c r="J24" s="3" t="str">
        <f>'Absențe &amp; Purtare'!G24</f>
        <v/>
      </c>
      <c r="K24" s="28" t="str">
        <f t="shared" si="2"/>
        <v/>
      </c>
      <c r="L24" s="45" t="str">
        <f t="shared" si="3"/>
        <v/>
      </c>
    </row>
    <row r="25" spans="1:12" x14ac:dyDescent="0.3">
      <c r="A25" s="3">
        <v>17</v>
      </c>
      <c r="B25" s="4" t="s">
        <v>50</v>
      </c>
      <c r="C25" s="3">
        <v>29</v>
      </c>
      <c r="D25" s="3" t="s">
        <v>51</v>
      </c>
      <c r="E25" s="3" t="str">
        <f>'Cultură Generală'!E25</f>
        <v/>
      </c>
      <c r="F25" s="3" t="str">
        <f>'Module Tehnologice'!E25</f>
        <v/>
      </c>
      <c r="G25" s="5" t="str">
        <f t="shared" si="0"/>
        <v/>
      </c>
      <c r="H25" s="3">
        <f>'Absențe &amp; Purtare'!H25</f>
        <v>10</v>
      </c>
      <c r="I25" s="3" t="str">
        <f t="shared" si="1"/>
        <v/>
      </c>
      <c r="J25" s="3" t="str">
        <f>'Absențe &amp; Purtare'!G25</f>
        <v/>
      </c>
      <c r="K25" s="28" t="str">
        <f t="shared" si="2"/>
        <v/>
      </c>
      <c r="L25" s="45" t="str">
        <f t="shared" si="3"/>
        <v/>
      </c>
    </row>
    <row r="26" spans="1:12" x14ac:dyDescent="0.3">
      <c r="A26" s="3">
        <v>18</v>
      </c>
      <c r="B26" s="4" t="s">
        <v>52</v>
      </c>
      <c r="C26" s="3">
        <v>30</v>
      </c>
      <c r="D26" s="3" t="s">
        <v>53</v>
      </c>
      <c r="E26" s="3" t="str">
        <f>'Cultură Generală'!E26</f>
        <v/>
      </c>
      <c r="F26" s="3" t="str">
        <f>'Module Tehnologice'!E26</f>
        <v/>
      </c>
      <c r="G26" s="5" t="str">
        <f t="shared" si="0"/>
        <v/>
      </c>
      <c r="H26" s="3">
        <f>'Absențe &amp; Purtare'!H26</f>
        <v>10</v>
      </c>
      <c r="I26" s="3" t="str">
        <f t="shared" si="1"/>
        <v/>
      </c>
      <c r="J26" s="3" t="str">
        <f>'Absențe &amp; Purtare'!G26</f>
        <v/>
      </c>
      <c r="K26" s="28" t="str">
        <f t="shared" si="2"/>
        <v/>
      </c>
      <c r="L26" s="45" t="str">
        <f t="shared" si="3"/>
        <v/>
      </c>
    </row>
    <row r="27" spans="1:12" x14ac:dyDescent="0.3">
      <c r="A27" s="3">
        <v>19</v>
      </c>
      <c r="B27" s="4" t="s">
        <v>54</v>
      </c>
      <c r="C27" s="3">
        <v>31</v>
      </c>
      <c r="D27" s="3" t="s">
        <v>55</v>
      </c>
      <c r="E27" s="3" t="str">
        <f>'Cultură Generală'!E27</f>
        <v/>
      </c>
      <c r="F27" s="3" t="str">
        <f>'Module Tehnologice'!E27</f>
        <v/>
      </c>
      <c r="G27" s="5" t="str">
        <f t="shared" si="0"/>
        <v/>
      </c>
      <c r="H27" s="3">
        <f>'Absențe &amp; Purtare'!H27</f>
        <v>10</v>
      </c>
      <c r="I27" s="3" t="str">
        <f t="shared" si="1"/>
        <v/>
      </c>
      <c r="J27" s="3" t="str">
        <f>'Absențe &amp; Purtare'!G27</f>
        <v/>
      </c>
      <c r="K27" s="28" t="str">
        <f t="shared" si="2"/>
        <v/>
      </c>
      <c r="L27" s="45" t="str">
        <f t="shared" si="3"/>
        <v/>
      </c>
    </row>
    <row r="28" spans="1:12" x14ac:dyDescent="0.3">
      <c r="A28" s="3">
        <v>20</v>
      </c>
      <c r="B28" s="4" t="s">
        <v>56</v>
      </c>
      <c r="C28" s="3">
        <v>32</v>
      </c>
      <c r="D28" s="3" t="s">
        <v>57</v>
      </c>
      <c r="E28" s="3" t="str">
        <f>'Cultură Generală'!E28</f>
        <v/>
      </c>
      <c r="F28" s="3" t="str">
        <f>'Module Tehnologice'!E28</f>
        <v/>
      </c>
      <c r="G28" s="5" t="str">
        <f t="shared" si="0"/>
        <v/>
      </c>
      <c r="H28" s="3">
        <f>'Absențe &amp; Purtare'!H28</f>
        <v>10</v>
      </c>
      <c r="I28" s="3" t="str">
        <f t="shared" si="1"/>
        <v/>
      </c>
      <c r="J28" s="3" t="str">
        <f>'Absențe &amp; Purtare'!G28</f>
        <v/>
      </c>
      <c r="K28" s="28" t="str">
        <f t="shared" si="2"/>
        <v/>
      </c>
      <c r="L28" s="45" t="str">
        <f t="shared" si="3"/>
        <v/>
      </c>
    </row>
    <row r="29" spans="1:12" x14ac:dyDescent="0.3">
      <c r="A29" s="3">
        <v>21</v>
      </c>
      <c r="B29" s="4" t="s">
        <v>58</v>
      </c>
      <c r="C29" s="3">
        <v>33</v>
      </c>
      <c r="D29" s="3" t="s">
        <v>59</v>
      </c>
      <c r="E29" s="3" t="str">
        <f>'Cultură Generală'!E29</f>
        <v/>
      </c>
      <c r="F29" s="3" t="str">
        <f>'Module Tehnologice'!E29</f>
        <v/>
      </c>
      <c r="G29" s="5" t="str">
        <f t="shared" si="0"/>
        <v/>
      </c>
      <c r="H29" s="3">
        <f>'Absențe &amp; Purtare'!H29</f>
        <v>10</v>
      </c>
      <c r="I29" s="3" t="str">
        <f t="shared" si="1"/>
        <v/>
      </c>
      <c r="J29" s="3" t="str">
        <f>'Absențe &amp; Purtare'!G29</f>
        <v/>
      </c>
      <c r="K29" s="28" t="str">
        <f t="shared" si="2"/>
        <v/>
      </c>
      <c r="L29" s="45" t="str">
        <f t="shared" si="3"/>
        <v/>
      </c>
    </row>
    <row r="30" spans="1:12" x14ac:dyDescent="0.3">
      <c r="A30" s="3">
        <v>22</v>
      </c>
      <c r="B30" s="4" t="s">
        <v>60</v>
      </c>
      <c r="C30" s="3">
        <v>34</v>
      </c>
      <c r="D30" s="3" t="s">
        <v>61</v>
      </c>
      <c r="E30" s="3" t="str">
        <f>'Cultură Generală'!E30</f>
        <v/>
      </c>
      <c r="F30" s="3" t="str">
        <f>'Module Tehnologice'!E30</f>
        <v/>
      </c>
      <c r="G30" s="5" t="str">
        <f t="shared" si="0"/>
        <v/>
      </c>
      <c r="H30" s="3">
        <f>'Absențe &amp; Purtare'!H30</f>
        <v>10</v>
      </c>
      <c r="I30" s="3" t="str">
        <f t="shared" si="1"/>
        <v/>
      </c>
      <c r="J30" s="3" t="str">
        <f>'Absențe &amp; Purtare'!G30</f>
        <v/>
      </c>
      <c r="K30" s="28" t="str">
        <f t="shared" si="2"/>
        <v/>
      </c>
      <c r="L30" s="45" t="str">
        <f t="shared" si="3"/>
        <v/>
      </c>
    </row>
    <row r="31" spans="1:12" x14ac:dyDescent="0.3">
      <c r="A31" s="3">
        <v>23</v>
      </c>
      <c r="B31" s="4" t="s">
        <v>62</v>
      </c>
      <c r="C31" s="3">
        <v>35</v>
      </c>
      <c r="D31" s="3" t="s">
        <v>63</v>
      </c>
      <c r="E31" s="3" t="str">
        <f>'Cultură Generală'!E31</f>
        <v/>
      </c>
      <c r="F31" s="3" t="str">
        <f>'Module Tehnologice'!E31</f>
        <v/>
      </c>
      <c r="G31" s="5" t="str">
        <f t="shared" si="0"/>
        <v/>
      </c>
      <c r="H31" s="3">
        <f>'Absențe &amp; Purtare'!H31</f>
        <v>10</v>
      </c>
      <c r="I31" s="3" t="str">
        <f t="shared" si="1"/>
        <v/>
      </c>
      <c r="J31" s="3" t="str">
        <f>'Absențe &amp; Purtare'!G31</f>
        <v/>
      </c>
      <c r="K31" s="28" t="str">
        <f t="shared" si="2"/>
        <v/>
      </c>
      <c r="L31" s="45" t="str">
        <f t="shared" si="3"/>
        <v/>
      </c>
    </row>
    <row r="32" spans="1:12" x14ac:dyDescent="0.3">
      <c r="A32" s="3">
        <v>24</v>
      </c>
      <c r="B32" s="4" t="s">
        <v>64</v>
      </c>
      <c r="C32" s="3">
        <v>36</v>
      </c>
      <c r="D32" s="3" t="s">
        <v>65</v>
      </c>
      <c r="E32" s="3" t="str">
        <f>'Cultură Generală'!E32</f>
        <v/>
      </c>
      <c r="F32" s="3" t="str">
        <f>'Module Tehnologice'!E32</f>
        <v/>
      </c>
      <c r="G32" s="5" t="str">
        <f t="shared" si="0"/>
        <v/>
      </c>
      <c r="H32" s="3">
        <f>'Absențe &amp; Purtare'!H32</f>
        <v>10</v>
      </c>
      <c r="I32" s="3" t="str">
        <f t="shared" si="1"/>
        <v/>
      </c>
      <c r="J32" s="3" t="str">
        <f>'Absențe &amp; Purtare'!G32</f>
        <v/>
      </c>
      <c r="K32" s="28" t="str">
        <f t="shared" si="2"/>
        <v/>
      </c>
      <c r="L32" s="45" t="str">
        <f t="shared" si="3"/>
        <v/>
      </c>
    </row>
    <row r="33" spans="1:12" x14ac:dyDescent="0.3">
      <c r="A33" s="3">
        <v>25</v>
      </c>
      <c r="B33" s="4" t="s">
        <v>66</v>
      </c>
      <c r="C33" s="3">
        <v>37</v>
      </c>
      <c r="D33" s="3" t="s">
        <v>67</v>
      </c>
      <c r="E33" s="3" t="str">
        <f>'Cultură Generală'!E33</f>
        <v/>
      </c>
      <c r="F33" s="3" t="str">
        <f>'Module Tehnologice'!E33</f>
        <v/>
      </c>
      <c r="G33" s="5" t="str">
        <f t="shared" si="0"/>
        <v/>
      </c>
      <c r="H33" s="3">
        <f>'Absențe &amp; Purtare'!H33</f>
        <v>10</v>
      </c>
      <c r="I33" s="3" t="str">
        <f t="shared" si="1"/>
        <v/>
      </c>
      <c r="J33" s="3" t="str">
        <f>'Absențe &amp; Purtare'!G33</f>
        <v/>
      </c>
      <c r="K33" s="28" t="str">
        <f t="shared" si="2"/>
        <v/>
      </c>
      <c r="L33" s="45" t="str">
        <f t="shared" si="3"/>
        <v/>
      </c>
    </row>
    <row r="34" spans="1:12" x14ac:dyDescent="0.3">
      <c r="A34" s="3">
        <v>26</v>
      </c>
      <c r="B34" s="4" t="s">
        <v>68</v>
      </c>
      <c r="C34" s="3">
        <v>38</v>
      </c>
      <c r="D34" s="3" t="s">
        <v>69</v>
      </c>
      <c r="E34" s="3" t="str">
        <f>'Cultură Generală'!E34</f>
        <v/>
      </c>
      <c r="F34" s="3" t="str">
        <f>'Module Tehnologice'!E34</f>
        <v/>
      </c>
      <c r="G34" s="5" t="str">
        <f t="shared" si="0"/>
        <v/>
      </c>
      <c r="H34" s="3">
        <f>'Absențe &amp; Purtare'!H34</f>
        <v>10</v>
      </c>
      <c r="I34" s="3" t="str">
        <f t="shared" si="1"/>
        <v/>
      </c>
      <c r="J34" s="3" t="str">
        <f>'Absențe &amp; Purtare'!G34</f>
        <v/>
      </c>
      <c r="K34" s="28" t="str">
        <f t="shared" si="2"/>
        <v/>
      </c>
      <c r="L34" s="45" t="str">
        <f t="shared" si="3"/>
        <v/>
      </c>
    </row>
    <row r="35" spans="1:12" x14ac:dyDescent="0.3">
      <c r="A35" s="3">
        <v>27</v>
      </c>
      <c r="B35" s="4" t="s">
        <v>70</v>
      </c>
      <c r="C35" s="3">
        <v>39</v>
      </c>
      <c r="D35" s="3" t="s">
        <v>71</v>
      </c>
      <c r="E35" s="3" t="str">
        <f>'Cultură Generală'!E35</f>
        <v/>
      </c>
      <c r="F35" s="3" t="str">
        <f>'Module Tehnologice'!E35</f>
        <v/>
      </c>
      <c r="G35" s="5" t="str">
        <f t="shared" si="0"/>
        <v/>
      </c>
      <c r="H35" s="3">
        <f>'Absențe &amp; Purtare'!H35</f>
        <v>10</v>
      </c>
      <c r="I35" s="3" t="str">
        <f t="shared" si="1"/>
        <v/>
      </c>
      <c r="J35" s="3" t="str">
        <f>'Absențe &amp; Purtare'!G35</f>
        <v/>
      </c>
      <c r="K35" s="28" t="str">
        <f t="shared" si="2"/>
        <v/>
      </c>
      <c r="L35" s="45" t="str">
        <f t="shared" si="3"/>
        <v/>
      </c>
    </row>
    <row r="36" spans="1:12" x14ac:dyDescent="0.3">
      <c r="A36" s="3">
        <v>28</v>
      </c>
      <c r="B36" s="4" t="s">
        <v>72</v>
      </c>
      <c r="C36" s="3">
        <v>40</v>
      </c>
      <c r="D36" s="3" t="s">
        <v>73</v>
      </c>
      <c r="E36" s="3" t="str">
        <f>'Cultură Generală'!E36</f>
        <v/>
      </c>
      <c r="F36" s="3" t="str">
        <f>'Module Tehnologice'!E36</f>
        <v/>
      </c>
      <c r="G36" s="5" t="str">
        <f t="shared" si="0"/>
        <v/>
      </c>
      <c r="H36" s="3">
        <f>'Absențe &amp; Purtare'!H36</f>
        <v>10</v>
      </c>
      <c r="I36" s="3" t="str">
        <f t="shared" si="1"/>
        <v/>
      </c>
      <c r="J36" s="3" t="str">
        <f>'Absențe &amp; Purtare'!G36</f>
        <v/>
      </c>
      <c r="K36" s="28" t="str">
        <f t="shared" si="2"/>
        <v/>
      </c>
      <c r="L36" s="45" t="str">
        <f t="shared" si="3"/>
        <v/>
      </c>
    </row>
    <row r="37" spans="1:12" x14ac:dyDescent="0.3">
      <c r="A37" s="3">
        <v>29</v>
      </c>
      <c r="B37" s="4" t="s">
        <v>74</v>
      </c>
      <c r="C37" s="3">
        <v>41</v>
      </c>
      <c r="D37" s="3" t="s">
        <v>75</v>
      </c>
      <c r="E37" s="3" t="str">
        <f>'Cultură Generală'!E37</f>
        <v/>
      </c>
      <c r="F37" s="3" t="str">
        <f>'Module Tehnologice'!E37</f>
        <v/>
      </c>
      <c r="G37" s="5" t="str">
        <f t="shared" si="0"/>
        <v/>
      </c>
      <c r="H37" s="3">
        <f>'Absențe &amp; Purtare'!H37</f>
        <v>10</v>
      </c>
      <c r="I37" s="3" t="str">
        <f t="shared" si="1"/>
        <v/>
      </c>
      <c r="J37" s="3" t="str">
        <f>'Absențe &amp; Purtare'!G37</f>
        <v/>
      </c>
      <c r="K37" s="28" t="str">
        <f t="shared" si="2"/>
        <v/>
      </c>
      <c r="L37" s="45" t="str">
        <f t="shared" si="3"/>
        <v/>
      </c>
    </row>
    <row r="38" spans="1:12" x14ac:dyDescent="0.3">
      <c r="A38" s="3">
        <v>30</v>
      </c>
      <c r="B38" s="4" t="s">
        <v>76</v>
      </c>
      <c r="C38" s="3">
        <v>42</v>
      </c>
      <c r="D38" s="3" t="s">
        <v>77</v>
      </c>
      <c r="E38" s="3" t="str">
        <f>'Cultură Generală'!E38</f>
        <v/>
      </c>
      <c r="F38" s="3" t="str">
        <f>'Module Tehnologice'!E38</f>
        <v/>
      </c>
      <c r="G38" s="5" t="str">
        <f t="shared" si="0"/>
        <v/>
      </c>
      <c r="H38" s="3">
        <f>'Absențe &amp; Purtare'!H38</f>
        <v>10</v>
      </c>
      <c r="I38" s="3" t="str">
        <f t="shared" si="1"/>
        <v/>
      </c>
      <c r="J38" s="3" t="str">
        <f>'Absențe &amp; Purtare'!G38</f>
        <v/>
      </c>
      <c r="K38" s="28" t="str">
        <f t="shared" si="2"/>
        <v/>
      </c>
      <c r="L38" s="45" t="str">
        <f t="shared" si="3"/>
        <v/>
      </c>
    </row>
    <row r="39" spans="1:12" x14ac:dyDescent="0.3">
      <c r="A39" s="3">
        <v>31</v>
      </c>
      <c r="B39" s="4" t="s">
        <v>78</v>
      </c>
      <c r="C39" s="3">
        <v>43</v>
      </c>
      <c r="D39" s="3" t="s">
        <v>79</v>
      </c>
      <c r="E39" s="3" t="str">
        <f>'Cultură Generală'!E39</f>
        <v/>
      </c>
      <c r="F39" s="3" t="str">
        <f>'Module Tehnologice'!E39</f>
        <v/>
      </c>
      <c r="G39" s="5" t="str">
        <f t="shared" si="0"/>
        <v/>
      </c>
      <c r="H39" s="3">
        <f>'Absențe &amp; Purtare'!H39</f>
        <v>10</v>
      </c>
      <c r="I39" s="3" t="str">
        <f t="shared" si="1"/>
        <v/>
      </c>
      <c r="J39" s="3" t="str">
        <f>'Absențe &amp; Purtare'!G39</f>
        <v/>
      </c>
      <c r="K39" s="28" t="str">
        <f t="shared" si="2"/>
        <v/>
      </c>
      <c r="L39" s="45" t="str">
        <f t="shared" si="3"/>
        <v/>
      </c>
    </row>
    <row r="40" spans="1:12" x14ac:dyDescent="0.3">
      <c r="A40" s="3">
        <v>32</v>
      </c>
      <c r="B40" s="4" t="s">
        <v>80</v>
      </c>
      <c r="C40" s="3">
        <v>44</v>
      </c>
      <c r="D40" s="3" t="s">
        <v>81</v>
      </c>
      <c r="E40" s="3" t="str">
        <f>'Cultură Generală'!E40</f>
        <v/>
      </c>
      <c r="F40" s="3" t="str">
        <f>'Module Tehnologice'!E40</f>
        <v/>
      </c>
      <c r="G40" s="5" t="str">
        <f t="shared" si="0"/>
        <v/>
      </c>
      <c r="H40" s="3">
        <f>'Absențe &amp; Purtare'!H40</f>
        <v>10</v>
      </c>
      <c r="I40" s="3" t="str">
        <f t="shared" si="1"/>
        <v/>
      </c>
      <c r="J40" s="3" t="str">
        <f>'Absențe &amp; Purtare'!G40</f>
        <v/>
      </c>
      <c r="K40" s="28" t="str">
        <f t="shared" si="2"/>
        <v/>
      </c>
      <c r="L40" s="45" t="str">
        <f t="shared" si="3"/>
        <v/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O40"/>
  <sheetViews>
    <sheetView tabSelected="1" workbookViewId="0">
      <pane xSplit="4" ySplit="8" topLeftCell="E9" activePane="bottomRight" state="frozen"/>
      <selection pane="topRight"/>
      <selection pane="bottomLeft"/>
      <selection pane="bottomRight" activeCell="S9" sqref="S9"/>
    </sheetView>
  </sheetViews>
  <sheetFormatPr defaultRowHeight="14.4" x14ac:dyDescent="0.3"/>
  <cols>
    <col min="1" max="1" width="6" style="36" customWidth="1"/>
    <col min="2" max="2" width="32" style="36" customWidth="1"/>
    <col min="3" max="4" width="12" style="36" customWidth="1"/>
    <col min="5" max="7" width="16" style="36" customWidth="1"/>
    <col min="8" max="8" width="9" style="36" customWidth="1"/>
    <col min="9" max="9" width="9.44140625" style="36" customWidth="1"/>
    <col min="10" max="10" width="8" style="36" customWidth="1"/>
    <col min="11" max="11" width="9.44140625" style="36" customWidth="1"/>
    <col min="12" max="12" width="8" style="36" customWidth="1"/>
    <col min="13" max="13" width="9.44140625" style="36" customWidth="1"/>
    <col min="14" max="14" width="8" style="36" customWidth="1"/>
    <col min="15" max="15" width="9.44140625" style="36" customWidth="1"/>
    <col min="16" max="16" width="8" style="36" customWidth="1"/>
    <col min="17" max="17" width="9.44140625" style="36" customWidth="1"/>
    <col min="18" max="18" width="19" style="36" customWidth="1"/>
    <col min="19" max="26" width="9.44140625" style="36" customWidth="1"/>
    <col min="27" max="28" width="19" style="36" customWidth="1"/>
    <col min="29" max="29" width="8.44140625" style="36" customWidth="1"/>
    <col min="30" max="30" width="9.44140625" style="36" customWidth="1"/>
    <col min="31" max="31" width="8" style="36" customWidth="1"/>
    <col min="32" max="32" width="9.44140625" style="36" customWidth="1"/>
    <col min="33" max="33" width="8" style="36" customWidth="1"/>
    <col min="34" max="34" width="9.44140625" style="36" customWidth="1"/>
    <col min="35" max="35" width="8" style="36" customWidth="1"/>
    <col min="36" max="36" width="9.44140625" style="36" customWidth="1"/>
    <col min="37" max="37" width="8" style="36" customWidth="1"/>
    <col min="38" max="38" width="9.44140625" style="36" customWidth="1"/>
    <col min="39" max="39" width="19" style="36" customWidth="1"/>
    <col min="40" max="47" width="9.44140625" style="36" customWidth="1"/>
    <col min="48" max="49" width="19" style="36" customWidth="1"/>
    <col min="50" max="50" width="8.77734375" style="36" customWidth="1"/>
    <col min="51" max="51" width="9.44140625" style="36" customWidth="1"/>
    <col min="52" max="52" width="8" style="36" customWidth="1"/>
    <col min="53" max="53" width="9.44140625" style="36" customWidth="1"/>
    <col min="54" max="54" width="8" style="36" customWidth="1"/>
    <col min="55" max="55" width="9.44140625" style="36" customWidth="1"/>
    <col min="56" max="56" width="8" style="36" customWidth="1"/>
    <col min="57" max="57" width="9.44140625" style="36" customWidth="1"/>
    <col min="58" max="58" width="8" style="36" customWidth="1"/>
    <col min="59" max="59" width="9.44140625" style="36" customWidth="1"/>
    <col min="60" max="60" width="19" style="36" customWidth="1"/>
    <col min="61" max="68" width="9.44140625" style="36" customWidth="1"/>
    <col min="69" max="70" width="19" style="36" customWidth="1"/>
    <col min="71" max="71" width="10.5546875" style="36" customWidth="1"/>
    <col min="72" max="72" width="9.44140625" style="36" customWidth="1"/>
    <col min="73" max="73" width="8" style="36" customWidth="1"/>
    <col min="74" max="74" width="9.44140625" style="36" customWidth="1"/>
    <col min="75" max="75" width="8" style="36" customWidth="1"/>
    <col min="76" max="76" width="9.44140625" style="36" customWidth="1"/>
    <col min="77" max="77" width="8" style="36" customWidth="1"/>
    <col min="78" max="78" width="9.44140625" style="36" customWidth="1"/>
    <col min="79" max="79" width="8" style="36" customWidth="1"/>
    <col min="80" max="80" width="9.44140625" style="36" customWidth="1"/>
    <col min="81" max="81" width="19" style="36" customWidth="1"/>
    <col min="82" max="89" width="9.44140625" style="36" customWidth="1"/>
    <col min="90" max="91" width="19" style="36" customWidth="1"/>
    <col min="92" max="92" width="9" style="36" customWidth="1"/>
    <col min="93" max="93" width="9.44140625" style="36" customWidth="1"/>
    <col min="94" max="94" width="8" style="36" customWidth="1"/>
    <col min="95" max="95" width="9.44140625" style="36" customWidth="1"/>
    <col min="96" max="96" width="8" style="36" customWidth="1"/>
    <col min="97" max="97" width="9.44140625" style="36" customWidth="1"/>
    <col min="98" max="98" width="8" style="36" customWidth="1"/>
    <col min="99" max="99" width="9.44140625" style="36" customWidth="1"/>
    <col min="100" max="100" width="8" style="36" customWidth="1"/>
    <col min="101" max="101" width="9.44140625" style="36" customWidth="1"/>
    <col min="102" max="102" width="19" style="36" customWidth="1"/>
    <col min="103" max="110" width="9.44140625" style="36" customWidth="1"/>
    <col min="111" max="112" width="19" style="36" customWidth="1"/>
    <col min="113" max="113" width="9" style="36" customWidth="1"/>
    <col min="114" max="114" width="9.44140625" style="36" customWidth="1"/>
    <col min="115" max="115" width="8" style="36" customWidth="1"/>
    <col min="116" max="116" width="9.44140625" style="36" customWidth="1"/>
    <col min="117" max="117" width="8" style="36" customWidth="1"/>
    <col min="118" max="118" width="9.44140625" style="36" customWidth="1"/>
    <col min="119" max="119" width="8" style="36" customWidth="1"/>
    <col min="120" max="120" width="9.44140625" style="36" customWidth="1"/>
    <col min="121" max="121" width="8" style="36" customWidth="1"/>
    <col min="122" max="122" width="9.44140625" style="36" customWidth="1"/>
    <col min="123" max="123" width="19" style="36" customWidth="1"/>
    <col min="124" max="131" width="9.44140625" style="36" customWidth="1"/>
    <col min="132" max="133" width="19" style="36" customWidth="1"/>
    <col min="134" max="134" width="11" style="36" customWidth="1"/>
    <col min="135" max="135" width="9.44140625" style="36" customWidth="1"/>
    <col min="136" max="136" width="8" style="36" customWidth="1"/>
    <col min="137" max="137" width="9.44140625" style="36" customWidth="1"/>
    <col min="138" max="138" width="8" style="36" customWidth="1"/>
    <col min="139" max="139" width="9.44140625" style="36" customWidth="1"/>
    <col min="140" max="140" width="8" style="36" customWidth="1"/>
    <col min="141" max="141" width="9.44140625" style="36" customWidth="1"/>
    <col min="142" max="142" width="8" style="36" customWidth="1"/>
    <col min="143" max="143" width="9.44140625" style="36" customWidth="1"/>
    <col min="144" max="144" width="19" style="36" customWidth="1"/>
    <col min="145" max="152" width="9.44140625" style="36" customWidth="1"/>
    <col min="153" max="154" width="19" style="36" customWidth="1"/>
    <col min="155" max="155" width="10" style="36" customWidth="1"/>
    <col min="156" max="156" width="9.44140625" style="36" customWidth="1"/>
    <col min="157" max="157" width="8" style="36" customWidth="1"/>
    <col min="158" max="158" width="9.44140625" style="36" customWidth="1"/>
    <col min="159" max="159" width="8" style="36" customWidth="1"/>
    <col min="160" max="160" width="9.44140625" style="36" customWidth="1"/>
    <col min="161" max="161" width="8" style="36" customWidth="1"/>
    <col min="162" max="162" width="9.44140625" style="36" customWidth="1"/>
    <col min="163" max="163" width="8" style="36" customWidth="1"/>
    <col min="164" max="164" width="9.44140625" style="36" customWidth="1"/>
    <col min="165" max="165" width="19" style="36" customWidth="1"/>
    <col min="166" max="173" width="9.44140625" style="36" customWidth="1"/>
    <col min="174" max="175" width="19" style="36" customWidth="1"/>
    <col min="176" max="176" width="12" style="36" customWidth="1"/>
    <col min="177" max="177" width="9.44140625" style="36" customWidth="1"/>
    <col min="178" max="178" width="8" style="36" customWidth="1"/>
    <col min="179" max="179" width="9.44140625" style="36" customWidth="1"/>
    <col min="180" max="180" width="8" style="36" customWidth="1"/>
    <col min="181" max="181" width="9.44140625" style="36" customWidth="1"/>
    <col min="182" max="182" width="8" style="36" customWidth="1"/>
    <col min="183" max="183" width="9.44140625" style="36" customWidth="1"/>
    <col min="184" max="184" width="8" style="36" customWidth="1"/>
    <col min="185" max="185" width="9.44140625" style="36" customWidth="1"/>
    <col min="186" max="186" width="19" style="36" customWidth="1"/>
    <col min="187" max="194" width="9.44140625" style="36" customWidth="1"/>
    <col min="195" max="196" width="19" style="36" customWidth="1"/>
    <col min="197" max="197" width="8.77734375" style="36" customWidth="1"/>
    <col min="198" max="198" width="9.44140625" style="36" customWidth="1"/>
    <col min="199" max="199" width="8" style="36" customWidth="1"/>
    <col min="200" max="200" width="9.44140625" style="36" customWidth="1"/>
    <col min="201" max="201" width="8" style="36" customWidth="1"/>
    <col min="202" max="202" width="9.44140625" style="36" customWidth="1"/>
    <col min="203" max="203" width="8" style="36" customWidth="1"/>
    <col min="204" max="204" width="9.44140625" style="36" customWidth="1"/>
    <col min="205" max="205" width="8" style="36" customWidth="1"/>
    <col min="206" max="206" width="9.44140625" style="36" customWidth="1"/>
    <col min="207" max="207" width="19" style="36" customWidth="1"/>
    <col min="208" max="215" width="9.44140625" style="36" customWidth="1"/>
    <col min="216" max="217" width="19" style="36" customWidth="1"/>
    <col min="218" max="218" width="9" style="36" customWidth="1"/>
    <col min="219" max="219" width="9.44140625" style="36" customWidth="1"/>
    <col min="220" max="220" width="8" style="36" customWidth="1"/>
    <col min="221" max="221" width="9.44140625" style="36" customWidth="1"/>
    <col min="222" max="222" width="8" style="36" customWidth="1"/>
    <col min="223" max="223" width="9.44140625" style="36" customWidth="1"/>
    <col min="224" max="224" width="8" style="36" customWidth="1"/>
    <col min="225" max="225" width="9.44140625" style="36" customWidth="1"/>
    <col min="226" max="226" width="8" style="36" customWidth="1"/>
    <col min="227" max="227" width="9.44140625" style="36" customWidth="1"/>
    <col min="228" max="228" width="19" style="36" customWidth="1"/>
    <col min="229" max="236" width="9.44140625" style="36" customWidth="1"/>
    <col min="237" max="238" width="19" style="36" customWidth="1"/>
    <col min="239" max="239" width="8.5546875" style="36" customWidth="1"/>
    <col min="240" max="240" width="9.44140625" style="36" customWidth="1"/>
    <col min="241" max="241" width="8" style="36" customWidth="1"/>
    <col min="242" max="242" width="9.44140625" style="36" customWidth="1"/>
    <col min="243" max="243" width="8" style="36" customWidth="1"/>
    <col min="244" max="244" width="9.44140625" style="36" customWidth="1"/>
    <col min="245" max="245" width="8" style="36" customWidth="1"/>
    <col min="246" max="246" width="9.44140625" style="36" customWidth="1"/>
    <col min="247" max="247" width="8" style="36" customWidth="1"/>
    <col min="248" max="248" width="9.44140625" style="36" customWidth="1"/>
    <col min="249" max="249" width="19" style="36" customWidth="1"/>
    <col min="250" max="257" width="9.44140625" style="36" customWidth="1"/>
    <col min="258" max="259" width="19" style="36" customWidth="1"/>
    <col min="260" max="260" width="10" style="36" customWidth="1"/>
    <col min="261" max="261" width="9.44140625" style="36" customWidth="1"/>
    <col min="262" max="262" width="8" style="36" customWidth="1"/>
    <col min="263" max="263" width="9.44140625" style="36" customWidth="1"/>
    <col min="264" max="264" width="8" style="36" customWidth="1"/>
    <col min="265" max="265" width="9.44140625" style="36" customWidth="1"/>
    <col min="266" max="266" width="8" style="36" customWidth="1"/>
    <col min="267" max="267" width="9.44140625" style="36" customWidth="1"/>
    <col min="268" max="268" width="8" style="36" customWidth="1"/>
    <col min="269" max="269" width="9.44140625" style="36" customWidth="1"/>
    <col min="270" max="270" width="19" style="36" customWidth="1"/>
    <col min="271" max="278" width="9.44140625" style="36" customWidth="1"/>
    <col min="279" max="280" width="19" style="36" customWidth="1"/>
    <col min="281" max="281" width="9.77734375" style="36" customWidth="1"/>
    <col min="282" max="282" width="9.44140625" style="36" customWidth="1"/>
    <col min="283" max="283" width="8" style="36" customWidth="1"/>
    <col min="284" max="284" width="9.44140625" style="36" customWidth="1"/>
    <col min="285" max="285" width="8" style="36" customWidth="1"/>
    <col min="286" max="286" width="9.44140625" style="36" customWidth="1"/>
    <col min="287" max="287" width="8" style="36" customWidth="1"/>
    <col min="288" max="288" width="9.44140625" style="36" customWidth="1"/>
    <col min="289" max="289" width="8" style="36" customWidth="1"/>
    <col min="290" max="290" width="9.44140625" style="36" customWidth="1"/>
    <col min="291" max="291" width="19" style="36" customWidth="1"/>
    <col min="292" max="299" width="9.44140625" style="36" customWidth="1"/>
    <col min="300" max="301" width="19" style="36" customWidth="1"/>
  </cols>
  <sheetData>
    <row r="1" spans="1:301" ht="19.8" customHeight="1" x14ac:dyDescent="0.3">
      <c r="A1" s="48" t="s">
        <v>82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spans="1:301" x14ac:dyDescent="0.3">
      <c r="A2" s="46" t="s">
        <v>83</v>
      </c>
      <c r="B2" s="47"/>
      <c r="C2" s="47"/>
      <c r="D2" s="47"/>
      <c r="E2" s="47"/>
      <c r="F2" s="47"/>
      <c r="G2" s="47"/>
      <c r="H2" s="47"/>
      <c r="I2" s="47"/>
      <c r="J2" s="47"/>
      <c r="K2" s="47"/>
    </row>
    <row r="6" spans="1:301" x14ac:dyDescent="0.3">
      <c r="A6" s="52" t="s">
        <v>6</v>
      </c>
      <c r="B6" s="52" t="s">
        <v>7</v>
      </c>
      <c r="C6" s="52" t="s">
        <v>8</v>
      </c>
      <c r="D6" s="52" t="s">
        <v>84</v>
      </c>
      <c r="E6" s="52" t="s">
        <v>85</v>
      </c>
      <c r="F6" s="52" t="s">
        <v>86</v>
      </c>
      <c r="G6" s="52" t="s">
        <v>87</v>
      </c>
      <c r="H6" s="49" t="s">
        <v>88</v>
      </c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1"/>
      <c r="AC6" s="49" t="s">
        <v>89</v>
      </c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1"/>
      <c r="AX6" s="49" t="s">
        <v>90</v>
      </c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1"/>
      <c r="BS6" s="49" t="s">
        <v>91</v>
      </c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1"/>
      <c r="CN6" s="49" t="s">
        <v>92</v>
      </c>
      <c r="CO6" s="50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50"/>
      <c r="DD6" s="50"/>
      <c r="DE6" s="50"/>
      <c r="DF6" s="50"/>
      <c r="DG6" s="50"/>
      <c r="DH6" s="51"/>
      <c r="DI6" s="49" t="s">
        <v>93</v>
      </c>
      <c r="DJ6" s="50"/>
      <c r="DK6" s="50"/>
      <c r="DL6" s="50"/>
      <c r="DM6" s="50"/>
      <c r="DN6" s="50"/>
      <c r="DO6" s="50"/>
      <c r="DP6" s="50"/>
      <c r="DQ6" s="50"/>
      <c r="DR6" s="50"/>
      <c r="DS6" s="50"/>
      <c r="DT6" s="50"/>
      <c r="DU6" s="50"/>
      <c r="DV6" s="50"/>
      <c r="DW6" s="50"/>
      <c r="DX6" s="50"/>
      <c r="DY6" s="50"/>
      <c r="DZ6" s="50"/>
      <c r="EA6" s="50"/>
      <c r="EB6" s="50"/>
      <c r="EC6" s="51"/>
      <c r="ED6" s="49" t="s">
        <v>94</v>
      </c>
      <c r="EE6" s="50"/>
      <c r="EF6" s="50"/>
      <c r="EG6" s="50"/>
      <c r="EH6" s="50"/>
      <c r="EI6" s="50"/>
      <c r="EJ6" s="50"/>
      <c r="EK6" s="50"/>
      <c r="EL6" s="50"/>
      <c r="EM6" s="50"/>
      <c r="EN6" s="50"/>
      <c r="EO6" s="50"/>
      <c r="EP6" s="50"/>
      <c r="EQ6" s="50"/>
      <c r="ER6" s="50"/>
      <c r="ES6" s="50"/>
      <c r="ET6" s="50"/>
      <c r="EU6" s="50"/>
      <c r="EV6" s="50"/>
      <c r="EW6" s="50"/>
      <c r="EX6" s="51"/>
      <c r="EY6" s="49" t="s">
        <v>95</v>
      </c>
      <c r="EZ6" s="50"/>
      <c r="FA6" s="50"/>
      <c r="FB6" s="50"/>
      <c r="FC6" s="50"/>
      <c r="FD6" s="50"/>
      <c r="FE6" s="50"/>
      <c r="FF6" s="50"/>
      <c r="FG6" s="50"/>
      <c r="FH6" s="50"/>
      <c r="FI6" s="50"/>
      <c r="FJ6" s="50"/>
      <c r="FK6" s="50"/>
      <c r="FL6" s="50"/>
      <c r="FM6" s="50"/>
      <c r="FN6" s="50"/>
      <c r="FO6" s="50"/>
      <c r="FP6" s="50"/>
      <c r="FQ6" s="50"/>
      <c r="FR6" s="50"/>
      <c r="FS6" s="51"/>
      <c r="FT6" s="49" t="s">
        <v>96</v>
      </c>
      <c r="FU6" s="50"/>
      <c r="FV6" s="50"/>
      <c r="FW6" s="50"/>
      <c r="FX6" s="50"/>
      <c r="FY6" s="50"/>
      <c r="FZ6" s="50"/>
      <c r="GA6" s="50"/>
      <c r="GB6" s="50"/>
      <c r="GC6" s="50"/>
      <c r="GD6" s="50"/>
      <c r="GE6" s="50"/>
      <c r="GF6" s="50"/>
      <c r="GG6" s="50"/>
      <c r="GH6" s="50"/>
      <c r="GI6" s="50"/>
      <c r="GJ6" s="50"/>
      <c r="GK6" s="50"/>
      <c r="GL6" s="50"/>
      <c r="GM6" s="50"/>
      <c r="GN6" s="51"/>
      <c r="GO6" s="49" t="s">
        <v>97</v>
      </c>
      <c r="GP6" s="50"/>
      <c r="GQ6" s="50"/>
      <c r="GR6" s="50"/>
      <c r="GS6" s="50"/>
      <c r="GT6" s="50"/>
      <c r="GU6" s="50"/>
      <c r="GV6" s="50"/>
      <c r="GW6" s="50"/>
      <c r="GX6" s="50"/>
      <c r="GY6" s="50"/>
      <c r="GZ6" s="50"/>
      <c r="HA6" s="50"/>
      <c r="HB6" s="50"/>
      <c r="HC6" s="50"/>
      <c r="HD6" s="50"/>
      <c r="HE6" s="50"/>
      <c r="HF6" s="50"/>
      <c r="HG6" s="50"/>
      <c r="HH6" s="50"/>
      <c r="HI6" s="51"/>
      <c r="HJ6" s="49" t="s">
        <v>98</v>
      </c>
      <c r="HK6" s="50"/>
      <c r="HL6" s="50"/>
      <c r="HM6" s="50"/>
      <c r="HN6" s="50"/>
      <c r="HO6" s="50"/>
      <c r="HP6" s="50"/>
      <c r="HQ6" s="50"/>
      <c r="HR6" s="50"/>
      <c r="HS6" s="50"/>
      <c r="HT6" s="50"/>
      <c r="HU6" s="50"/>
      <c r="HV6" s="50"/>
      <c r="HW6" s="50"/>
      <c r="HX6" s="50"/>
      <c r="HY6" s="50"/>
      <c r="HZ6" s="50"/>
      <c r="IA6" s="50"/>
      <c r="IB6" s="50"/>
      <c r="IC6" s="50"/>
      <c r="ID6" s="51"/>
      <c r="IE6" s="49" t="s">
        <v>99</v>
      </c>
      <c r="IF6" s="50"/>
      <c r="IG6" s="50"/>
      <c r="IH6" s="50"/>
      <c r="II6" s="50"/>
      <c r="IJ6" s="50"/>
      <c r="IK6" s="50"/>
      <c r="IL6" s="50"/>
      <c r="IM6" s="50"/>
      <c r="IN6" s="50"/>
      <c r="IO6" s="50"/>
      <c r="IP6" s="50"/>
      <c r="IQ6" s="50"/>
      <c r="IR6" s="50"/>
      <c r="IS6" s="50"/>
      <c r="IT6" s="50"/>
      <c r="IU6" s="50"/>
      <c r="IV6" s="50"/>
      <c r="IW6" s="50"/>
      <c r="IX6" s="50"/>
      <c r="IY6" s="51"/>
      <c r="IZ6" s="49" t="s">
        <v>100</v>
      </c>
      <c r="JA6" s="50"/>
      <c r="JB6" s="50"/>
      <c r="JC6" s="50"/>
      <c r="JD6" s="50"/>
      <c r="JE6" s="50"/>
      <c r="JF6" s="50"/>
      <c r="JG6" s="50"/>
      <c r="JH6" s="50"/>
      <c r="JI6" s="50"/>
      <c r="JJ6" s="50"/>
      <c r="JK6" s="50"/>
      <c r="JL6" s="50"/>
      <c r="JM6" s="50"/>
      <c r="JN6" s="50"/>
      <c r="JO6" s="50"/>
      <c r="JP6" s="50"/>
      <c r="JQ6" s="50"/>
      <c r="JR6" s="50"/>
      <c r="JS6" s="50"/>
      <c r="JT6" s="51"/>
      <c r="JU6" s="49" t="s">
        <v>101</v>
      </c>
      <c r="JV6" s="50"/>
      <c r="JW6" s="50"/>
      <c r="JX6" s="50"/>
      <c r="JY6" s="50"/>
      <c r="JZ6" s="50"/>
      <c r="KA6" s="50"/>
      <c r="KB6" s="50"/>
      <c r="KC6" s="50"/>
      <c r="KD6" s="50"/>
      <c r="KE6" s="50"/>
      <c r="KF6" s="50"/>
      <c r="KG6" s="50"/>
      <c r="KH6" s="50"/>
      <c r="KI6" s="50"/>
      <c r="KJ6" s="50"/>
      <c r="KK6" s="50"/>
      <c r="KL6" s="50"/>
      <c r="KM6" s="50"/>
      <c r="KN6" s="50"/>
      <c r="KO6" s="51"/>
    </row>
    <row r="7" spans="1:301" x14ac:dyDescent="0.3">
      <c r="A7" s="53"/>
      <c r="B7" s="53"/>
      <c r="C7" s="53"/>
      <c r="D7" s="53"/>
      <c r="E7" s="53"/>
      <c r="F7" s="53"/>
      <c r="G7" s="53"/>
      <c r="H7" s="6" t="s">
        <v>102</v>
      </c>
      <c r="I7" s="7" t="s">
        <v>103</v>
      </c>
      <c r="J7" s="6" t="s">
        <v>104</v>
      </c>
      <c r="K7" s="7" t="s">
        <v>105</v>
      </c>
      <c r="L7" s="6" t="s">
        <v>106</v>
      </c>
      <c r="M7" s="7" t="s">
        <v>107</v>
      </c>
      <c r="N7" s="6" t="s">
        <v>108</v>
      </c>
      <c r="O7" s="7" t="s">
        <v>109</v>
      </c>
      <c r="P7" s="6" t="s">
        <v>110</v>
      </c>
      <c r="Q7" s="7" t="s">
        <v>111</v>
      </c>
      <c r="R7" s="8" t="s">
        <v>112</v>
      </c>
      <c r="S7" s="7" t="s">
        <v>113</v>
      </c>
      <c r="T7" s="7" t="s">
        <v>114</v>
      </c>
      <c r="U7" s="7" t="s">
        <v>115</v>
      </c>
      <c r="V7" s="7" t="s">
        <v>116</v>
      </c>
      <c r="W7" s="7" t="s">
        <v>117</v>
      </c>
      <c r="X7" s="7" t="s">
        <v>118</v>
      </c>
      <c r="Y7" s="7" t="s">
        <v>119</v>
      </c>
      <c r="Z7" s="7" t="s">
        <v>120</v>
      </c>
      <c r="AA7" s="8" t="s">
        <v>121</v>
      </c>
      <c r="AB7" s="9" t="s">
        <v>122</v>
      </c>
      <c r="AC7" s="6" t="s">
        <v>102</v>
      </c>
      <c r="AD7" s="7" t="s">
        <v>103</v>
      </c>
      <c r="AE7" s="6" t="s">
        <v>104</v>
      </c>
      <c r="AF7" s="7" t="s">
        <v>105</v>
      </c>
      <c r="AG7" s="6" t="s">
        <v>106</v>
      </c>
      <c r="AH7" s="7" t="s">
        <v>107</v>
      </c>
      <c r="AI7" s="6" t="s">
        <v>108</v>
      </c>
      <c r="AJ7" s="7" t="s">
        <v>109</v>
      </c>
      <c r="AK7" s="6" t="s">
        <v>110</v>
      </c>
      <c r="AL7" s="7" t="s">
        <v>111</v>
      </c>
      <c r="AM7" s="8" t="s">
        <v>112</v>
      </c>
      <c r="AN7" s="7" t="s">
        <v>113</v>
      </c>
      <c r="AO7" s="7" t="s">
        <v>114</v>
      </c>
      <c r="AP7" s="7" t="s">
        <v>115</v>
      </c>
      <c r="AQ7" s="7" t="s">
        <v>116</v>
      </c>
      <c r="AR7" s="7" t="s">
        <v>117</v>
      </c>
      <c r="AS7" s="7" t="s">
        <v>118</v>
      </c>
      <c r="AT7" s="7" t="s">
        <v>119</v>
      </c>
      <c r="AU7" s="7" t="s">
        <v>120</v>
      </c>
      <c r="AV7" s="8" t="s">
        <v>121</v>
      </c>
      <c r="AW7" s="9" t="s">
        <v>122</v>
      </c>
      <c r="AX7" s="6" t="s">
        <v>102</v>
      </c>
      <c r="AY7" s="7" t="s">
        <v>103</v>
      </c>
      <c r="AZ7" s="6" t="s">
        <v>104</v>
      </c>
      <c r="BA7" s="7" t="s">
        <v>105</v>
      </c>
      <c r="BB7" s="6" t="s">
        <v>106</v>
      </c>
      <c r="BC7" s="7" t="s">
        <v>107</v>
      </c>
      <c r="BD7" s="6" t="s">
        <v>108</v>
      </c>
      <c r="BE7" s="7" t="s">
        <v>109</v>
      </c>
      <c r="BF7" s="6" t="s">
        <v>110</v>
      </c>
      <c r="BG7" s="7" t="s">
        <v>111</v>
      </c>
      <c r="BH7" s="8" t="s">
        <v>112</v>
      </c>
      <c r="BI7" s="7" t="s">
        <v>113</v>
      </c>
      <c r="BJ7" s="7" t="s">
        <v>114</v>
      </c>
      <c r="BK7" s="7" t="s">
        <v>115</v>
      </c>
      <c r="BL7" s="7" t="s">
        <v>116</v>
      </c>
      <c r="BM7" s="7" t="s">
        <v>117</v>
      </c>
      <c r="BN7" s="7" t="s">
        <v>118</v>
      </c>
      <c r="BO7" s="7" t="s">
        <v>119</v>
      </c>
      <c r="BP7" s="7" t="s">
        <v>120</v>
      </c>
      <c r="BQ7" s="8" t="s">
        <v>121</v>
      </c>
      <c r="BR7" s="9" t="s">
        <v>122</v>
      </c>
      <c r="BS7" s="6" t="s">
        <v>102</v>
      </c>
      <c r="BT7" s="7" t="s">
        <v>103</v>
      </c>
      <c r="BU7" s="6" t="s">
        <v>104</v>
      </c>
      <c r="BV7" s="7" t="s">
        <v>105</v>
      </c>
      <c r="BW7" s="6" t="s">
        <v>106</v>
      </c>
      <c r="BX7" s="7" t="s">
        <v>107</v>
      </c>
      <c r="BY7" s="6" t="s">
        <v>108</v>
      </c>
      <c r="BZ7" s="7" t="s">
        <v>109</v>
      </c>
      <c r="CA7" s="6" t="s">
        <v>110</v>
      </c>
      <c r="CB7" s="7" t="s">
        <v>111</v>
      </c>
      <c r="CC7" s="8" t="s">
        <v>112</v>
      </c>
      <c r="CD7" s="7" t="s">
        <v>113</v>
      </c>
      <c r="CE7" s="7" t="s">
        <v>114</v>
      </c>
      <c r="CF7" s="7" t="s">
        <v>115</v>
      </c>
      <c r="CG7" s="7" t="s">
        <v>116</v>
      </c>
      <c r="CH7" s="7" t="s">
        <v>117</v>
      </c>
      <c r="CI7" s="7" t="s">
        <v>118</v>
      </c>
      <c r="CJ7" s="7" t="s">
        <v>119</v>
      </c>
      <c r="CK7" s="7" t="s">
        <v>120</v>
      </c>
      <c r="CL7" s="8" t="s">
        <v>121</v>
      </c>
      <c r="CM7" s="9" t="s">
        <v>122</v>
      </c>
      <c r="CN7" s="6" t="s">
        <v>102</v>
      </c>
      <c r="CO7" s="7" t="s">
        <v>103</v>
      </c>
      <c r="CP7" s="6" t="s">
        <v>104</v>
      </c>
      <c r="CQ7" s="7" t="s">
        <v>105</v>
      </c>
      <c r="CR7" s="6" t="s">
        <v>106</v>
      </c>
      <c r="CS7" s="7" t="s">
        <v>107</v>
      </c>
      <c r="CT7" s="6" t="s">
        <v>108</v>
      </c>
      <c r="CU7" s="7" t="s">
        <v>109</v>
      </c>
      <c r="CV7" s="6" t="s">
        <v>110</v>
      </c>
      <c r="CW7" s="7" t="s">
        <v>111</v>
      </c>
      <c r="CX7" s="8" t="s">
        <v>112</v>
      </c>
      <c r="CY7" s="7" t="s">
        <v>113</v>
      </c>
      <c r="CZ7" s="7" t="s">
        <v>114</v>
      </c>
      <c r="DA7" s="7" t="s">
        <v>115</v>
      </c>
      <c r="DB7" s="7" t="s">
        <v>116</v>
      </c>
      <c r="DC7" s="7" t="s">
        <v>117</v>
      </c>
      <c r="DD7" s="7" t="s">
        <v>118</v>
      </c>
      <c r="DE7" s="7" t="s">
        <v>119</v>
      </c>
      <c r="DF7" s="7" t="s">
        <v>120</v>
      </c>
      <c r="DG7" s="8" t="s">
        <v>121</v>
      </c>
      <c r="DH7" s="9" t="s">
        <v>122</v>
      </c>
      <c r="DI7" s="6" t="s">
        <v>102</v>
      </c>
      <c r="DJ7" s="7" t="s">
        <v>103</v>
      </c>
      <c r="DK7" s="6" t="s">
        <v>104</v>
      </c>
      <c r="DL7" s="7" t="s">
        <v>105</v>
      </c>
      <c r="DM7" s="6" t="s">
        <v>106</v>
      </c>
      <c r="DN7" s="7" t="s">
        <v>107</v>
      </c>
      <c r="DO7" s="6" t="s">
        <v>108</v>
      </c>
      <c r="DP7" s="7" t="s">
        <v>109</v>
      </c>
      <c r="DQ7" s="6" t="s">
        <v>110</v>
      </c>
      <c r="DR7" s="7" t="s">
        <v>111</v>
      </c>
      <c r="DS7" s="8" t="s">
        <v>112</v>
      </c>
      <c r="DT7" s="7" t="s">
        <v>113</v>
      </c>
      <c r="DU7" s="7" t="s">
        <v>114</v>
      </c>
      <c r="DV7" s="7" t="s">
        <v>115</v>
      </c>
      <c r="DW7" s="7" t="s">
        <v>116</v>
      </c>
      <c r="DX7" s="7" t="s">
        <v>117</v>
      </c>
      <c r="DY7" s="7" t="s">
        <v>118</v>
      </c>
      <c r="DZ7" s="7" t="s">
        <v>119</v>
      </c>
      <c r="EA7" s="7" t="s">
        <v>120</v>
      </c>
      <c r="EB7" s="8" t="s">
        <v>121</v>
      </c>
      <c r="EC7" s="9" t="s">
        <v>122</v>
      </c>
      <c r="ED7" s="6" t="s">
        <v>102</v>
      </c>
      <c r="EE7" s="7" t="s">
        <v>103</v>
      </c>
      <c r="EF7" s="6" t="s">
        <v>104</v>
      </c>
      <c r="EG7" s="7" t="s">
        <v>105</v>
      </c>
      <c r="EH7" s="6" t="s">
        <v>106</v>
      </c>
      <c r="EI7" s="7" t="s">
        <v>107</v>
      </c>
      <c r="EJ7" s="6" t="s">
        <v>108</v>
      </c>
      <c r="EK7" s="7" t="s">
        <v>109</v>
      </c>
      <c r="EL7" s="6" t="s">
        <v>110</v>
      </c>
      <c r="EM7" s="7" t="s">
        <v>111</v>
      </c>
      <c r="EN7" s="8" t="s">
        <v>112</v>
      </c>
      <c r="EO7" s="7" t="s">
        <v>113</v>
      </c>
      <c r="EP7" s="7" t="s">
        <v>114</v>
      </c>
      <c r="EQ7" s="7" t="s">
        <v>115</v>
      </c>
      <c r="ER7" s="7" t="s">
        <v>116</v>
      </c>
      <c r="ES7" s="7" t="s">
        <v>117</v>
      </c>
      <c r="ET7" s="7" t="s">
        <v>118</v>
      </c>
      <c r="EU7" s="7" t="s">
        <v>119</v>
      </c>
      <c r="EV7" s="7" t="s">
        <v>120</v>
      </c>
      <c r="EW7" s="8" t="s">
        <v>121</v>
      </c>
      <c r="EX7" s="9" t="s">
        <v>122</v>
      </c>
      <c r="EY7" s="6" t="s">
        <v>102</v>
      </c>
      <c r="EZ7" s="7" t="s">
        <v>103</v>
      </c>
      <c r="FA7" s="6" t="s">
        <v>104</v>
      </c>
      <c r="FB7" s="7" t="s">
        <v>105</v>
      </c>
      <c r="FC7" s="6" t="s">
        <v>106</v>
      </c>
      <c r="FD7" s="7" t="s">
        <v>107</v>
      </c>
      <c r="FE7" s="6" t="s">
        <v>108</v>
      </c>
      <c r="FF7" s="7" t="s">
        <v>109</v>
      </c>
      <c r="FG7" s="6" t="s">
        <v>110</v>
      </c>
      <c r="FH7" s="7" t="s">
        <v>111</v>
      </c>
      <c r="FI7" s="8" t="s">
        <v>112</v>
      </c>
      <c r="FJ7" s="7" t="s">
        <v>113</v>
      </c>
      <c r="FK7" s="7" t="s">
        <v>114</v>
      </c>
      <c r="FL7" s="7" t="s">
        <v>115</v>
      </c>
      <c r="FM7" s="7" t="s">
        <v>116</v>
      </c>
      <c r="FN7" s="7" t="s">
        <v>117</v>
      </c>
      <c r="FO7" s="7" t="s">
        <v>118</v>
      </c>
      <c r="FP7" s="7" t="s">
        <v>119</v>
      </c>
      <c r="FQ7" s="7" t="s">
        <v>120</v>
      </c>
      <c r="FR7" s="8" t="s">
        <v>121</v>
      </c>
      <c r="FS7" s="9" t="s">
        <v>122</v>
      </c>
      <c r="FT7" s="6" t="s">
        <v>102</v>
      </c>
      <c r="FU7" s="7" t="s">
        <v>103</v>
      </c>
      <c r="FV7" s="6" t="s">
        <v>104</v>
      </c>
      <c r="FW7" s="7" t="s">
        <v>105</v>
      </c>
      <c r="FX7" s="6" t="s">
        <v>106</v>
      </c>
      <c r="FY7" s="7" t="s">
        <v>107</v>
      </c>
      <c r="FZ7" s="6" t="s">
        <v>108</v>
      </c>
      <c r="GA7" s="7" t="s">
        <v>109</v>
      </c>
      <c r="GB7" s="6" t="s">
        <v>110</v>
      </c>
      <c r="GC7" s="7" t="s">
        <v>111</v>
      </c>
      <c r="GD7" s="8" t="s">
        <v>112</v>
      </c>
      <c r="GE7" s="7" t="s">
        <v>113</v>
      </c>
      <c r="GF7" s="7" t="s">
        <v>114</v>
      </c>
      <c r="GG7" s="7" t="s">
        <v>115</v>
      </c>
      <c r="GH7" s="7" t="s">
        <v>116</v>
      </c>
      <c r="GI7" s="7" t="s">
        <v>117</v>
      </c>
      <c r="GJ7" s="7" t="s">
        <v>118</v>
      </c>
      <c r="GK7" s="7" t="s">
        <v>119</v>
      </c>
      <c r="GL7" s="7" t="s">
        <v>120</v>
      </c>
      <c r="GM7" s="8" t="s">
        <v>121</v>
      </c>
      <c r="GN7" s="9" t="s">
        <v>122</v>
      </c>
      <c r="GO7" s="6" t="s">
        <v>102</v>
      </c>
      <c r="GP7" s="7" t="s">
        <v>103</v>
      </c>
      <c r="GQ7" s="6" t="s">
        <v>104</v>
      </c>
      <c r="GR7" s="7" t="s">
        <v>105</v>
      </c>
      <c r="GS7" s="6" t="s">
        <v>106</v>
      </c>
      <c r="GT7" s="7" t="s">
        <v>107</v>
      </c>
      <c r="GU7" s="6" t="s">
        <v>108</v>
      </c>
      <c r="GV7" s="7" t="s">
        <v>109</v>
      </c>
      <c r="GW7" s="6" t="s">
        <v>110</v>
      </c>
      <c r="GX7" s="7" t="s">
        <v>111</v>
      </c>
      <c r="GY7" s="8" t="s">
        <v>112</v>
      </c>
      <c r="GZ7" s="7" t="s">
        <v>113</v>
      </c>
      <c r="HA7" s="7" t="s">
        <v>114</v>
      </c>
      <c r="HB7" s="7" t="s">
        <v>115</v>
      </c>
      <c r="HC7" s="7" t="s">
        <v>116</v>
      </c>
      <c r="HD7" s="7" t="s">
        <v>117</v>
      </c>
      <c r="HE7" s="7" t="s">
        <v>118</v>
      </c>
      <c r="HF7" s="7" t="s">
        <v>119</v>
      </c>
      <c r="HG7" s="7" t="s">
        <v>120</v>
      </c>
      <c r="HH7" s="8" t="s">
        <v>121</v>
      </c>
      <c r="HI7" s="9" t="s">
        <v>122</v>
      </c>
      <c r="HJ7" s="6" t="s">
        <v>102</v>
      </c>
      <c r="HK7" s="7" t="s">
        <v>103</v>
      </c>
      <c r="HL7" s="6" t="s">
        <v>104</v>
      </c>
      <c r="HM7" s="7" t="s">
        <v>105</v>
      </c>
      <c r="HN7" s="6" t="s">
        <v>106</v>
      </c>
      <c r="HO7" s="7" t="s">
        <v>107</v>
      </c>
      <c r="HP7" s="6" t="s">
        <v>108</v>
      </c>
      <c r="HQ7" s="7" t="s">
        <v>109</v>
      </c>
      <c r="HR7" s="6" t="s">
        <v>110</v>
      </c>
      <c r="HS7" s="7" t="s">
        <v>111</v>
      </c>
      <c r="HT7" s="8" t="s">
        <v>112</v>
      </c>
      <c r="HU7" s="7" t="s">
        <v>113</v>
      </c>
      <c r="HV7" s="7" t="s">
        <v>114</v>
      </c>
      <c r="HW7" s="7" t="s">
        <v>115</v>
      </c>
      <c r="HX7" s="7" t="s">
        <v>116</v>
      </c>
      <c r="HY7" s="7" t="s">
        <v>117</v>
      </c>
      <c r="HZ7" s="7" t="s">
        <v>118</v>
      </c>
      <c r="IA7" s="7" t="s">
        <v>119</v>
      </c>
      <c r="IB7" s="7" t="s">
        <v>120</v>
      </c>
      <c r="IC7" s="8" t="s">
        <v>121</v>
      </c>
      <c r="ID7" s="9" t="s">
        <v>122</v>
      </c>
      <c r="IE7" s="6" t="s">
        <v>102</v>
      </c>
      <c r="IF7" s="7" t="s">
        <v>103</v>
      </c>
      <c r="IG7" s="6" t="s">
        <v>104</v>
      </c>
      <c r="IH7" s="7" t="s">
        <v>105</v>
      </c>
      <c r="II7" s="6" t="s">
        <v>106</v>
      </c>
      <c r="IJ7" s="7" t="s">
        <v>107</v>
      </c>
      <c r="IK7" s="6" t="s">
        <v>108</v>
      </c>
      <c r="IL7" s="7" t="s">
        <v>109</v>
      </c>
      <c r="IM7" s="6" t="s">
        <v>110</v>
      </c>
      <c r="IN7" s="7" t="s">
        <v>111</v>
      </c>
      <c r="IO7" s="8" t="s">
        <v>112</v>
      </c>
      <c r="IP7" s="7" t="s">
        <v>113</v>
      </c>
      <c r="IQ7" s="7" t="s">
        <v>114</v>
      </c>
      <c r="IR7" s="7" t="s">
        <v>115</v>
      </c>
      <c r="IS7" s="7" t="s">
        <v>116</v>
      </c>
      <c r="IT7" s="7" t="s">
        <v>117</v>
      </c>
      <c r="IU7" s="7" t="s">
        <v>118</v>
      </c>
      <c r="IV7" s="7" t="s">
        <v>119</v>
      </c>
      <c r="IW7" s="7" t="s">
        <v>120</v>
      </c>
      <c r="IX7" s="8" t="s">
        <v>121</v>
      </c>
      <c r="IY7" s="9" t="s">
        <v>122</v>
      </c>
      <c r="IZ7" s="6" t="s">
        <v>102</v>
      </c>
      <c r="JA7" s="7" t="s">
        <v>103</v>
      </c>
      <c r="JB7" s="6" t="s">
        <v>104</v>
      </c>
      <c r="JC7" s="7" t="s">
        <v>105</v>
      </c>
      <c r="JD7" s="6" t="s">
        <v>106</v>
      </c>
      <c r="JE7" s="7" t="s">
        <v>107</v>
      </c>
      <c r="JF7" s="6" t="s">
        <v>108</v>
      </c>
      <c r="JG7" s="7" t="s">
        <v>109</v>
      </c>
      <c r="JH7" s="6" t="s">
        <v>110</v>
      </c>
      <c r="JI7" s="7" t="s">
        <v>111</v>
      </c>
      <c r="JJ7" s="8" t="s">
        <v>112</v>
      </c>
      <c r="JK7" s="7" t="s">
        <v>113</v>
      </c>
      <c r="JL7" s="7" t="s">
        <v>114</v>
      </c>
      <c r="JM7" s="7" t="s">
        <v>115</v>
      </c>
      <c r="JN7" s="7" t="s">
        <v>116</v>
      </c>
      <c r="JO7" s="7" t="s">
        <v>117</v>
      </c>
      <c r="JP7" s="7" t="s">
        <v>118</v>
      </c>
      <c r="JQ7" s="7" t="s">
        <v>119</v>
      </c>
      <c r="JR7" s="7" t="s">
        <v>120</v>
      </c>
      <c r="JS7" s="8" t="s">
        <v>121</v>
      </c>
      <c r="JT7" s="9" t="s">
        <v>122</v>
      </c>
      <c r="JU7" s="6" t="s">
        <v>102</v>
      </c>
      <c r="JV7" s="7" t="s">
        <v>103</v>
      </c>
      <c r="JW7" s="6" t="s">
        <v>104</v>
      </c>
      <c r="JX7" s="7" t="s">
        <v>105</v>
      </c>
      <c r="JY7" s="6" t="s">
        <v>106</v>
      </c>
      <c r="JZ7" s="7" t="s">
        <v>107</v>
      </c>
      <c r="KA7" s="6" t="s">
        <v>108</v>
      </c>
      <c r="KB7" s="7" t="s">
        <v>109</v>
      </c>
      <c r="KC7" s="6" t="s">
        <v>110</v>
      </c>
      <c r="KD7" s="7" t="s">
        <v>111</v>
      </c>
      <c r="KE7" s="8" t="s">
        <v>112</v>
      </c>
      <c r="KF7" s="7" t="s">
        <v>113</v>
      </c>
      <c r="KG7" s="7" t="s">
        <v>114</v>
      </c>
      <c r="KH7" s="7" t="s">
        <v>115</v>
      </c>
      <c r="KI7" s="7" t="s">
        <v>116</v>
      </c>
      <c r="KJ7" s="7" t="s">
        <v>117</v>
      </c>
      <c r="KK7" s="7" t="s">
        <v>118</v>
      </c>
      <c r="KL7" s="7" t="s">
        <v>119</v>
      </c>
      <c r="KM7" s="7" t="s">
        <v>120</v>
      </c>
      <c r="KN7" s="8" t="s">
        <v>121</v>
      </c>
      <c r="KO7" s="9" t="s">
        <v>122</v>
      </c>
    </row>
    <row r="8" spans="1:301" x14ac:dyDescent="0.3">
      <c r="I8" s="33"/>
      <c r="K8" s="33"/>
      <c r="M8" s="33"/>
      <c r="O8" s="33"/>
      <c r="Q8" s="33"/>
      <c r="S8" s="33"/>
      <c r="T8" s="33"/>
      <c r="U8" s="33"/>
      <c r="V8" s="33"/>
      <c r="W8" s="33"/>
      <c r="X8" s="33"/>
      <c r="Y8" s="33"/>
      <c r="Z8" s="33"/>
      <c r="AD8" s="33"/>
      <c r="AF8" s="33"/>
      <c r="AH8" s="33"/>
      <c r="AJ8" s="33"/>
      <c r="AL8" s="33"/>
      <c r="AN8" s="33"/>
      <c r="AO8" s="33"/>
      <c r="AP8" s="33"/>
      <c r="AQ8" s="33"/>
      <c r="AR8" s="33"/>
      <c r="AS8" s="33"/>
      <c r="AT8" s="33"/>
      <c r="AU8" s="33"/>
      <c r="AY8" s="33"/>
      <c r="BA8" s="33"/>
      <c r="BC8" s="33"/>
      <c r="BE8" s="33"/>
      <c r="BG8" s="33"/>
      <c r="BI8" s="33"/>
      <c r="BJ8" s="33"/>
      <c r="BK8" s="33"/>
      <c r="BL8" s="33"/>
      <c r="BM8" s="33"/>
      <c r="BN8" s="33"/>
      <c r="BO8" s="33"/>
      <c r="BP8" s="33"/>
      <c r="BT8" s="33"/>
      <c r="BV8" s="33"/>
      <c r="BX8" s="33"/>
      <c r="BZ8" s="33"/>
      <c r="CB8" s="33"/>
      <c r="CD8" s="33"/>
      <c r="CE8" s="33"/>
      <c r="CF8" s="33"/>
      <c r="CG8" s="33"/>
      <c r="CH8" s="33"/>
      <c r="CI8" s="33"/>
      <c r="CJ8" s="33"/>
      <c r="CK8" s="33"/>
      <c r="CO8" s="33"/>
      <c r="CQ8" s="33"/>
      <c r="CS8" s="33"/>
      <c r="CU8" s="33"/>
      <c r="CW8" s="33"/>
      <c r="CY8" s="33"/>
      <c r="CZ8" s="33"/>
      <c r="DA8" s="33"/>
      <c r="DB8" s="33"/>
      <c r="DC8" s="33"/>
      <c r="DD8" s="33"/>
      <c r="DE8" s="33"/>
      <c r="DF8" s="33"/>
      <c r="DJ8" s="33"/>
      <c r="DL8" s="33"/>
      <c r="DN8" s="33"/>
      <c r="DP8" s="33"/>
      <c r="DR8" s="33"/>
      <c r="DT8" s="33"/>
      <c r="DU8" s="33"/>
      <c r="DV8" s="33"/>
      <c r="DW8" s="33"/>
      <c r="DX8" s="33"/>
      <c r="DY8" s="33"/>
      <c r="DZ8" s="33"/>
      <c r="EA8" s="33"/>
      <c r="EE8" s="33"/>
      <c r="EG8" s="33"/>
      <c r="EI8" s="33"/>
      <c r="EK8" s="33"/>
      <c r="EM8" s="33"/>
      <c r="EO8" s="33"/>
      <c r="EP8" s="33"/>
      <c r="EQ8" s="33"/>
      <c r="ER8" s="33"/>
      <c r="ES8" s="33"/>
      <c r="ET8" s="33"/>
      <c r="EU8" s="33"/>
      <c r="EV8" s="33"/>
      <c r="EZ8" s="33"/>
      <c r="FB8" s="33"/>
      <c r="FD8" s="33"/>
      <c r="FF8" s="33"/>
      <c r="FH8" s="33"/>
      <c r="FJ8" s="33"/>
      <c r="FK8" s="33"/>
      <c r="FL8" s="33"/>
      <c r="FM8" s="33"/>
      <c r="FN8" s="33"/>
      <c r="FO8" s="33"/>
      <c r="FP8" s="33"/>
      <c r="FQ8" s="33"/>
      <c r="FU8" s="33"/>
      <c r="FW8" s="33"/>
      <c r="FY8" s="33"/>
      <c r="GA8" s="33"/>
      <c r="GC8" s="33"/>
      <c r="GE8" s="33"/>
      <c r="GF8" s="33"/>
      <c r="GG8" s="33"/>
      <c r="GH8" s="33"/>
      <c r="GI8" s="33"/>
      <c r="GJ8" s="33"/>
      <c r="GK8" s="33"/>
      <c r="GL8" s="33"/>
      <c r="GP8" s="33"/>
      <c r="GR8" s="33"/>
      <c r="GT8" s="33"/>
      <c r="GV8" s="33"/>
      <c r="GX8" s="33"/>
      <c r="GZ8" s="33"/>
      <c r="HA8" s="33"/>
      <c r="HB8" s="33"/>
      <c r="HC8" s="33"/>
      <c r="HD8" s="33"/>
      <c r="HE8" s="33"/>
      <c r="HF8" s="33"/>
      <c r="HG8" s="33"/>
      <c r="HK8" s="33"/>
      <c r="HM8" s="33"/>
      <c r="HO8" s="33"/>
      <c r="HQ8" s="33"/>
      <c r="HS8" s="33"/>
      <c r="HU8" s="33"/>
      <c r="HV8" s="33"/>
      <c r="HW8" s="33"/>
      <c r="HX8" s="33"/>
      <c r="HY8" s="33"/>
      <c r="HZ8" s="33"/>
      <c r="IA8" s="33"/>
      <c r="IB8" s="33"/>
      <c r="IF8" s="33"/>
      <c r="IH8" s="33"/>
      <c r="IJ8" s="33"/>
      <c r="IL8" s="33"/>
      <c r="IN8" s="33"/>
      <c r="IP8" s="33"/>
      <c r="IQ8" s="33"/>
      <c r="IR8" s="33"/>
      <c r="IS8" s="33"/>
      <c r="IT8" s="33"/>
      <c r="IU8" s="33"/>
      <c r="IV8" s="33"/>
      <c r="IW8" s="33"/>
      <c r="JA8" s="33"/>
      <c r="JC8" s="33"/>
      <c r="JE8" s="33"/>
      <c r="JG8" s="33"/>
      <c r="JI8" s="33"/>
      <c r="JK8" s="33"/>
      <c r="JL8" s="33"/>
      <c r="JM8" s="33"/>
      <c r="JN8" s="33"/>
      <c r="JO8" s="33"/>
      <c r="JP8" s="33"/>
      <c r="JQ8" s="33"/>
      <c r="JR8" s="33"/>
      <c r="JV8" s="33"/>
      <c r="JX8" s="33"/>
      <c r="JZ8" s="33"/>
      <c r="KB8" s="33"/>
      <c r="KD8" s="33"/>
      <c r="KF8" s="33"/>
      <c r="KG8" s="33"/>
      <c r="KH8" s="33"/>
      <c r="KI8" s="33"/>
      <c r="KJ8" s="33"/>
      <c r="KK8" s="33"/>
      <c r="KL8" s="33"/>
      <c r="KM8" s="33"/>
    </row>
    <row r="9" spans="1:301" x14ac:dyDescent="0.3">
      <c r="A9" s="3">
        <v>1</v>
      </c>
      <c r="B9" s="4" t="s">
        <v>18</v>
      </c>
      <c r="C9" s="3">
        <v>13</v>
      </c>
      <c r="D9" s="3" t="s">
        <v>19</v>
      </c>
      <c r="E9" s="5" t="str">
        <f t="shared" ref="E9:E40" si="0">IFERROR(ROUND(AVERAGE(R9,AM9,BH9,CC9,CX9,DS9,EN9,FI9,GD9,GY9,HT9,IO9,JJ9,KE9), 2), "")</f>
        <v/>
      </c>
      <c r="F9" s="10" t="str">
        <f t="shared" ref="F9:F40" si="1">IF(SUM(AB9,AW9,BR9,CM9,DH9,EC9,EX9,FS9,GN9,HI9,ID9,IY9,JT9,KO9)=0, "", SUM(AB9,AW9,BR9,CM9,DH9,EC9,EX9,FS9,GN9,HI9,ID9,IY9,JT9,KO9))</f>
        <v/>
      </c>
      <c r="G9" s="5" t="str">
        <f t="shared" ref="G9:G40" si="2">IF(SUM(AA9,AV9,BQ9,CL9,DG9,EB9,EW9,FR9,GM9,HH9,IC9,IX9,JS9,KN9)=0, "", SUM(AA9,AV9,BQ9,CL9,DG9,EB9,EW9,FR9,GM9,HH9,IC9,IX9,JS9,KN9))</f>
        <v/>
      </c>
      <c r="H9"/>
      <c r="I9" s="33"/>
      <c r="K9" s="33"/>
      <c r="M9" s="33"/>
      <c r="O9" s="33"/>
      <c r="Q9" s="33"/>
      <c r="R9" s="11" t="str">
        <f t="shared" ref="R9:R40" si="3">IFERROR(ROUND(AVERAGE(H9,J9,L9,N9,P9), 2), "")</f>
        <v/>
      </c>
      <c r="S9" s="33"/>
      <c r="T9" s="33"/>
      <c r="U9" s="33"/>
      <c r="V9" s="33"/>
      <c r="W9" s="33"/>
      <c r="X9" s="33"/>
      <c r="Y9" s="33"/>
      <c r="Z9" s="33"/>
      <c r="AA9" s="12" t="str">
        <f t="shared" ref="AA9:AA40" si="4">IF(COUNTA(S9:Z9)=0, "", SUMPRODUCT(--ISNUMBER(SEARCH("m", S9:Z9))))</f>
        <v/>
      </c>
      <c r="AB9" s="13" t="str">
        <f t="shared" ref="AB9:AB40" si="5">IF(COUNTA(S9:Z9)=0, "", COUNTA(S9:Z9) - SUMPRODUCT(--ISNUMBER(SEARCH("m", S9:Z9))))</f>
        <v/>
      </c>
      <c r="AD9" s="33"/>
      <c r="AF9" s="33"/>
      <c r="AH9" s="33"/>
      <c r="AJ9" s="33"/>
      <c r="AL9" s="33"/>
      <c r="AM9" s="11" t="str">
        <f t="shared" ref="AM9:AM40" si="6">IFERROR(ROUND(AVERAGE(AC9,AE9,AG9,AI9,AK9), 2), "")</f>
        <v/>
      </c>
      <c r="AN9" s="33"/>
      <c r="AO9" s="33"/>
      <c r="AP9" s="33"/>
      <c r="AQ9" s="33"/>
      <c r="AR9" s="33"/>
      <c r="AS9" s="33"/>
      <c r="AT9" s="33"/>
      <c r="AU9" s="33"/>
      <c r="AV9" s="12" t="str">
        <f t="shared" ref="AV9:AV40" si="7">IF(COUNTA(AN9:AU9)=0, "", SUMPRODUCT(--ISNUMBER(SEARCH("m", AN9:AU9))))</f>
        <v/>
      </c>
      <c r="AW9" s="13" t="str">
        <f t="shared" ref="AW9:AW40" si="8">IF(COUNTA(AN9:AU9)=0, "", COUNTA(AN9:AU9) - SUMPRODUCT(--ISNUMBER(SEARCH("m", AN9:AU9))))</f>
        <v/>
      </c>
      <c r="AY9" s="33"/>
      <c r="BA9" s="33"/>
      <c r="BC9" s="33"/>
      <c r="BE9" s="33"/>
      <c r="BG9" s="33"/>
      <c r="BH9" s="11" t="str">
        <f t="shared" ref="BH9:BH40" si="9">IFERROR(ROUND(AVERAGE(AX9,AZ9,BB9,BD9,BF9), 2), "")</f>
        <v/>
      </c>
      <c r="BI9" s="33"/>
      <c r="BJ9" s="33"/>
      <c r="BK9" s="33"/>
      <c r="BL9" s="33"/>
      <c r="BM9" s="33"/>
      <c r="BN9" s="33"/>
      <c r="BO9" s="33"/>
      <c r="BP9" s="33"/>
      <c r="BQ9" s="12" t="str">
        <f t="shared" ref="BQ9:BQ40" si="10">IF(COUNTA(BI9:BP9)=0, "", SUMPRODUCT(--ISNUMBER(SEARCH("m", BI9:BP9))))</f>
        <v/>
      </c>
      <c r="BR9" s="13" t="str">
        <f t="shared" ref="BR9:BR40" si="11">IF(COUNTA(BI9:BP9)=0, "", COUNTA(BI9:BP9) - SUMPRODUCT(--ISNUMBER(SEARCH("m", BI9:BP9))))</f>
        <v/>
      </c>
      <c r="BT9" s="33"/>
      <c r="BV9" s="33"/>
      <c r="BX9" s="33"/>
      <c r="BZ9" s="33"/>
      <c r="CB9" s="33"/>
      <c r="CC9" s="11" t="str">
        <f t="shared" ref="CC9:CC40" si="12">IFERROR(ROUND(AVERAGE(BS9,BU9,BW9,BY9,CA9), 2), "")</f>
        <v/>
      </c>
      <c r="CD9" s="33"/>
      <c r="CE9" s="33"/>
      <c r="CF9" s="33"/>
      <c r="CG9" s="33"/>
      <c r="CH9" s="33"/>
      <c r="CI9" s="33"/>
      <c r="CJ9" s="33"/>
      <c r="CK9" s="33"/>
      <c r="CL9" s="12" t="str">
        <f t="shared" ref="CL9:CL40" si="13">IF(COUNTA(CD9:CK9)=0, "", SUMPRODUCT(--ISNUMBER(SEARCH("m", CD9:CK9))))</f>
        <v/>
      </c>
      <c r="CM9" s="13" t="str">
        <f t="shared" ref="CM9:CM40" si="14">IF(COUNTA(CD9:CK9)=0, "", COUNTA(CD9:CK9) - SUMPRODUCT(--ISNUMBER(SEARCH("m", CD9:CK9))))</f>
        <v/>
      </c>
      <c r="CO9" s="33"/>
      <c r="CQ9" s="33"/>
      <c r="CS9" s="33"/>
      <c r="CU9" s="33"/>
      <c r="CW9" s="33"/>
      <c r="CX9" s="11" t="str">
        <f t="shared" ref="CX9:CX40" si="15">IFERROR(ROUND(AVERAGE(CN9,CP9,CR9,CT9,CV9), 2), "")</f>
        <v/>
      </c>
      <c r="CY9" s="33"/>
      <c r="CZ9" s="33"/>
      <c r="DA9" s="33"/>
      <c r="DB9" s="33"/>
      <c r="DC9" s="33"/>
      <c r="DD9" s="33"/>
      <c r="DE9" s="33"/>
      <c r="DF9" s="33"/>
      <c r="DG9" s="12" t="str">
        <f t="shared" ref="DG9:DG40" si="16">IF(COUNTA(CY9:DF9)=0, "", SUMPRODUCT(--ISNUMBER(SEARCH("m", CY9:DF9))))</f>
        <v/>
      </c>
      <c r="DH9" s="13" t="str">
        <f t="shared" ref="DH9:DH40" si="17">IF(COUNTA(CY9:DF9)=0, "", COUNTA(CY9:DF9) - SUMPRODUCT(--ISNUMBER(SEARCH("m", CY9:DF9))))</f>
        <v/>
      </c>
      <c r="DJ9" s="33"/>
      <c r="DL9" s="33"/>
      <c r="DN9" s="33"/>
      <c r="DP9" s="33"/>
      <c r="DR9" s="33"/>
      <c r="DS9" s="11" t="str">
        <f t="shared" ref="DS9:DS40" si="18">IFERROR(ROUND(AVERAGE(DI9,DK9,DM9,DO9,DQ9), 2), "")</f>
        <v/>
      </c>
      <c r="DT9" s="33"/>
      <c r="DU9" s="33"/>
      <c r="DV9" s="33"/>
      <c r="DW9" s="33"/>
      <c r="DX9" s="33"/>
      <c r="DY9" s="33"/>
      <c r="DZ9" s="33"/>
      <c r="EA9" s="33"/>
      <c r="EB9" s="12" t="str">
        <f t="shared" ref="EB9:EB40" si="19">IF(COUNTA(DT9:EA9)=0, "", SUMPRODUCT(--ISNUMBER(SEARCH("m", DT9:EA9))))</f>
        <v/>
      </c>
      <c r="EC9" s="13" t="str">
        <f t="shared" ref="EC9:EC40" si="20">IF(COUNTA(DT9:EA9)=0, "", COUNTA(DT9:EA9) - SUMPRODUCT(--ISNUMBER(SEARCH("m", DT9:EA9))))</f>
        <v/>
      </c>
      <c r="EE9" s="33"/>
      <c r="EG9" s="33"/>
      <c r="EI9" s="33"/>
      <c r="EK9" s="33"/>
      <c r="EM9" s="33"/>
      <c r="EN9" s="11" t="str">
        <f t="shared" ref="EN9:EN40" si="21">IFERROR(ROUND(AVERAGE(ED9,EF9,EH9,EJ9,EL9), 2), "")</f>
        <v/>
      </c>
      <c r="EO9" s="33"/>
      <c r="EP9" s="33"/>
      <c r="EQ9" s="33"/>
      <c r="ER9" s="33"/>
      <c r="ES9" s="33"/>
      <c r="ET9" s="33"/>
      <c r="EU9" s="33"/>
      <c r="EV9" s="33"/>
      <c r="EW9" s="12" t="str">
        <f t="shared" ref="EW9:EW40" si="22">IF(COUNTA(EO9:EV9)=0, "", SUMPRODUCT(--ISNUMBER(SEARCH("m", EO9:EV9))))</f>
        <v/>
      </c>
      <c r="EX9" s="13" t="str">
        <f t="shared" ref="EX9:EX40" si="23">IF(COUNTA(EO9:EV9)=0, "", COUNTA(EO9:EV9) - SUMPRODUCT(--ISNUMBER(SEARCH("m", EO9:EV9))))</f>
        <v/>
      </c>
      <c r="EZ9" s="33"/>
      <c r="FB9" s="33"/>
      <c r="FD9" s="33"/>
      <c r="FF9" s="33"/>
      <c r="FH9" s="33"/>
      <c r="FI9" s="11" t="str">
        <f t="shared" ref="FI9:FI40" si="24">IFERROR(ROUND(AVERAGE(EY9,FA9,FC9,FE9,FG9), 2), "")</f>
        <v/>
      </c>
      <c r="FJ9" s="33"/>
      <c r="FK9" s="33"/>
      <c r="FL9" s="33"/>
      <c r="FM9" s="33"/>
      <c r="FN9" s="33"/>
      <c r="FO9" s="33"/>
      <c r="FP9" s="33"/>
      <c r="FQ9" s="33"/>
      <c r="FR9" s="12" t="str">
        <f t="shared" ref="FR9:FR40" si="25">IF(COUNTA(FJ9:FQ9)=0, "", SUMPRODUCT(--ISNUMBER(SEARCH("m", FJ9:FQ9))))</f>
        <v/>
      </c>
      <c r="FS9" s="13" t="str">
        <f t="shared" ref="FS9:FS40" si="26">IF(COUNTA(FJ9:FQ9)=0, "", COUNTA(FJ9:FQ9) - SUMPRODUCT(--ISNUMBER(SEARCH("m", FJ9:FQ9))))</f>
        <v/>
      </c>
      <c r="FU9" s="33"/>
      <c r="FW9" s="33"/>
      <c r="FY9" s="33"/>
      <c r="GA9" s="33"/>
      <c r="GC9" s="33"/>
      <c r="GD9" s="11" t="str">
        <f t="shared" ref="GD9:GD40" si="27">IFERROR(ROUND(AVERAGE(FT9,FV9,FX9,FZ9,GB9), 2), "")</f>
        <v/>
      </c>
      <c r="GE9" s="33"/>
      <c r="GF9" s="33"/>
      <c r="GG9" s="33"/>
      <c r="GH9" s="33"/>
      <c r="GI9" s="33"/>
      <c r="GJ9" s="33"/>
      <c r="GK9" s="33"/>
      <c r="GL9" s="33"/>
      <c r="GM9" s="12" t="str">
        <f t="shared" ref="GM9:GM40" si="28">IF(COUNTA(GE9:GL9)=0, "", SUMPRODUCT(--ISNUMBER(SEARCH("m", GE9:GL9))))</f>
        <v/>
      </c>
      <c r="GN9" s="13" t="str">
        <f t="shared" ref="GN9:GN40" si="29">IF(COUNTA(GE9:GL9)=0, "", COUNTA(GE9:GL9) - SUMPRODUCT(--ISNUMBER(SEARCH("m", GE9:GL9))))</f>
        <v/>
      </c>
      <c r="GP9" s="33"/>
      <c r="GR9" s="33"/>
      <c r="GT9" s="33"/>
      <c r="GV9" s="33"/>
      <c r="GX9" s="33"/>
      <c r="GY9" s="11" t="str">
        <f t="shared" ref="GY9:GY40" si="30">IFERROR(ROUND(AVERAGE(GO9,GQ9,GS9,GU9,GW9), 2), "")</f>
        <v/>
      </c>
      <c r="GZ9" s="33"/>
      <c r="HA9" s="33"/>
      <c r="HB9" s="33"/>
      <c r="HC9" s="33"/>
      <c r="HD9" s="33"/>
      <c r="HE9" s="33"/>
      <c r="HF9" s="33"/>
      <c r="HG9" s="33"/>
      <c r="HH9" s="12" t="str">
        <f t="shared" ref="HH9:HH40" si="31">IF(COUNTA(GZ9:HG9)=0, "", SUMPRODUCT(--ISNUMBER(SEARCH("m", GZ9:HG9))))</f>
        <v/>
      </c>
      <c r="HI9" s="13" t="str">
        <f t="shared" ref="HI9:HI40" si="32">IF(COUNTA(GZ9:HG9)=0, "", COUNTA(GZ9:HG9) - SUMPRODUCT(--ISNUMBER(SEARCH("m", GZ9:HG9))))</f>
        <v/>
      </c>
      <c r="HK9" s="33"/>
      <c r="HM9" s="33"/>
      <c r="HO9" s="33"/>
      <c r="HQ9" s="33"/>
      <c r="HS9" s="33"/>
      <c r="HT9" s="11" t="str">
        <f t="shared" ref="HT9:HT40" si="33">IFERROR(ROUND(AVERAGE(HJ9,HL9,HN9,HP9,HR9), 2), "")</f>
        <v/>
      </c>
      <c r="HU9" s="33"/>
      <c r="HV9" s="33"/>
      <c r="HW9" s="33"/>
      <c r="HX9" s="33"/>
      <c r="HY9" s="33"/>
      <c r="HZ9" s="33"/>
      <c r="IA9" s="33"/>
      <c r="IB9" s="33"/>
      <c r="IC9" s="12" t="str">
        <f t="shared" ref="IC9:IC40" si="34">IF(COUNTA(HU9:IB9)=0, "", SUMPRODUCT(--ISNUMBER(SEARCH("m", HU9:IB9))))</f>
        <v/>
      </c>
      <c r="ID9" s="13" t="str">
        <f t="shared" ref="ID9:ID40" si="35">IF(COUNTA(HU9:IB9)=0, "", COUNTA(HU9:IB9) - SUMPRODUCT(--ISNUMBER(SEARCH("m", HU9:IB9))))</f>
        <v/>
      </c>
      <c r="IF9" s="33"/>
      <c r="IH9" s="33"/>
      <c r="IJ9" s="33"/>
      <c r="IL9" s="33"/>
      <c r="IN9" s="33"/>
      <c r="IO9" s="11" t="str">
        <f t="shared" ref="IO9:IO40" si="36">IFERROR(ROUND(AVERAGE(IE9,IG9,II9,IK9,IM9), 2), "")</f>
        <v/>
      </c>
      <c r="IP9" s="33"/>
      <c r="IQ9" s="33"/>
      <c r="IR9" s="33"/>
      <c r="IS9" s="33"/>
      <c r="IT9" s="33"/>
      <c r="IU9" s="33"/>
      <c r="IV9" s="33"/>
      <c r="IW9" s="33"/>
      <c r="IX9" s="12" t="str">
        <f t="shared" ref="IX9:IX40" si="37">IF(COUNTA(IP9:IW9)=0, "", SUMPRODUCT(--ISNUMBER(SEARCH("m", IP9:IW9))))</f>
        <v/>
      </c>
      <c r="IY9" s="13" t="str">
        <f t="shared" ref="IY9:IY40" si="38">IF(COUNTA(IP9:IW9)=0, "", COUNTA(IP9:IW9) - SUMPRODUCT(--ISNUMBER(SEARCH("m", IP9:IW9))))</f>
        <v/>
      </c>
      <c r="JA9" s="33"/>
      <c r="JC9" s="33"/>
      <c r="JE9" s="33"/>
      <c r="JG9" s="33"/>
      <c r="JI9" s="33"/>
      <c r="JJ9" s="11" t="str">
        <f t="shared" ref="JJ9:JJ40" si="39">IFERROR(ROUND(AVERAGE(IZ9,JB9,JD9,JF9,JH9), 2), "")</f>
        <v/>
      </c>
      <c r="JK9" s="33"/>
      <c r="JL9" s="33"/>
      <c r="JM9" s="33"/>
      <c r="JN9" s="33"/>
      <c r="JO9" s="33"/>
      <c r="JP9" s="33"/>
      <c r="JQ9" s="33"/>
      <c r="JR9" s="33"/>
      <c r="JS9" s="12" t="str">
        <f t="shared" ref="JS9:JS40" si="40">IF(COUNTA(JK9:JR9)=0, "", SUMPRODUCT(--ISNUMBER(SEARCH("m", JK9:JR9))))</f>
        <v/>
      </c>
      <c r="JT9" s="13" t="str">
        <f t="shared" ref="JT9:JT40" si="41">IF(COUNTA(JK9:JR9)=0, "", COUNTA(JK9:JR9) - SUMPRODUCT(--ISNUMBER(SEARCH("m", JK9:JR9))))</f>
        <v/>
      </c>
      <c r="JU9" s="3"/>
      <c r="JV9" s="34"/>
      <c r="JW9" s="3"/>
      <c r="JX9" s="34"/>
      <c r="JY9" s="3"/>
      <c r="JZ9" s="34"/>
      <c r="KA9" s="3"/>
      <c r="KB9" s="34"/>
      <c r="KC9" s="3"/>
      <c r="KD9" s="34"/>
      <c r="KE9" s="5" t="str">
        <f t="shared" ref="KE9:KE40" si="42">IFERROR(ROUND(AVERAGE(JU9,JW9,JY9,KA9,KC9), 2), "")</f>
        <v/>
      </c>
      <c r="KF9" s="34"/>
      <c r="KG9" s="34"/>
      <c r="KH9" s="34"/>
      <c r="KI9" s="34"/>
      <c r="KJ9" s="34"/>
      <c r="KK9" s="34"/>
      <c r="KL9" s="34"/>
      <c r="KM9" s="34"/>
      <c r="KN9" s="14" t="str">
        <f t="shared" ref="KN9:KN40" si="43">IF(COUNTA(KF9:KM9)=0, "", SUMPRODUCT(--ISNUMBER(SEARCH("m", KF9:KM9))))</f>
        <v/>
      </c>
      <c r="KO9" s="15" t="str">
        <f t="shared" ref="KO9:KO40" si="44">IF(COUNTA(KF9:KM9)=0, "", COUNTA(KF9:KM9) - SUMPRODUCT(--ISNUMBER(SEARCH("m", KF9:KM9))))</f>
        <v/>
      </c>
    </row>
    <row r="10" spans="1:301" x14ac:dyDescent="0.3">
      <c r="A10" s="3">
        <v>2</v>
      </c>
      <c r="B10" s="4" t="s">
        <v>20</v>
      </c>
      <c r="C10" s="3">
        <v>14</v>
      </c>
      <c r="D10" s="3" t="s">
        <v>21</v>
      </c>
      <c r="E10" s="5" t="str">
        <f t="shared" si="0"/>
        <v/>
      </c>
      <c r="F10" s="10" t="str">
        <f t="shared" si="1"/>
        <v/>
      </c>
      <c r="G10" s="5" t="str">
        <f t="shared" si="2"/>
        <v/>
      </c>
      <c r="I10" s="33"/>
      <c r="K10" s="33"/>
      <c r="M10" s="33"/>
      <c r="O10" s="33"/>
      <c r="Q10" s="33"/>
      <c r="R10" s="11" t="str">
        <f t="shared" si="3"/>
        <v/>
      </c>
      <c r="S10" s="33"/>
      <c r="T10" s="33"/>
      <c r="U10" s="33"/>
      <c r="V10" s="33"/>
      <c r="W10" s="33"/>
      <c r="X10" s="33"/>
      <c r="Y10" s="33"/>
      <c r="Z10" s="33"/>
      <c r="AA10" s="12" t="str">
        <f t="shared" si="4"/>
        <v/>
      </c>
      <c r="AB10" s="13" t="str">
        <f t="shared" si="5"/>
        <v/>
      </c>
      <c r="AD10" s="33"/>
      <c r="AF10" s="33"/>
      <c r="AH10" s="33"/>
      <c r="AJ10" s="33"/>
      <c r="AL10" s="33"/>
      <c r="AM10" s="11" t="str">
        <f t="shared" si="6"/>
        <v/>
      </c>
      <c r="AN10" s="33"/>
      <c r="AO10" s="33"/>
      <c r="AP10" s="33"/>
      <c r="AQ10" s="33"/>
      <c r="AR10" s="33"/>
      <c r="AS10" s="33"/>
      <c r="AT10" s="33"/>
      <c r="AU10" s="33"/>
      <c r="AV10" s="12" t="str">
        <f t="shared" si="7"/>
        <v/>
      </c>
      <c r="AW10" s="13" t="str">
        <f t="shared" si="8"/>
        <v/>
      </c>
      <c r="AY10" s="33"/>
      <c r="BA10" s="33"/>
      <c r="BC10" s="33"/>
      <c r="BE10" s="33"/>
      <c r="BG10" s="33"/>
      <c r="BH10" s="11" t="str">
        <f t="shared" si="9"/>
        <v/>
      </c>
      <c r="BI10" s="33"/>
      <c r="BJ10" s="33"/>
      <c r="BK10" s="33"/>
      <c r="BL10" s="33"/>
      <c r="BM10" s="33"/>
      <c r="BN10" s="33"/>
      <c r="BO10" s="33"/>
      <c r="BP10" s="33"/>
      <c r="BQ10" s="12" t="str">
        <f t="shared" si="10"/>
        <v/>
      </c>
      <c r="BR10" s="13" t="str">
        <f t="shared" si="11"/>
        <v/>
      </c>
      <c r="BT10" s="33"/>
      <c r="BV10" s="33"/>
      <c r="BX10" s="33"/>
      <c r="BZ10" s="33"/>
      <c r="CB10" s="33"/>
      <c r="CC10" s="11" t="str">
        <f t="shared" si="12"/>
        <v/>
      </c>
      <c r="CD10" s="33"/>
      <c r="CE10" s="33"/>
      <c r="CF10" s="33"/>
      <c r="CG10" s="33"/>
      <c r="CH10" s="33"/>
      <c r="CI10" s="33"/>
      <c r="CJ10" s="33"/>
      <c r="CK10" s="33"/>
      <c r="CL10" s="12" t="str">
        <f t="shared" si="13"/>
        <v/>
      </c>
      <c r="CM10" s="13" t="str">
        <f t="shared" si="14"/>
        <v/>
      </c>
      <c r="CO10" s="33"/>
      <c r="CQ10" s="33"/>
      <c r="CS10" s="33"/>
      <c r="CU10" s="33"/>
      <c r="CW10" s="33"/>
      <c r="CX10" s="11" t="str">
        <f t="shared" si="15"/>
        <v/>
      </c>
      <c r="CY10" s="33"/>
      <c r="CZ10" s="33"/>
      <c r="DA10" s="33"/>
      <c r="DB10" s="33"/>
      <c r="DC10" s="33"/>
      <c r="DD10" s="33"/>
      <c r="DE10" s="33"/>
      <c r="DF10" s="33"/>
      <c r="DG10" s="12" t="str">
        <f t="shared" si="16"/>
        <v/>
      </c>
      <c r="DH10" s="13" t="str">
        <f t="shared" si="17"/>
        <v/>
      </c>
      <c r="DJ10" s="33"/>
      <c r="DL10" s="33"/>
      <c r="DN10" s="33"/>
      <c r="DP10" s="33"/>
      <c r="DR10" s="33"/>
      <c r="DS10" s="11" t="str">
        <f t="shared" si="18"/>
        <v/>
      </c>
      <c r="DT10" s="33"/>
      <c r="DU10" s="33"/>
      <c r="DV10" s="33"/>
      <c r="DW10" s="33"/>
      <c r="DX10" s="33"/>
      <c r="DY10" s="33"/>
      <c r="DZ10" s="33"/>
      <c r="EA10" s="33"/>
      <c r="EB10" s="12" t="str">
        <f t="shared" si="19"/>
        <v/>
      </c>
      <c r="EC10" s="13" t="str">
        <f t="shared" si="20"/>
        <v/>
      </c>
      <c r="EE10" s="33"/>
      <c r="EG10" s="33"/>
      <c r="EI10" s="33"/>
      <c r="EK10" s="33"/>
      <c r="EM10" s="33"/>
      <c r="EN10" s="11" t="str">
        <f t="shared" si="21"/>
        <v/>
      </c>
      <c r="EO10" s="33"/>
      <c r="EP10" s="33"/>
      <c r="EQ10" s="33"/>
      <c r="ER10" s="33"/>
      <c r="ES10" s="33"/>
      <c r="ET10" s="33"/>
      <c r="EU10" s="33"/>
      <c r="EV10" s="33"/>
      <c r="EW10" s="12" t="str">
        <f t="shared" si="22"/>
        <v/>
      </c>
      <c r="EX10" s="13" t="str">
        <f t="shared" si="23"/>
        <v/>
      </c>
      <c r="EZ10" s="33"/>
      <c r="FB10" s="33"/>
      <c r="FD10" s="33"/>
      <c r="FF10" s="33"/>
      <c r="FH10" s="33"/>
      <c r="FI10" s="11" t="str">
        <f t="shared" si="24"/>
        <v/>
      </c>
      <c r="FJ10" s="33"/>
      <c r="FK10" s="33"/>
      <c r="FL10" s="33"/>
      <c r="FM10" s="33"/>
      <c r="FN10" s="33"/>
      <c r="FO10" s="33"/>
      <c r="FP10" s="33"/>
      <c r="FQ10" s="33"/>
      <c r="FR10" s="12" t="str">
        <f t="shared" si="25"/>
        <v/>
      </c>
      <c r="FS10" s="13" t="str">
        <f t="shared" si="26"/>
        <v/>
      </c>
      <c r="FU10" s="33"/>
      <c r="FW10" s="33"/>
      <c r="FY10" s="33"/>
      <c r="GA10" s="33"/>
      <c r="GC10" s="33"/>
      <c r="GD10" s="11" t="str">
        <f t="shared" si="27"/>
        <v/>
      </c>
      <c r="GE10" s="33"/>
      <c r="GF10" s="33"/>
      <c r="GG10" s="33"/>
      <c r="GH10" s="33"/>
      <c r="GI10" s="33"/>
      <c r="GJ10" s="33"/>
      <c r="GK10" s="33"/>
      <c r="GL10" s="33"/>
      <c r="GM10" s="12" t="str">
        <f t="shared" si="28"/>
        <v/>
      </c>
      <c r="GN10" s="13" t="str">
        <f t="shared" si="29"/>
        <v/>
      </c>
      <c r="GP10" s="33"/>
      <c r="GR10" s="33"/>
      <c r="GT10" s="33"/>
      <c r="GV10" s="33"/>
      <c r="GX10" s="33"/>
      <c r="GY10" s="11" t="str">
        <f t="shared" si="30"/>
        <v/>
      </c>
      <c r="GZ10" s="33"/>
      <c r="HA10" s="33"/>
      <c r="HB10" s="33"/>
      <c r="HC10" s="33"/>
      <c r="HD10" s="33"/>
      <c r="HE10" s="33"/>
      <c r="HF10" s="33"/>
      <c r="HG10" s="33"/>
      <c r="HH10" s="12" t="str">
        <f t="shared" si="31"/>
        <v/>
      </c>
      <c r="HI10" s="13" t="str">
        <f t="shared" si="32"/>
        <v/>
      </c>
      <c r="HK10" s="33"/>
      <c r="HM10" s="33"/>
      <c r="HO10" s="33"/>
      <c r="HQ10" s="33"/>
      <c r="HS10" s="33"/>
      <c r="HT10" s="11" t="str">
        <f t="shared" si="33"/>
        <v/>
      </c>
      <c r="HU10" s="33"/>
      <c r="HV10" s="33"/>
      <c r="HW10" s="33"/>
      <c r="HX10" s="33"/>
      <c r="HY10" s="33"/>
      <c r="HZ10" s="33"/>
      <c r="IA10" s="33"/>
      <c r="IB10" s="33"/>
      <c r="IC10" s="12" t="str">
        <f t="shared" si="34"/>
        <v/>
      </c>
      <c r="ID10" s="13" t="str">
        <f t="shared" si="35"/>
        <v/>
      </c>
      <c r="IF10" s="33"/>
      <c r="IH10" s="33"/>
      <c r="IJ10" s="33"/>
      <c r="IL10" s="33"/>
      <c r="IN10" s="33"/>
      <c r="IO10" s="11" t="str">
        <f t="shared" si="36"/>
        <v/>
      </c>
      <c r="IP10" s="33"/>
      <c r="IQ10" s="33"/>
      <c r="IR10" s="33"/>
      <c r="IS10" s="33"/>
      <c r="IT10" s="33"/>
      <c r="IU10" s="33"/>
      <c r="IV10" s="33"/>
      <c r="IW10" s="33"/>
      <c r="IX10" s="12" t="str">
        <f t="shared" si="37"/>
        <v/>
      </c>
      <c r="IY10" s="13" t="str">
        <f t="shared" si="38"/>
        <v/>
      </c>
      <c r="JA10" s="33"/>
      <c r="JC10" s="33"/>
      <c r="JE10" s="33"/>
      <c r="JG10" s="33"/>
      <c r="JI10" s="33"/>
      <c r="JJ10" s="11" t="str">
        <f t="shared" si="39"/>
        <v/>
      </c>
      <c r="JK10" s="33"/>
      <c r="JL10" s="33"/>
      <c r="JM10" s="33"/>
      <c r="JN10" s="33"/>
      <c r="JO10" s="33"/>
      <c r="JP10" s="33"/>
      <c r="JQ10" s="33"/>
      <c r="JR10" s="33"/>
      <c r="JS10" s="12" t="str">
        <f t="shared" si="40"/>
        <v/>
      </c>
      <c r="JT10" s="13" t="str">
        <f t="shared" si="41"/>
        <v/>
      </c>
      <c r="JU10" s="3"/>
      <c r="JV10" s="34"/>
      <c r="JW10" s="3"/>
      <c r="JX10" s="34"/>
      <c r="JY10" s="3"/>
      <c r="JZ10" s="34"/>
      <c r="KA10" s="3"/>
      <c r="KB10" s="34"/>
      <c r="KC10" s="3"/>
      <c r="KD10" s="34"/>
      <c r="KE10" s="5" t="str">
        <f t="shared" si="42"/>
        <v/>
      </c>
      <c r="KF10" s="34"/>
      <c r="KG10" s="34"/>
      <c r="KH10" s="34"/>
      <c r="KI10" s="34"/>
      <c r="KJ10" s="34"/>
      <c r="KK10" s="34"/>
      <c r="KL10" s="34"/>
      <c r="KM10" s="34"/>
      <c r="KN10" s="14" t="str">
        <f t="shared" si="43"/>
        <v/>
      </c>
      <c r="KO10" s="15" t="str">
        <f t="shared" si="44"/>
        <v/>
      </c>
    </row>
    <row r="11" spans="1:301" x14ac:dyDescent="0.3">
      <c r="A11" s="3">
        <v>3</v>
      </c>
      <c r="B11" s="4" t="s">
        <v>22</v>
      </c>
      <c r="C11" s="3">
        <v>15</v>
      </c>
      <c r="D11" s="3" t="s">
        <v>23</v>
      </c>
      <c r="E11" s="5" t="str">
        <f t="shared" si="0"/>
        <v/>
      </c>
      <c r="F11" s="10" t="str">
        <f t="shared" si="1"/>
        <v/>
      </c>
      <c r="G11" s="5" t="str">
        <f t="shared" si="2"/>
        <v/>
      </c>
      <c r="I11" s="33"/>
      <c r="K11" s="33"/>
      <c r="M11" s="33"/>
      <c r="O11" s="33"/>
      <c r="Q11" s="33"/>
      <c r="R11" s="11" t="str">
        <f t="shared" si="3"/>
        <v/>
      </c>
      <c r="S11" s="33"/>
      <c r="T11" s="33"/>
      <c r="U11" s="33"/>
      <c r="V11" s="33"/>
      <c r="W11" s="33"/>
      <c r="X11" s="33"/>
      <c r="Y11" s="33"/>
      <c r="Z11" s="33"/>
      <c r="AA11" s="12" t="str">
        <f t="shared" si="4"/>
        <v/>
      </c>
      <c r="AB11" s="13" t="str">
        <f t="shared" si="5"/>
        <v/>
      </c>
      <c r="AD11" s="33"/>
      <c r="AF11" s="33"/>
      <c r="AH11" s="33"/>
      <c r="AJ11" s="33"/>
      <c r="AL11" s="33"/>
      <c r="AM11" s="11" t="str">
        <f t="shared" si="6"/>
        <v/>
      </c>
      <c r="AN11" s="33"/>
      <c r="AO11" s="33"/>
      <c r="AP11" s="33"/>
      <c r="AQ11" s="33"/>
      <c r="AR11" s="33"/>
      <c r="AS11" s="33"/>
      <c r="AT11" s="33"/>
      <c r="AU11" s="33"/>
      <c r="AV11" s="12" t="str">
        <f t="shared" si="7"/>
        <v/>
      </c>
      <c r="AW11" s="13" t="str">
        <f t="shared" si="8"/>
        <v/>
      </c>
      <c r="AY11" s="33"/>
      <c r="BA11" s="33"/>
      <c r="BC11" s="33"/>
      <c r="BE11" s="33"/>
      <c r="BG11" s="33"/>
      <c r="BH11" s="11" t="str">
        <f t="shared" si="9"/>
        <v/>
      </c>
      <c r="BI11" s="33"/>
      <c r="BJ11" s="33"/>
      <c r="BK11" s="33"/>
      <c r="BL11" s="33"/>
      <c r="BM11" s="33"/>
      <c r="BN11" s="33"/>
      <c r="BO11" s="33"/>
      <c r="BP11" s="33"/>
      <c r="BQ11" s="12" t="str">
        <f t="shared" si="10"/>
        <v/>
      </c>
      <c r="BR11" s="13" t="str">
        <f t="shared" si="11"/>
        <v/>
      </c>
      <c r="BT11" s="33"/>
      <c r="BV11" s="33"/>
      <c r="BX11" s="33"/>
      <c r="BZ11" s="33"/>
      <c r="CB11" s="33"/>
      <c r="CC11" s="11" t="str">
        <f t="shared" si="12"/>
        <v/>
      </c>
      <c r="CD11" s="33"/>
      <c r="CE11" s="33"/>
      <c r="CF11" s="33"/>
      <c r="CG11" s="33"/>
      <c r="CH11" s="33"/>
      <c r="CI11" s="33"/>
      <c r="CJ11" s="33"/>
      <c r="CK11" s="33"/>
      <c r="CL11" s="12" t="str">
        <f t="shared" si="13"/>
        <v/>
      </c>
      <c r="CM11" s="13" t="str">
        <f t="shared" si="14"/>
        <v/>
      </c>
      <c r="CO11" s="33"/>
      <c r="CQ11" s="33"/>
      <c r="CS11" s="33"/>
      <c r="CU11" s="33"/>
      <c r="CW11" s="33"/>
      <c r="CX11" s="11" t="str">
        <f t="shared" si="15"/>
        <v/>
      </c>
      <c r="CY11" s="33"/>
      <c r="CZ11" s="33"/>
      <c r="DA11" s="33"/>
      <c r="DB11" s="33"/>
      <c r="DC11" s="33"/>
      <c r="DD11" s="33"/>
      <c r="DE11" s="33"/>
      <c r="DF11" s="33"/>
      <c r="DG11" s="12" t="str">
        <f t="shared" si="16"/>
        <v/>
      </c>
      <c r="DH11" s="13" t="str">
        <f t="shared" si="17"/>
        <v/>
      </c>
      <c r="DJ11" s="33"/>
      <c r="DL11" s="33"/>
      <c r="DN11" s="33"/>
      <c r="DP11" s="33"/>
      <c r="DR11" s="33"/>
      <c r="DS11" s="11" t="str">
        <f t="shared" si="18"/>
        <v/>
      </c>
      <c r="DT11" s="33"/>
      <c r="DU11" s="33"/>
      <c r="DV11" s="33"/>
      <c r="DW11" s="33"/>
      <c r="DX11" s="33"/>
      <c r="DY11" s="33"/>
      <c r="DZ11" s="33"/>
      <c r="EA11" s="33"/>
      <c r="EB11" s="12" t="str">
        <f t="shared" si="19"/>
        <v/>
      </c>
      <c r="EC11" s="13" t="str">
        <f t="shared" si="20"/>
        <v/>
      </c>
      <c r="EE11" s="33"/>
      <c r="EG11" s="33"/>
      <c r="EI11" s="33"/>
      <c r="EK11" s="33"/>
      <c r="EM11" s="33"/>
      <c r="EN11" s="11" t="str">
        <f t="shared" si="21"/>
        <v/>
      </c>
      <c r="EO11" s="33"/>
      <c r="EP11" s="33"/>
      <c r="EQ11" s="33"/>
      <c r="ER11" s="33"/>
      <c r="ES11" s="33"/>
      <c r="ET11" s="33"/>
      <c r="EU11" s="33"/>
      <c r="EV11" s="33"/>
      <c r="EW11" s="12" t="str">
        <f t="shared" si="22"/>
        <v/>
      </c>
      <c r="EX11" s="13" t="str">
        <f t="shared" si="23"/>
        <v/>
      </c>
      <c r="EZ11" s="33"/>
      <c r="FB11" s="33"/>
      <c r="FD11" s="33"/>
      <c r="FF11" s="33"/>
      <c r="FH11" s="33"/>
      <c r="FI11" s="11" t="str">
        <f t="shared" si="24"/>
        <v/>
      </c>
      <c r="FJ11" s="33"/>
      <c r="FK11" s="33"/>
      <c r="FL11" s="33"/>
      <c r="FM11" s="33"/>
      <c r="FN11" s="33"/>
      <c r="FO11" s="33"/>
      <c r="FP11" s="33"/>
      <c r="FQ11" s="33"/>
      <c r="FR11" s="12" t="str">
        <f t="shared" si="25"/>
        <v/>
      </c>
      <c r="FS11" s="13" t="str">
        <f t="shared" si="26"/>
        <v/>
      </c>
      <c r="FU11" s="33"/>
      <c r="FW11" s="33"/>
      <c r="FY11" s="33"/>
      <c r="GA11" s="33"/>
      <c r="GC11" s="33"/>
      <c r="GD11" s="11" t="str">
        <f t="shared" si="27"/>
        <v/>
      </c>
      <c r="GE11" s="33"/>
      <c r="GF11" s="33"/>
      <c r="GG11" s="33"/>
      <c r="GH11" s="33"/>
      <c r="GI11" s="33"/>
      <c r="GJ11" s="33"/>
      <c r="GK11" s="33"/>
      <c r="GL11" s="33"/>
      <c r="GM11" s="12" t="str">
        <f t="shared" si="28"/>
        <v/>
      </c>
      <c r="GN11" s="13" t="str">
        <f t="shared" si="29"/>
        <v/>
      </c>
      <c r="GP11" s="33"/>
      <c r="GR11" s="33"/>
      <c r="GT11" s="33"/>
      <c r="GV11" s="33"/>
      <c r="GX11" s="33"/>
      <c r="GY11" s="11" t="str">
        <f t="shared" si="30"/>
        <v/>
      </c>
      <c r="GZ11" s="33"/>
      <c r="HA11" s="33"/>
      <c r="HB11" s="33"/>
      <c r="HC11" s="33"/>
      <c r="HD11" s="33"/>
      <c r="HE11" s="33"/>
      <c r="HF11" s="33"/>
      <c r="HG11" s="33"/>
      <c r="HH11" s="12" t="str">
        <f t="shared" si="31"/>
        <v/>
      </c>
      <c r="HI11" s="13" t="str">
        <f t="shared" si="32"/>
        <v/>
      </c>
      <c r="HK11" s="33"/>
      <c r="HM11" s="33"/>
      <c r="HO11" s="33"/>
      <c r="HQ11" s="33"/>
      <c r="HS11" s="33"/>
      <c r="HT11" s="11" t="str">
        <f t="shared" si="33"/>
        <v/>
      </c>
      <c r="HU11" s="33"/>
      <c r="HV11" s="33"/>
      <c r="HW11" s="33"/>
      <c r="HX11" s="33"/>
      <c r="HY11" s="33"/>
      <c r="HZ11" s="33"/>
      <c r="IA11" s="33"/>
      <c r="IB11" s="33"/>
      <c r="IC11" s="12" t="str">
        <f t="shared" si="34"/>
        <v/>
      </c>
      <c r="ID11" s="13" t="str">
        <f t="shared" si="35"/>
        <v/>
      </c>
      <c r="IF11" s="33"/>
      <c r="IH11" s="33"/>
      <c r="IJ11" s="33"/>
      <c r="IL11" s="33"/>
      <c r="IN11" s="33"/>
      <c r="IO11" s="11" t="str">
        <f t="shared" si="36"/>
        <v/>
      </c>
      <c r="IP11" s="33"/>
      <c r="IQ11" s="33"/>
      <c r="IR11" s="33"/>
      <c r="IS11" s="33"/>
      <c r="IT11" s="33"/>
      <c r="IU11" s="33"/>
      <c r="IV11" s="33"/>
      <c r="IW11" s="33"/>
      <c r="IX11" s="12" t="str">
        <f t="shared" si="37"/>
        <v/>
      </c>
      <c r="IY11" s="13" t="str">
        <f t="shared" si="38"/>
        <v/>
      </c>
      <c r="JA11" s="33"/>
      <c r="JC11" s="33"/>
      <c r="JE11" s="33"/>
      <c r="JG11" s="33"/>
      <c r="JI11" s="33"/>
      <c r="JJ11" s="11" t="str">
        <f t="shared" si="39"/>
        <v/>
      </c>
      <c r="JK11" s="33"/>
      <c r="JL11" s="33"/>
      <c r="JM11" s="33"/>
      <c r="JN11" s="33"/>
      <c r="JO11" s="33"/>
      <c r="JP11" s="33"/>
      <c r="JQ11" s="33"/>
      <c r="JR11" s="33"/>
      <c r="JS11" s="12" t="str">
        <f t="shared" si="40"/>
        <v/>
      </c>
      <c r="JT11" s="13" t="str">
        <f t="shared" si="41"/>
        <v/>
      </c>
      <c r="JU11" s="3"/>
      <c r="JV11" s="34"/>
      <c r="JW11" s="3"/>
      <c r="JX11" s="34"/>
      <c r="JY11" s="3"/>
      <c r="JZ11" s="34"/>
      <c r="KA11" s="3"/>
      <c r="KB11" s="34"/>
      <c r="KC11" s="3"/>
      <c r="KD11" s="34"/>
      <c r="KE11" s="5" t="str">
        <f t="shared" si="42"/>
        <v/>
      </c>
      <c r="KF11" s="34"/>
      <c r="KG11" s="34"/>
      <c r="KH11" s="34"/>
      <c r="KI11" s="34"/>
      <c r="KJ11" s="34"/>
      <c r="KK11" s="34"/>
      <c r="KL11" s="34"/>
      <c r="KM11" s="34"/>
      <c r="KN11" s="14" t="str">
        <f t="shared" si="43"/>
        <v/>
      </c>
      <c r="KO11" s="15" t="str">
        <f t="shared" si="44"/>
        <v/>
      </c>
    </row>
    <row r="12" spans="1:301" x14ac:dyDescent="0.3">
      <c r="A12" s="3">
        <v>4</v>
      </c>
      <c r="B12" s="4" t="s">
        <v>24</v>
      </c>
      <c r="C12" s="3">
        <v>16</v>
      </c>
      <c r="D12" s="3" t="s">
        <v>25</v>
      </c>
      <c r="E12" s="5" t="str">
        <f t="shared" si="0"/>
        <v/>
      </c>
      <c r="F12" s="10" t="str">
        <f t="shared" si="1"/>
        <v/>
      </c>
      <c r="G12" s="5" t="str">
        <f t="shared" si="2"/>
        <v/>
      </c>
      <c r="I12" s="33"/>
      <c r="K12" s="33"/>
      <c r="M12" s="33"/>
      <c r="O12" s="33"/>
      <c r="Q12" s="33"/>
      <c r="R12" s="11" t="str">
        <f t="shared" si="3"/>
        <v/>
      </c>
      <c r="S12" s="33"/>
      <c r="T12" s="33"/>
      <c r="U12" s="33"/>
      <c r="V12" s="33"/>
      <c r="W12" s="33"/>
      <c r="X12" s="33"/>
      <c r="Y12" s="33"/>
      <c r="Z12" s="33"/>
      <c r="AA12" s="12" t="str">
        <f t="shared" si="4"/>
        <v/>
      </c>
      <c r="AB12" s="13" t="str">
        <f t="shared" si="5"/>
        <v/>
      </c>
      <c r="AD12" s="33"/>
      <c r="AF12" s="33"/>
      <c r="AH12" s="33"/>
      <c r="AJ12" s="33"/>
      <c r="AL12" s="33"/>
      <c r="AM12" s="11" t="str">
        <f t="shared" si="6"/>
        <v/>
      </c>
      <c r="AN12" s="33"/>
      <c r="AO12" s="33"/>
      <c r="AP12" s="33"/>
      <c r="AQ12" s="33"/>
      <c r="AR12" s="33"/>
      <c r="AS12" s="33"/>
      <c r="AT12" s="33"/>
      <c r="AU12" s="33"/>
      <c r="AV12" s="12" t="str">
        <f t="shared" si="7"/>
        <v/>
      </c>
      <c r="AW12" s="13" t="str">
        <f t="shared" si="8"/>
        <v/>
      </c>
      <c r="AY12" s="33"/>
      <c r="BA12" s="33"/>
      <c r="BC12" s="33"/>
      <c r="BE12" s="33"/>
      <c r="BG12" s="33"/>
      <c r="BH12" s="11" t="str">
        <f t="shared" si="9"/>
        <v/>
      </c>
      <c r="BI12" s="33"/>
      <c r="BJ12" s="33"/>
      <c r="BK12" s="33"/>
      <c r="BL12" s="33"/>
      <c r="BM12" s="33"/>
      <c r="BN12" s="33"/>
      <c r="BO12" s="33"/>
      <c r="BP12" s="33"/>
      <c r="BQ12" s="12" t="str">
        <f t="shared" si="10"/>
        <v/>
      </c>
      <c r="BR12" s="13" t="str">
        <f t="shared" si="11"/>
        <v/>
      </c>
      <c r="BT12" s="33"/>
      <c r="BV12" s="33"/>
      <c r="BX12" s="33"/>
      <c r="BZ12" s="33"/>
      <c r="CB12" s="33"/>
      <c r="CC12" s="11" t="str">
        <f t="shared" si="12"/>
        <v/>
      </c>
      <c r="CD12" s="33"/>
      <c r="CE12" s="33"/>
      <c r="CF12" s="33"/>
      <c r="CG12" s="33"/>
      <c r="CH12" s="33"/>
      <c r="CI12" s="33"/>
      <c r="CJ12" s="33"/>
      <c r="CK12" s="33"/>
      <c r="CL12" s="12" t="str">
        <f t="shared" si="13"/>
        <v/>
      </c>
      <c r="CM12" s="13" t="str">
        <f t="shared" si="14"/>
        <v/>
      </c>
      <c r="CO12" s="33"/>
      <c r="CQ12" s="33"/>
      <c r="CS12" s="33"/>
      <c r="CU12" s="33"/>
      <c r="CW12" s="33"/>
      <c r="CX12" s="11" t="str">
        <f t="shared" si="15"/>
        <v/>
      </c>
      <c r="CY12" s="33"/>
      <c r="CZ12" s="33"/>
      <c r="DA12" s="33"/>
      <c r="DB12" s="33"/>
      <c r="DC12" s="33"/>
      <c r="DD12" s="33"/>
      <c r="DE12" s="33"/>
      <c r="DF12" s="33"/>
      <c r="DG12" s="12" t="str">
        <f t="shared" si="16"/>
        <v/>
      </c>
      <c r="DH12" s="13" t="str">
        <f t="shared" si="17"/>
        <v/>
      </c>
      <c r="DJ12" s="33"/>
      <c r="DL12" s="33"/>
      <c r="DN12" s="33"/>
      <c r="DP12" s="33"/>
      <c r="DR12" s="33"/>
      <c r="DS12" s="11" t="str">
        <f t="shared" si="18"/>
        <v/>
      </c>
      <c r="DT12" s="33"/>
      <c r="DU12" s="33"/>
      <c r="DV12" s="33"/>
      <c r="DW12" s="33"/>
      <c r="DX12" s="33"/>
      <c r="DY12" s="33"/>
      <c r="DZ12" s="33"/>
      <c r="EA12" s="33"/>
      <c r="EB12" s="12" t="str">
        <f t="shared" si="19"/>
        <v/>
      </c>
      <c r="EC12" s="13" t="str">
        <f t="shared" si="20"/>
        <v/>
      </c>
      <c r="EE12" s="33"/>
      <c r="EG12" s="33"/>
      <c r="EI12" s="33"/>
      <c r="EK12" s="33"/>
      <c r="EM12" s="33"/>
      <c r="EN12" s="11" t="str">
        <f t="shared" si="21"/>
        <v/>
      </c>
      <c r="EO12" s="33"/>
      <c r="EP12" s="33"/>
      <c r="EQ12" s="33"/>
      <c r="ER12" s="33"/>
      <c r="ES12" s="33"/>
      <c r="ET12" s="33"/>
      <c r="EU12" s="33"/>
      <c r="EV12" s="33"/>
      <c r="EW12" s="12" t="str">
        <f t="shared" si="22"/>
        <v/>
      </c>
      <c r="EX12" s="13" t="str">
        <f t="shared" si="23"/>
        <v/>
      </c>
      <c r="EZ12" s="33"/>
      <c r="FB12" s="33"/>
      <c r="FD12" s="33"/>
      <c r="FF12" s="33"/>
      <c r="FH12" s="33"/>
      <c r="FI12" s="11" t="str">
        <f t="shared" si="24"/>
        <v/>
      </c>
      <c r="FJ12" s="33"/>
      <c r="FK12" s="33"/>
      <c r="FL12" s="33"/>
      <c r="FM12" s="33"/>
      <c r="FN12" s="33"/>
      <c r="FO12" s="33"/>
      <c r="FP12" s="33"/>
      <c r="FQ12" s="33"/>
      <c r="FR12" s="12" t="str">
        <f t="shared" si="25"/>
        <v/>
      </c>
      <c r="FS12" s="13" t="str">
        <f t="shared" si="26"/>
        <v/>
      </c>
      <c r="FU12" s="33"/>
      <c r="FW12" s="33"/>
      <c r="FY12" s="33"/>
      <c r="GA12" s="33"/>
      <c r="GC12" s="33"/>
      <c r="GD12" s="11" t="str">
        <f t="shared" si="27"/>
        <v/>
      </c>
      <c r="GE12" s="33"/>
      <c r="GF12" s="33"/>
      <c r="GG12" s="33"/>
      <c r="GH12" s="33"/>
      <c r="GI12" s="33"/>
      <c r="GJ12" s="33"/>
      <c r="GK12" s="33"/>
      <c r="GL12" s="33"/>
      <c r="GM12" s="12" t="str">
        <f t="shared" si="28"/>
        <v/>
      </c>
      <c r="GN12" s="13" t="str">
        <f t="shared" si="29"/>
        <v/>
      </c>
      <c r="GP12" s="33"/>
      <c r="GR12" s="33"/>
      <c r="GT12" s="33"/>
      <c r="GV12" s="33"/>
      <c r="GX12" s="33"/>
      <c r="GY12" s="11" t="str">
        <f t="shared" si="30"/>
        <v/>
      </c>
      <c r="GZ12" s="33"/>
      <c r="HA12" s="33"/>
      <c r="HB12" s="33"/>
      <c r="HC12" s="33"/>
      <c r="HD12" s="33"/>
      <c r="HE12" s="33"/>
      <c r="HF12" s="33"/>
      <c r="HG12" s="33"/>
      <c r="HH12" s="12" t="str">
        <f t="shared" si="31"/>
        <v/>
      </c>
      <c r="HI12" s="13" t="str">
        <f t="shared" si="32"/>
        <v/>
      </c>
      <c r="HK12" s="33"/>
      <c r="HM12" s="33"/>
      <c r="HO12" s="33"/>
      <c r="HQ12" s="33"/>
      <c r="HS12" s="33"/>
      <c r="HT12" s="11" t="str">
        <f t="shared" si="33"/>
        <v/>
      </c>
      <c r="HU12" s="33"/>
      <c r="HV12" s="33"/>
      <c r="HW12" s="33"/>
      <c r="HX12" s="33"/>
      <c r="HY12" s="33"/>
      <c r="HZ12" s="33"/>
      <c r="IA12" s="33"/>
      <c r="IB12" s="33"/>
      <c r="IC12" s="12" t="str">
        <f t="shared" si="34"/>
        <v/>
      </c>
      <c r="ID12" s="13" t="str">
        <f t="shared" si="35"/>
        <v/>
      </c>
      <c r="IF12" s="33"/>
      <c r="IH12" s="33"/>
      <c r="IJ12" s="33"/>
      <c r="IL12" s="33"/>
      <c r="IN12" s="33"/>
      <c r="IO12" s="11" t="str">
        <f t="shared" si="36"/>
        <v/>
      </c>
      <c r="IP12" s="33"/>
      <c r="IQ12" s="33"/>
      <c r="IR12" s="33"/>
      <c r="IS12" s="33"/>
      <c r="IT12" s="33"/>
      <c r="IU12" s="33"/>
      <c r="IV12" s="33"/>
      <c r="IW12" s="33"/>
      <c r="IX12" s="12" t="str">
        <f t="shared" si="37"/>
        <v/>
      </c>
      <c r="IY12" s="13" t="str">
        <f t="shared" si="38"/>
        <v/>
      </c>
      <c r="JA12" s="33"/>
      <c r="JC12" s="33"/>
      <c r="JE12" s="33"/>
      <c r="JG12" s="33"/>
      <c r="JI12" s="33"/>
      <c r="JJ12" s="11" t="str">
        <f t="shared" si="39"/>
        <v/>
      </c>
      <c r="JK12" s="33"/>
      <c r="JL12" s="33"/>
      <c r="JM12" s="33"/>
      <c r="JN12" s="33"/>
      <c r="JO12" s="33"/>
      <c r="JP12" s="33"/>
      <c r="JQ12" s="33"/>
      <c r="JR12" s="33"/>
      <c r="JS12" s="12" t="str">
        <f t="shared" si="40"/>
        <v/>
      </c>
      <c r="JT12" s="13" t="str">
        <f t="shared" si="41"/>
        <v/>
      </c>
      <c r="JU12" s="3"/>
      <c r="JV12" s="34"/>
      <c r="JW12" s="3"/>
      <c r="JX12" s="34"/>
      <c r="JY12" s="3"/>
      <c r="JZ12" s="34"/>
      <c r="KA12" s="3"/>
      <c r="KB12" s="34"/>
      <c r="KC12" s="3"/>
      <c r="KD12" s="34"/>
      <c r="KE12" s="5" t="str">
        <f t="shared" si="42"/>
        <v/>
      </c>
      <c r="KF12" s="34"/>
      <c r="KG12" s="34"/>
      <c r="KH12" s="34"/>
      <c r="KI12" s="34"/>
      <c r="KJ12" s="34"/>
      <c r="KK12" s="34"/>
      <c r="KL12" s="34"/>
      <c r="KM12" s="34"/>
      <c r="KN12" s="14" t="str">
        <f t="shared" si="43"/>
        <v/>
      </c>
      <c r="KO12" s="15" t="str">
        <f t="shared" si="44"/>
        <v/>
      </c>
    </row>
    <row r="13" spans="1:301" x14ac:dyDescent="0.3">
      <c r="A13" s="3">
        <v>5</v>
      </c>
      <c r="B13" s="4" t="s">
        <v>26</v>
      </c>
      <c r="C13" s="3">
        <v>17</v>
      </c>
      <c r="D13" s="3" t="s">
        <v>27</v>
      </c>
      <c r="E13" s="5" t="str">
        <f t="shared" si="0"/>
        <v/>
      </c>
      <c r="F13" s="10" t="str">
        <f t="shared" si="1"/>
        <v/>
      </c>
      <c r="G13" s="5" t="str">
        <f t="shared" si="2"/>
        <v/>
      </c>
      <c r="I13" s="33"/>
      <c r="K13" s="33"/>
      <c r="M13" s="33"/>
      <c r="O13" s="33"/>
      <c r="Q13" s="33"/>
      <c r="R13" s="11" t="str">
        <f t="shared" si="3"/>
        <v/>
      </c>
      <c r="S13" s="33"/>
      <c r="T13" s="33"/>
      <c r="U13" s="33"/>
      <c r="V13" s="33"/>
      <c r="W13" s="33"/>
      <c r="X13" s="33"/>
      <c r="Y13" s="33"/>
      <c r="Z13" s="33"/>
      <c r="AA13" s="12" t="str">
        <f t="shared" si="4"/>
        <v/>
      </c>
      <c r="AB13" s="13" t="str">
        <f t="shared" si="5"/>
        <v/>
      </c>
      <c r="AD13" s="33"/>
      <c r="AF13" s="33"/>
      <c r="AH13" s="33"/>
      <c r="AJ13" s="33"/>
      <c r="AL13" s="33"/>
      <c r="AM13" s="11" t="str">
        <f t="shared" si="6"/>
        <v/>
      </c>
      <c r="AN13" s="33"/>
      <c r="AO13" s="33"/>
      <c r="AP13" s="33"/>
      <c r="AQ13" s="33"/>
      <c r="AR13" s="33"/>
      <c r="AS13" s="33"/>
      <c r="AT13" s="33"/>
      <c r="AU13" s="33"/>
      <c r="AV13" s="12" t="str">
        <f t="shared" si="7"/>
        <v/>
      </c>
      <c r="AW13" s="13" t="str">
        <f t="shared" si="8"/>
        <v/>
      </c>
      <c r="AY13" s="33"/>
      <c r="BA13" s="33"/>
      <c r="BC13" s="33"/>
      <c r="BE13" s="33"/>
      <c r="BG13" s="33"/>
      <c r="BH13" s="11" t="str">
        <f t="shared" si="9"/>
        <v/>
      </c>
      <c r="BI13" s="33"/>
      <c r="BJ13" s="33"/>
      <c r="BK13" s="33"/>
      <c r="BL13" s="33"/>
      <c r="BM13" s="33"/>
      <c r="BN13" s="33"/>
      <c r="BO13" s="33"/>
      <c r="BP13" s="33"/>
      <c r="BQ13" s="12" t="str">
        <f t="shared" si="10"/>
        <v/>
      </c>
      <c r="BR13" s="13" t="str">
        <f t="shared" si="11"/>
        <v/>
      </c>
      <c r="BT13" s="33"/>
      <c r="BV13" s="33"/>
      <c r="BX13" s="33"/>
      <c r="BZ13" s="33"/>
      <c r="CB13" s="33"/>
      <c r="CC13" s="11" t="str">
        <f t="shared" si="12"/>
        <v/>
      </c>
      <c r="CD13" s="33"/>
      <c r="CE13" s="33"/>
      <c r="CF13" s="33"/>
      <c r="CG13" s="33"/>
      <c r="CH13" s="33"/>
      <c r="CI13" s="33"/>
      <c r="CJ13" s="33"/>
      <c r="CK13" s="33"/>
      <c r="CL13" s="12" t="str">
        <f t="shared" si="13"/>
        <v/>
      </c>
      <c r="CM13" s="13" t="str">
        <f t="shared" si="14"/>
        <v/>
      </c>
      <c r="CO13" s="33"/>
      <c r="CQ13" s="33"/>
      <c r="CS13" s="33"/>
      <c r="CU13" s="33"/>
      <c r="CW13" s="33"/>
      <c r="CX13" s="11" t="str">
        <f t="shared" si="15"/>
        <v/>
      </c>
      <c r="CY13" s="33"/>
      <c r="CZ13" s="33"/>
      <c r="DA13" s="33"/>
      <c r="DB13" s="33"/>
      <c r="DC13" s="33"/>
      <c r="DD13" s="33"/>
      <c r="DE13" s="33"/>
      <c r="DF13" s="33"/>
      <c r="DG13" s="12" t="str">
        <f t="shared" si="16"/>
        <v/>
      </c>
      <c r="DH13" s="13" t="str">
        <f t="shared" si="17"/>
        <v/>
      </c>
      <c r="DJ13" s="33"/>
      <c r="DL13" s="33"/>
      <c r="DN13" s="33"/>
      <c r="DP13" s="33"/>
      <c r="DR13" s="33"/>
      <c r="DS13" s="11" t="str">
        <f t="shared" si="18"/>
        <v/>
      </c>
      <c r="DT13" s="33"/>
      <c r="DU13" s="33"/>
      <c r="DV13" s="33"/>
      <c r="DW13" s="33"/>
      <c r="DX13" s="33"/>
      <c r="DY13" s="33"/>
      <c r="DZ13" s="33"/>
      <c r="EA13" s="33"/>
      <c r="EB13" s="12" t="str">
        <f t="shared" si="19"/>
        <v/>
      </c>
      <c r="EC13" s="13" t="str">
        <f t="shared" si="20"/>
        <v/>
      </c>
      <c r="EE13" s="33"/>
      <c r="EG13" s="33"/>
      <c r="EI13" s="33"/>
      <c r="EK13" s="33"/>
      <c r="EM13" s="33"/>
      <c r="EN13" s="11" t="str">
        <f t="shared" si="21"/>
        <v/>
      </c>
      <c r="EO13" s="33"/>
      <c r="EP13" s="33"/>
      <c r="EQ13" s="33"/>
      <c r="ER13" s="33"/>
      <c r="ES13" s="33"/>
      <c r="ET13" s="33"/>
      <c r="EU13" s="33"/>
      <c r="EV13" s="33"/>
      <c r="EW13" s="12" t="str">
        <f t="shared" si="22"/>
        <v/>
      </c>
      <c r="EX13" s="13" t="str">
        <f t="shared" si="23"/>
        <v/>
      </c>
      <c r="EZ13" s="33"/>
      <c r="FB13" s="33"/>
      <c r="FD13" s="33"/>
      <c r="FF13" s="33"/>
      <c r="FH13" s="33"/>
      <c r="FI13" s="11" t="str">
        <f t="shared" si="24"/>
        <v/>
      </c>
      <c r="FJ13" s="33"/>
      <c r="FK13" s="33"/>
      <c r="FL13" s="33"/>
      <c r="FM13" s="33"/>
      <c r="FN13" s="33"/>
      <c r="FO13" s="33"/>
      <c r="FP13" s="33"/>
      <c r="FQ13" s="33"/>
      <c r="FR13" s="12" t="str">
        <f t="shared" si="25"/>
        <v/>
      </c>
      <c r="FS13" s="13" t="str">
        <f t="shared" si="26"/>
        <v/>
      </c>
      <c r="FU13" s="33"/>
      <c r="FW13" s="33"/>
      <c r="FY13" s="33"/>
      <c r="GA13" s="33"/>
      <c r="GC13" s="33"/>
      <c r="GD13" s="11" t="str">
        <f t="shared" si="27"/>
        <v/>
      </c>
      <c r="GE13" s="33"/>
      <c r="GF13" s="33"/>
      <c r="GG13" s="33"/>
      <c r="GH13" s="33"/>
      <c r="GI13" s="33"/>
      <c r="GJ13" s="33"/>
      <c r="GK13" s="33"/>
      <c r="GL13" s="33"/>
      <c r="GM13" s="12" t="str">
        <f t="shared" si="28"/>
        <v/>
      </c>
      <c r="GN13" s="13" t="str">
        <f t="shared" si="29"/>
        <v/>
      </c>
      <c r="GP13" s="33"/>
      <c r="GR13" s="33"/>
      <c r="GT13" s="33"/>
      <c r="GV13" s="33"/>
      <c r="GX13" s="33"/>
      <c r="GY13" s="11" t="str">
        <f t="shared" si="30"/>
        <v/>
      </c>
      <c r="GZ13" s="33"/>
      <c r="HA13" s="33"/>
      <c r="HB13" s="33"/>
      <c r="HC13" s="33"/>
      <c r="HD13" s="33"/>
      <c r="HE13" s="33"/>
      <c r="HF13" s="33"/>
      <c r="HG13" s="33"/>
      <c r="HH13" s="12" t="str">
        <f t="shared" si="31"/>
        <v/>
      </c>
      <c r="HI13" s="13" t="str">
        <f t="shared" si="32"/>
        <v/>
      </c>
      <c r="HK13" s="33"/>
      <c r="HM13" s="33"/>
      <c r="HO13" s="33"/>
      <c r="HQ13" s="33"/>
      <c r="HS13" s="33"/>
      <c r="HT13" s="11" t="str">
        <f t="shared" si="33"/>
        <v/>
      </c>
      <c r="HU13" s="33"/>
      <c r="HV13" s="33"/>
      <c r="HW13" s="33"/>
      <c r="HX13" s="33"/>
      <c r="HY13" s="33"/>
      <c r="HZ13" s="33"/>
      <c r="IA13" s="33"/>
      <c r="IB13" s="33"/>
      <c r="IC13" s="12" t="str">
        <f t="shared" si="34"/>
        <v/>
      </c>
      <c r="ID13" s="13" t="str">
        <f t="shared" si="35"/>
        <v/>
      </c>
      <c r="IF13" s="33"/>
      <c r="IH13" s="33"/>
      <c r="IJ13" s="33"/>
      <c r="IL13" s="33"/>
      <c r="IN13" s="33"/>
      <c r="IO13" s="11" t="str">
        <f t="shared" si="36"/>
        <v/>
      </c>
      <c r="IP13" s="33"/>
      <c r="IQ13" s="33"/>
      <c r="IR13" s="33"/>
      <c r="IS13" s="33"/>
      <c r="IT13" s="33"/>
      <c r="IU13" s="33"/>
      <c r="IV13" s="33"/>
      <c r="IW13" s="33"/>
      <c r="IX13" s="12" t="str">
        <f t="shared" si="37"/>
        <v/>
      </c>
      <c r="IY13" s="13" t="str">
        <f t="shared" si="38"/>
        <v/>
      </c>
      <c r="JA13" s="33"/>
      <c r="JC13" s="33"/>
      <c r="JE13" s="33"/>
      <c r="JG13" s="33"/>
      <c r="JI13" s="33"/>
      <c r="JJ13" s="11" t="str">
        <f t="shared" si="39"/>
        <v/>
      </c>
      <c r="JK13" s="33"/>
      <c r="JL13" s="33"/>
      <c r="JM13" s="33"/>
      <c r="JN13" s="33"/>
      <c r="JO13" s="33"/>
      <c r="JP13" s="33"/>
      <c r="JQ13" s="33"/>
      <c r="JR13" s="33"/>
      <c r="JS13" s="12" t="str">
        <f t="shared" si="40"/>
        <v/>
      </c>
      <c r="JT13" s="13" t="str">
        <f t="shared" si="41"/>
        <v/>
      </c>
      <c r="JU13" s="3"/>
      <c r="JV13" s="34"/>
      <c r="JW13" s="3"/>
      <c r="JX13" s="34"/>
      <c r="JY13" s="3"/>
      <c r="JZ13" s="34"/>
      <c r="KA13" s="3"/>
      <c r="KB13" s="34"/>
      <c r="KC13" s="3"/>
      <c r="KD13" s="34"/>
      <c r="KE13" s="5" t="str">
        <f t="shared" si="42"/>
        <v/>
      </c>
      <c r="KF13" s="34"/>
      <c r="KG13" s="34"/>
      <c r="KH13" s="34"/>
      <c r="KI13" s="34"/>
      <c r="KJ13" s="34"/>
      <c r="KK13" s="34"/>
      <c r="KL13" s="34"/>
      <c r="KM13" s="34"/>
      <c r="KN13" s="14" t="str">
        <f t="shared" si="43"/>
        <v/>
      </c>
      <c r="KO13" s="15" t="str">
        <f t="shared" si="44"/>
        <v/>
      </c>
    </row>
    <row r="14" spans="1:301" x14ac:dyDescent="0.3">
      <c r="A14" s="3">
        <v>6</v>
      </c>
      <c r="B14" s="4" t="s">
        <v>28</v>
      </c>
      <c r="C14" s="3">
        <v>18</v>
      </c>
      <c r="D14" s="3" t="s">
        <v>29</v>
      </c>
      <c r="E14" s="5" t="str">
        <f t="shared" si="0"/>
        <v/>
      </c>
      <c r="F14" s="10" t="str">
        <f t="shared" si="1"/>
        <v/>
      </c>
      <c r="G14" s="5" t="str">
        <f t="shared" si="2"/>
        <v/>
      </c>
      <c r="I14" s="33"/>
      <c r="K14" s="33"/>
      <c r="M14" s="33"/>
      <c r="O14" s="33"/>
      <c r="Q14" s="33"/>
      <c r="R14" s="11" t="str">
        <f t="shared" si="3"/>
        <v/>
      </c>
      <c r="S14" s="33"/>
      <c r="T14" s="33"/>
      <c r="U14" s="33"/>
      <c r="V14" s="33"/>
      <c r="W14" s="33"/>
      <c r="X14" s="33"/>
      <c r="Y14" s="33"/>
      <c r="Z14" s="33"/>
      <c r="AA14" s="12" t="str">
        <f t="shared" si="4"/>
        <v/>
      </c>
      <c r="AB14" s="13" t="str">
        <f t="shared" si="5"/>
        <v/>
      </c>
      <c r="AD14" s="33"/>
      <c r="AF14" s="33"/>
      <c r="AH14" s="33"/>
      <c r="AJ14" s="33"/>
      <c r="AL14" s="33"/>
      <c r="AM14" s="11" t="str">
        <f t="shared" si="6"/>
        <v/>
      </c>
      <c r="AN14" s="33"/>
      <c r="AO14" s="33"/>
      <c r="AP14" s="33"/>
      <c r="AQ14" s="33"/>
      <c r="AR14" s="33"/>
      <c r="AS14" s="33"/>
      <c r="AT14" s="33"/>
      <c r="AU14" s="33"/>
      <c r="AV14" s="12" t="str">
        <f t="shared" si="7"/>
        <v/>
      </c>
      <c r="AW14" s="13" t="str">
        <f t="shared" si="8"/>
        <v/>
      </c>
      <c r="AY14" s="33"/>
      <c r="BA14" s="33"/>
      <c r="BC14" s="33"/>
      <c r="BE14" s="33"/>
      <c r="BG14" s="33"/>
      <c r="BH14" s="11" t="str">
        <f t="shared" si="9"/>
        <v/>
      </c>
      <c r="BI14" s="33"/>
      <c r="BJ14" s="33"/>
      <c r="BK14" s="33"/>
      <c r="BL14" s="33"/>
      <c r="BM14" s="33"/>
      <c r="BN14" s="33"/>
      <c r="BO14" s="33"/>
      <c r="BP14" s="33"/>
      <c r="BQ14" s="12" t="str">
        <f t="shared" si="10"/>
        <v/>
      </c>
      <c r="BR14" s="13" t="str">
        <f t="shared" si="11"/>
        <v/>
      </c>
      <c r="BT14" s="33"/>
      <c r="BV14" s="33"/>
      <c r="BX14" s="33"/>
      <c r="BZ14" s="33"/>
      <c r="CB14" s="33"/>
      <c r="CC14" s="11" t="str">
        <f t="shared" si="12"/>
        <v/>
      </c>
      <c r="CD14" s="33"/>
      <c r="CE14" s="33"/>
      <c r="CF14" s="33"/>
      <c r="CG14" s="33"/>
      <c r="CH14" s="33"/>
      <c r="CI14" s="33"/>
      <c r="CJ14" s="33"/>
      <c r="CK14" s="33"/>
      <c r="CL14" s="12" t="str">
        <f t="shared" si="13"/>
        <v/>
      </c>
      <c r="CM14" s="13" t="str">
        <f t="shared" si="14"/>
        <v/>
      </c>
      <c r="CO14" s="33"/>
      <c r="CQ14" s="33"/>
      <c r="CS14" s="33"/>
      <c r="CU14" s="33"/>
      <c r="CW14" s="33"/>
      <c r="CX14" s="11" t="str">
        <f t="shared" si="15"/>
        <v/>
      </c>
      <c r="CY14" s="33"/>
      <c r="CZ14" s="33"/>
      <c r="DA14" s="33"/>
      <c r="DB14" s="33"/>
      <c r="DC14" s="33"/>
      <c r="DD14" s="33"/>
      <c r="DE14" s="33"/>
      <c r="DF14" s="33"/>
      <c r="DG14" s="12" t="str">
        <f t="shared" si="16"/>
        <v/>
      </c>
      <c r="DH14" s="13" t="str">
        <f t="shared" si="17"/>
        <v/>
      </c>
      <c r="DJ14" s="33"/>
      <c r="DL14" s="33"/>
      <c r="DN14" s="33"/>
      <c r="DP14" s="33"/>
      <c r="DR14" s="33"/>
      <c r="DS14" s="11" t="str">
        <f t="shared" si="18"/>
        <v/>
      </c>
      <c r="DT14" s="33"/>
      <c r="DU14" s="33"/>
      <c r="DV14" s="33"/>
      <c r="DW14" s="33"/>
      <c r="DX14" s="33"/>
      <c r="DY14" s="33"/>
      <c r="DZ14" s="33"/>
      <c r="EA14" s="33"/>
      <c r="EB14" s="12" t="str">
        <f t="shared" si="19"/>
        <v/>
      </c>
      <c r="EC14" s="13" t="str">
        <f t="shared" si="20"/>
        <v/>
      </c>
      <c r="EE14" s="33"/>
      <c r="EG14" s="33"/>
      <c r="EI14" s="33"/>
      <c r="EK14" s="33"/>
      <c r="EM14" s="33"/>
      <c r="EN14" s="11" t="str">
        <f t="shared" si="21"/>
        <v/>
      </c>
      <c r="EO14" s="33"/>
      <c r="EP14" s="33"/>
      <c r="EQ14" s="33"/>
      <c r="ER14" s="33"/>
      <c r="ES14" s="33"/>
      <c r="ET14" s="33"/>
      <c r="EU14" s="33"/>
      <c r="EV14" s="33"/>
      <c r="EW14" s="12" t="str">
        <f t="shared" si="22"/>
        <v/>
      </c>
      <c r="EX14" s="13" t="str">
        <f t="shared" si="23"/>
        <v/>
      </c>
      <c r="EZ14" s="33"/>
      <c r="FB14" s="33"/>
      <c r="FD14" s="33"/>
      <c r="FF14" s="33"/>
      <c r="FH14" s="33"/>
      <c r="FI14" s="11" t="str">
        <f t="shared" si="24"/>
        <v/>
      </c>
      <c r="FJ14" s="33"/>
      <c r="FK14" s="33"/>
      <c r="FL14" s="33"/>
      <c r="FM14" s="33"/>
      <c r="FN14" s="33"/>
      <c r="FO14" s="33"/>
      <c r="FP14" s="33"/>
      <c r="FQ14" s="33"/>
      <c r="FR14" s="12" t="str">
        <f t="shared" si="25"/>
        <v/>
      </c>
      <c r="FS14" s="13" t="str">
        <f t="shared" si="26"/>
        <v/>
      </c>
      <c r="FU14" s="33"/>
      <c r="FW14" s="33"/>
      <c r="FY14" s="33"/>
      <c r="GA14" s="33"/>
      <c r="GC14" s="33"/>
      <c r="GD14" s="11" t="str">
        <f t="shared" si="27"/>
        <v/>
      </c>
      <c r="GE14" s="33"/>
      <c r="GF14" s="33"/>
      <c r="GG14" s="33"/>
      <c r="GH14" s="33"/>
      <c r="GI14" s="33"/>
      <c r="GJ14" s="33"/>
      <c r="GK14" s="33"/>
      <c r="GL14" s="33"/>
      <c r="GM14" s="12" t="str">
        <f t="shared" si="28"/>
        <v/>
      </c>
      <c r="GN14" s="13" t="str">
        <f t="shared" si="29"/>
        <v/>
      </c>
      <c r="GP14" s="33"/>
      <c r="GR14" s="33"/>
      <c r="GT14" s="33"/>
      <c r="GV14" s="33"/>
      <c r="GX14" s="33"/>
      <c r="GY14" s="11" t="str">
        <f t="shared" si="30"/>
        <v/>
      </c>
      <c r="GZ14" s="33"/>
      <c r="HA14" s="33"/>
      <c r="HB14" s="33"/>
      <c r="HC14" s="33"/>
      <c r="HD14" s="33"/>
      <c r="HE14" s="33"/>
      <c r="HF14" s="33"/>
      <c r="HG14" s="33"/>
      <c r="HH14" s="12" t="str">
        <f t="shared" si="31"/>
        <v/>
      </c>
      <c r="HI14" s="13" t="str">
        <f t="shared" si="32"/>
        <v/>
      </c>
      <c r="HK14" s="33"/>
      <c r="HM14" s="33"/>
      <c r="HO14" s="33"/>
      <c r="HQ14" s="33"/>
      <c r="HS14" s="33"/>
      <c r="HT14" s="11" t="str">
        <f t="shared" si="33"/>
        <v/>
      </c>
      <c r="HU14" s="33"/>
      <c r="HV14" s="33"/>
      <c r="HW14" s="33"/>
      <c r="HX14" s="33"/>
      <c r="HY14" s="33"/>
      <c r="HZ14" s="33"/>
      <c r="IA14" s="33"/>
      <c r="IB14" s="33"/>
      <c r="IC14" s="12" t="str">
        <f t="shared" si="34"/>
        <v/>
      </c>
      <c r="ID14" s="13" t="str">
        <f t="shared" si="35"/>
        <v/>
      </c>
      <c r="IF14" s="33"/>
      <c r="IH14" s="33"/>
      <c r="IJ14" s="33"/>
      <c r="IL14" s="33"/>
      <c r="IN14" s="33"/>
      <c r="IO14" s="11" t="str">
        <f t="shared" si="36"/>
        <v/>
      </c>
      <c r="IP14" s="33"/>
      <c r="IQ14" s="33"/>
      <c r="IR14" s="33"/>
      <c r="IS14" s="33"/>
      <c r="IT14" s="33"/>
      <c r="IU14" s="33"/>
      <c r="IV14" s="33"/>
      <c r="IW14" s="33"/>
      <c r="IX14" s="12" t="str">
        <f t="shared" si="37"/>
        <v/>
      </c>
      <c r="IY14" s="13" t="str">
        <f t="shared" si="38"/>
        <v/>
      </c>
      <c r="JA14" s="33"/>
      <c r="JC14" s="33"/>
      <c r="JE14" s="33"/>
      <c r="JG14" s="33"/>
      <c r="JI14" s="33"/>
      <c r="JJ14" s="11" t="str">
        <f t="shared" si="39"/>
        <v/>
      </c>
      <c r="JK14" s="33"/>
      <c r="JL14" s="33"/>
      <c r="JM14" s="33"/>
      <c r="JN14" s="33"/>
      <c r="JO14" s="33"/>
      <c r="JP14" s="33"/>
      <c r="JQ14" s="33"/>
      <c r="JR14" s="33"/>
      <c r="JS14" s="12" t="str">
        <f t="shared" si="40"/>
        <v/>
      </c>
      <c r="JT14" s="13" t="str">
        <f t="shared" si="41"/>
        <v/>
      </c>
      <c r="JU14" s="3"/>
      <c r="JV14" s="34"/>
      <c r="JW14" s="3"/>
      <c r="JX14" s="34"/>
      <c r="JY14" s="3"/>
      <c r="JZ14" s="34"/>
      <c r="KA14" s="3"/>
      <c r="KB14" s="34"/>
      <c r="KC14" s="3"/>
      <c r="KD14" s="34"/>
      <c r="KE14" s="5" t="str">
        <f t="shared" si="42"/>
        <v/>
      </c>
      <c r="KF14" s="34"/>
      <c r="KG14" s="34"/>
      <c r="KH14" s="34"/>
      <c r="KI14" s="34"/>
      <c r="KJ14" s="34"/>
      <c r="KK14" s="34"/>
      <c r="KL14" s="34"/>
      <c r="KM14" s="34"/>
      <c r="KN14" s="14" t="str">
        <f t="shared" si="43"/>
        <v/>
      </c>
      <c r="KO14" s="15" t="str">
        <f t="shared" si="44"/>
        <v/>
      </c>
    </row>
    <row r="15" spans="1:301" x14ac:dyDescent="0.3">
      <c r="A15" s="3">
        <v>7</v>
      </c>
      <c r="B15" s="4" t="s">
        <v>30</v>
      </c>
      <c r="C15" s="3">
        <v>19</v>
      </c>
      <c r="D15" s="3" t="s">
        <v>31</v>
      </c>
      <c r="E15" s="5" t="str">
        <f t="shared" si="0"/>
        <v/>
      </c>
      <c r="F15" s="10" t="str">
        <f t="shared" si="1"/>
        <v/>
      </c>
      <c r="G15" s="5" t="str">
        <f t="shared" si="2"/>
        <v/>
      </c>
      <c r="I15" s="33"/>
      <c r="K15" s="33"/>
      <c r="M15" s="33"/>
      <c r="O15" s="33"/>
      <c r="Q15" s="33"/>
      <c r="R15" s="11" t="str">
        <f t="shared" si="3"/>
        <v/>
      </c>
      <c r="S15" s="33"/>
      <c r="T15" s="33"/>
      <c r="U15" s="33"/>
      <c r="V15" s="33"/>
      <c r="W15" s="33"/>
      <c r="X15" s="33"/>
      <c r="Y15" s="33"/>
      <c r="Z15" s="33"/>
      <c r="AA15" s="12" t="str">
        <f t="shared" si="4"/>
        <v/>
      </c>
      <c r="AB15" s="13" t="str">
        <f t="shared" si="5"/>
        <v/>
      </c>
      <c r="AD15" s="33"/>
      <c r="AF15" s="33"/>
      <c r="AH15" s="33"/>
      <c r="AJ15" s="33"/>
      <c r="AL15" s="33"/>
      <c r="AM15" s="11" t="str">
        <f t="shared" si="6"/>
        <v/>
      </c>
      <c r="AN15" s="33"/>
      <c r="AO15" s="33"/>
      <c r="AP15" s="33"/>
      <c r="AQ15" s="33"/>
      <c r="AR15" s="33"/>
      <c r="AS15" s="33"/>
      <c r="AT15" s="33"/>
      <c r="AU15" s="33"/>
      <c r="AV15" s="12" t="str">
        <f t="shared" si="7"/>
        <v/>
      </c>
      <c r="AW15" s="13" t="str">
        <f t="shared" si="8"/>
        <v/>
      </c>
      <c r="AY15" s="33"/>
      <c r="BA15" s="33"/>
      <c r="BC15" s="33"/>
      <c r="BE15" s="33"/>
      <c r="BG15" s="33"/>
      <c r="BH15" s="11" t="str">
        <f t="shared" si="9"/>
        <v/>
      </c>
      <c r="BI15" s="33"/>
      <c r="BJ15" s="33"/>
      <c r="BK15" s="33"/>
      <c r="BL15" s="33"/>
      <c r="BM15" s="33"/>
      <c r="BN15" s="33"/>
      <c r="BO15" s="33"/>
      <c r="BP15" s="33"/>
      <c r="BQ15" s="12" t="str">
        <f t="shared" si="10"/>
        <v/>
      </c>
      <c r="BR15" s="13" t="str">
        <f t="shared" si="11"/>
        <v/>
      </c>
      <c r="BT15" s="33"/>
      <c r="BV15" s="33"/>
      <c r="BX15" s="33"/>
      <c r="BZ15" s="33"/>
      <c r="CB15" s="33"/>
      <c r="CC15" s="11" t="str">
        <f t="shared" si="12"/>
        <v/>
      </c>
      <c r="CD15" s="33"/>
      <c r="CE15" s="33"/>
      <c r="CF15" s="33"/>
      <c r="CG15" s="33"/>
      <c r="CH15" s="33"/>
      <c r="CI15" s="33"/>
      <c r="CJ15" s="33"/>
      <c r="CK15" s="33"/>
      <c r="CL15" s="12" t="str">
        <f t="shared" si="13"/>
        <v/>
      </c>
      <c r="CM15" s="13" t="str">
        <f t="shared" si="14"/>
        <v/>
      </c>
      <c r="CO15" s="33"/>
      <c r="CQ15" s="33"/>
      <c r="CS15" s="33"/>
      <c r="CU15" s="33"/>
      <c r="CW15" s="33"/>
      <c r="CX15" s="11" t="str">
        <f t="shared" si="15"/>
        <v/>
      </c>
      <c r="CY15" s="33"/>
      <c r="CZ15" s="33"/>
      <c r="DA15" s="33"/>
      <c r="DB15" s="33"/>
      <c r="DC15" s="33"/>
      <c r="DD15" s="33"/>
      <c r="DE15" s="33"/>
      <c r="DF15" s="33"/>
      <c r="DG15" s="12" t="str">
        <f t="shared" si="16"/>
        <v/>
      </c>
      <c r="DH15" s="13" t="str">
        <f t="shared" si="17"/>
        <v/>
      </c>
      <c r="DJ15" s="33"/>
      <c r="DL15" s="33"/>
      <c r="DN15" s="33"/>
      <c r="DP15" s="33"/>
      <c r="DR15" s="33"/>
      <c r="DS15" s="11" t="str">
        <f t="shared" si="18"/>
        <v/>
      </c>
      <c r="DT15" s="33"/>
      <c r="DU15" s="33"/>
      <c r="DV15" s="33"/>
      <c r="DW15" s="33"/>
      <c r="DX15" s="33"/>
      <c r="DY15" s="33"/>
      <c r="DZ15" s="33"/>
      <c r="EA15" s="33"/>
      <c r="EB15" s="12" t="str">
        <f t="shared" si="19"/>
        <v/>
      </c>
      <c r="EC15" s="13" t="str">
        <f t="shared" si="20"/>
        <v/>
      </c>
      <c r="EE15" s="33"/>
      <c r="EG15" s="33"/>
      <c r="EI15" s="33"/>
      <c r="EK15" s="33"/>
      <c r="EM15" s="33"/>
      <c r="EN15" s="11" t="str">
        <f t="shared" si="21"/>
        <v/>
      </c>
      <c r="EO15" s="33"/>
      <c r="EP15" s="33"/>
      <c r="EQ15" s="33"/>
      <c r="ER15" s="33"/>
      <c r="ES15" s="33"/>
      <c r="ET15" s="33"/>
      <c r="EU15" s="33"/>
      <c r="EV15" s="33"/>
      <c r="EW15" s="12" t="str">
        <f t="shared" si="22"/>
        <v/>
      </c>
      <c r="EX15" s="13" t="str">
        <f t="shared" si="23"/>
        <v/>
      </c>
      <c r="EZ15" s="33"/>
      <c r="FB15" s="33"/>
      <c r="FD15" s="33"/>
      <c r="FF15" s="33"/>
      <c r="FH15" s="33"/>
      <c r="FI15" s="11" t="str">
        <f t="shared" si="24"/>
        <v/>
      </c>
      <c r="FJ15" s="33"/>
      <c r="FK15" s="33"/>
      <c r="FL15" s="33"/>
      <c r="FM15" s="33"/>
      <c r="FN15" s="33"/>
      <c r="FO15" s="33"/>
      <c r="FP15" s="33"/>
      <c r="FQ15" s="33"/>
      <c r="FR15" s="12" t="str">
        <f t="shared" si="25"/>
        <v/>
      </c>
      <c r="FS15" s="13" t="str">
        <f t="shared" si="26"/>
        <v/>
      </c>
      <c r="FU15" s="33"/>
      <c r="FW15" s="33"/>
      <c r="FY15" s="33"/>
      <c r="GA15" s="33"/>
      <c r="GC15" s="33"/>
      <c r="GD15" s="11" t="str">
        <f t="shared" si="27"/>
        <v/>
      </c>
      <c r="GE15" s="33"/>
      <c r="GF15" s="33"/>
      <c r="GG15" s="33"/>
      <c r="GH15" s="33"/>
      <c r="GI15" s="33"/>
      <c r="GJ15" s="33"/>
      <c r="GK15" s="33"/>
      <c r="GL15" s="33"/>
      <c r="GM15" s="12" t="str">
        <f t="shared" si="28"/>
        <v/>
      </c>
      <c r="GN15" s="13" t="str">
        <f t="shared" si="29"/>
        <v/>
      </c>
      <c r="GP15" s="33"/>
      <c r="GR15" s="33"/>
      <c r="GT15" s="33"/>
      <c r="GV15" s="33"/>
      <c r="GX15" s="33"/>
      <c r="GY15" s="11" t="str">
        <f t="shared" si="30"/>
        <v/>
      </c>
      <c r="GZ15" s="33"/>
      <c r="HA15" s="33"/>
      <c r="HB15" s="33"/>
      <c r="HC15" s="33"/>
      <c r="HD15" s="33"/>
      <c r="HE15" s="33"/>
      <c r="HF15" s="33"/>
      <c r="HG15" s="33"/>
      <c r="HH15" s="12" t="str">
        <f t="shared" si="31"/>
        <v/>
      </c>
      <c r="HI15" s="13" t="str">
        <f t="shared" si="32"/>
        <v/>
      </c>
      <c r="HK15" s="33"/>
      <c r="HM15" s="33"/>
      <c r="HO15" s="33"/>
      <c r="HQ15" s="33"/>
      <c r="HS15" s="33"/>
      <c r="HT15" s="11" t="str">
        <f t="shared" si="33"/>
        <v/>
      </c>
      <c r="HU15" s="33"/>
      <c r="HV15" s="33"/>
      <c r="HW15" s="33"/>
      <c r="HX15" s="33"/>
      <c r="HY15" s="33"/>
      <c r="HZ15" s="33"/>
      <c r="IA15" s="33"/>
      <c r="IB15" s="33"/>
      <c r="IC15" s="12" t="str">
        <f t="shared" si="34"/>
        <v/>
      </c>
      <c r="ID15" s="13" t="str">
        <f t="shared" si="35"/>
        <v/>
      </c>
      <c r="IF15" s="33"/>
      <c r="IH15" s="33"/>
      <c r="IJ15" s="33"/>
      <c r="IL15" s="33"/>
      <c r="IN15" s="33"/>
      <c r="IO15" s="11" t="str">
        <f t="shared" si="36"/>
        <v/>
      </c>
      <c r="IP15" s="33"/>
      <c r="IQ15" s="33"/>
      <c r="IR15" s="33"/>
      <c r="IS15" s="33"/>
      <c r="IT15" s="33"/>
      <c r="IU15" s="33"/>
      <c r="IV15" s="33"/>
      <c r="IW15" s="33"/>
      <c r="IX15" s="12" t="str">
        <f t="shared" si="37"/>
        <v/>
      </c>
      <c r="IY15" s="13" t="str">
        <f t="shared" si="38"/>
        <v/>
      </c>
      <c r="JA15" s="33"/>
      <c r="JC15" s="33"/>
      <c r="JE15" s="33"/>
      <c r="JG15" s="33"/>
      <c r="JI15" s="33"/>
      <c r="JJ15" s="11" t="str">
        <f t="shared" si="39"/>
        <v/>
      </c>
      <c r="JK15" s="33"/>
      <c r="JL15" s="33"/>
      <c r="JM15" s="33"/>
      <c r="JN15" s="33"/>
      <c r="JO15" s="33"/>
      <c r="JP15" s="33"/>
      <c r="JQ15" s="33"/>
      <c r="JR15" s="33"/>
      <c r="JS15" s="12" t="str">
        <f t="shared" si="40"/>
        <v/>
      </c>
      <c r="JT15" s="13" t="str">
        <f t="shared" si="41"/>
        <v/>
      </c>
      <c r="JU15" s="3"/>
      <c r="JV15" s="34"/>
      <c r="JW15" s="3"/>
      <c r="JX15" s="34"/>
      <c r="JY15" s="3"/>
      <c r="JZ15" s="34"/>
      <c r="KA15" s="3"/>
      <c r="KB15" s="34"/>
      <c r="KC15" s="3"/>
      <c r="KD15" s="34"/>
      <c r="KE15" s="5" t="str">
        <f t="shared" si="42"/>
        <v/>
      </c>
      <c r="KF15" s="34"/>
      <c r="KG15" s="34"/>
      <c r="KH15" s="34"/>
      <c r="KI15" s="34"/>
      <c r="KJ15" s="34"/>
      <c r="KK15" s="34"/>
      <c r="KL15" s="34"/>
      <c r="KM15" s="34"/>
      <c r="KN15" s="14" t="str">
        <f t="shared" si="43"/>
        <v/>
      </c>
      <c r="KO15" s="15" t="str">
        <f t="shared" si="44"/>
        <v/>
      </c>
    </row>
    <row r="16" spans="1:301" x14ac:dyDescent="0.3">
      <c r="A16" s="3">
        <v>8</v>
      </c>
      <c r="B16" s="4" t="s">
        <v>32</v>
      </c>
      <c r="C16" s="3">
        <v>20</v>
      </c>
      <c r="D16" s="3" t="s">
        <v>33</v>
      </c>
      <c r="E16" s="5" t="str">
        <f t="shared" si="0"/>
        <v/>
      </c>
      <c r="F16" s="10" t="str">
        <f t="shared" si="1"/>
        <v/>
      </c>
      <c r="G16" s="5" t="str">
        <f t="shared" si="2"/>
        <v/>
      </c>
      <c r="I16" s="33"/>
      <c r="K16" s="33"/>
      <c r="M16" s="33"/>
      <c r="O16" s="33"/>
      <c r="Q16" s="33"/>
      <c r="R16" s="11" t="str">
        <f t="shared" si="3"/>
        <v/>
      </c>
      <c r="S16" s="33"/>
      <c r="T16" s="33"/>
      <c r="U16" s="33"/>
      <c r="V16" s="33"/>
      <c r="W16" s="33"/>
      <c r="X16" s="33"/>
      <c r="Y16" s="33"/>
      <c r="Z16" s="33"/>
      <c r="AA16" s="12" t="str">
        <f t="shared" si="4"/>
        <v/>
      </c>
      <c r="AB16" s="13" t="str">
        <f t="shared" si="5"/>
        <v/>
      </c>
      <c r="AD16" s="33"/>
      <c r="AF16" s="33"/>
      <c r="AH16" s="33"/>
      <c r="AJ16" s="33"/>
      <c r="AL16" s="33"/>
      <c r="AM16" s="11" t="str">
        <f t="shared" si="6"/>
        <v/>
      </c>
      <c r="AN16" s="33"/>
      <c r="AO16" s="33"/>
      <c r="AP16" s="33"/>
      <c r="AQ16" s="33"/>
      <c r="AR16" s="33"/>
      <c r="AS16" s="33"/>
      <c r="AT16" s="33"/>
      <c r="AU16" s="33"/>
      <c r="AV16" s="12" t="str">
        <f t="shared" si="7"/>
        <v/>
      </c>
      <c r="AW16" s="13" t="str">
        <f t="shared" si="8"/>
        <v/>
      </c>
      <c r="AY16" s="33"/>
      <c r="BA16" s="33"/>
      <c r="BC16" s="33"/>
      <c r="BE16" s="33"/>
      <c r="BG16" s="33"/>
      <c r="BH16" s="11" t="str">
        <f t="shared" si="9"/>
        <v/>
      </c>
      <c r="BI16" s="33"/>
      <c r="BJ16" s="33"/>
      <c r="BK16" s="33"/>
      <c r="BL16" s="33"/>
      <c r="BM16" s="33"/>
      <c r="BN16" s="33"/>
      <c r="BO16" s="33"/>
      <c r="BP16" s="33"/>
      <c r="BQ16" s="12" t="str">
        <f t="shared" si="10"/>
        <v/>
      </c>
      <c r="BR16" s="13" t="str">
        <f t="shared" si="11"/>
        <v/>
      </c>
      <c r="BT16" s="33"/>
      <c r="BV16" s="33"/>
      <c r="BX16" s="33"/>
      <c r="BZ16" s="33"/>
      <c r="CB16" s="33"/>
      <c r="CC16" s="11" t="str">
        <f t="shared" si="12"/>
        <v/>
      </c>
      <c r="CD16" s="33"/>
      <c r="CE16" s="33"/>
      <c r="CF16" s="33"/>
      <c r="CG16" s="33"/>
      <c r="CH16" s="33"/>
      <c r="CI16" s="33"/>
      <c r="CJ16" s="33"/>
      <c r="CK16" s="33"/>
      <c r="CL16" s="12" t="str">
        <f t="shared" si="13"/>
        <v/>
      </c>
      <c r="CM16" s="13" t="str">
        <f t="shared" si="14"/>
        <v/>
      </c>
      <c r="CO16" s="33"/>
      <c r="CQ16" s="33"/>
      <c r="CS16" s="33"/>
      <c r="CU16" s="33"/>
      <c r="CW16" s="33"/>
      <c r="CX16" s="11" t="str">
        <f t="shared" si="15"/>
        <v/>
      </c>
      <c r="CY16" s="33"/>
      <c r="CZ16" s="33"/>
      <c r="DA16" s="33"/>
      <c r="DB16" s="33"/>
      <c r="DC16" s="33"/>
      <c r="DD16" s="33"/>
      <c r="DE16" s="33"/>
      <c r="DF16" s="33"/>
      <c r="DG16" s="12" t="str">
        <f t="shared" si="16"/>
        <v/>
      </c>
      <c r="DH16" s="13" t="str">
        <f t="shared" si="17"/>
        <v/>
      </c>
      <c r="DJ16" s="33"/>
      <c r="DL16" s="33"/>
      <c r="DN16" s="33"/>
      <c r="DP16" s="33"/>
      <c r="DR16" s="33"/>
      <c r="DS16" s="11" t="str">
        <f t="shared" si="18"/>
        <v/>
      </c>
      <c r="DT16" s="33"/>
      <c r="DU16" s="33"/>
      <c r="DV16" s="33"/>
      <c r="DW16" s="33"/>
      <c r="DX16" s="33"/>
      <c r="DY16" s="33"/>
      <c r="DZ16" s="33"/>
      <c r="EA16" s="33"/>
      <c r="EB16" s="12" t="str">
        <f t="shared" si="19"/>
        <v/>
      </c>
      <c r="EC16" s="13" t="str">
        <f t="shared" si="20"/>
        <v/>
      </c>
      <c r="EE16" s="33"/>
      <c r="EG16" s="33"/>
      <c r="EI16" s="33"/>
      <c r="EK16" s="33"/>
      <c r="EM16" s="33"/>
      <c r="EN16" s="11" t="str">
        <f t="shared" si="21"/>
        <v/>
      </c>
      <c r="EO16" s="33"/>
      <c r="EP16" s="33"/>
      <c r="EQ16" s="33"/>
      <c r="ER16" s="33"/>
      <c r="ES16" s="33"/>
      <c r="ET16" s="33"/>
      <c r="EU16" s="33"/>
      <c r="EV16" s="33"/>
      <c r="EW16" s="12" t="str">
        <f t="shared" si="22"/>
        <v/>
      </c>
      <c r="EX16" s="13" t="str">
        <f t="shared" si="23"/>
        <v/>
      </c>
      <c r="EZ16" s="33"/>
      <c r="FB16" s="33"/>
      <c r="FD16" s="33"/>
      <c r="FF16" s="33"/>
      <c r="FH16" s="33"/>
      <c r="FI16" s="11" t="str">
        <f t="shared" si="24"/>
        <v/>
      </c>
      <c r="FJ16" s="33"/>
      <c r="FK16" s="33"/>
      <c r="FL16" s="33"/>
      <c r="FM16" s="33"/>
      <c r="FN16" s="33"/>
      <c r="FO16" s="33"/>
      <c r="FP16" s="33"/>
      <c r="FQ16" s="33"/>
      <c r="FR16" s="12" t="str">
        <f t="shared" si="25"/>
        <v/>
      </c>
      <c r="FS16" s="13" t="str">
        <f t="shared" si="26"/>
        <v/>
      </c>
      <c r="FU16" s="33"/>
      <c r="FW16" s="33"/>
      <c r="FY16" s="33"/>
      <c r="GA16" s="33"/>
      <c r="GC16" s="33"/>
      <c r="GD16" s="11" t="str">
        <f t="shared" si="27"/>
        <v/>
      </c>
      <c r="GE16" s="33"/>
      <c r="GF16" s="33"/>
      <c r="GG16" s="33"/>
      <c r="GH16" s="33"/>
      <c r="GI16" s="33"/>
      <c r="GJ16" s="33"/>
      <c r="GK16" s="33"/>
      <c r="GL16" s="33"/>
      <c r="GM16" s="12" t="str">
        <f t="shared" si="28"/>
        <v/>
      </c>
      <c r="GN16" s="13" t="str">
        <f t="shared" si="29"/>
        <v/>
      </c>
      <c r="GP16" s="33"/>
      <c r="GR16" s="33"/>
      <c r="GT16" s="33"/>
      <c r="GV16" s="33"/>
      <c r="GX16" s="33"/>
      <c r="GY16" s="11" t="str">
        <f t="shared" si="30"/>
        <v/>
      </c>
      <c r="GZ16" s="33"/>
      <c r="HA16" s="33"/>
      <c r="HB16" s="33"/>
      <c r="HC16" s="33"/>
      <c r="HD16" s="33"/>
      <c r="HE16" s="33"/>
      <c r="HF16" s="33"/>
      <c r="HG16" s="33"/>
      <c r="HH16" s="12" t="str">
        <f t="shared" si="31"/>
        <v/>
      </c>
      <c r="HI16" s="13" t="str">
        <f t="shared" si="32"/>
        <v/>
      </c>
      <c r="HK16" s="33"/>
      <c r="HM16" s="33"/>
      <c r="HO16" s="33"/>
      <c r="HQ16" s="33"/>
      <c r="HS16" s="33"/>
      <c r="HT16" s="11" t="str">
        <f t="shared" si="33"/>
        <v/>
      </c>
      <c r="HU16" s="33"/>
      <c r="HV16" s="33"/>
      <c r="HW16" s="33"/>
      <c r="HX16" s="33"/>
      <c r="HY16" s="33"/>
      <c r="HZ16" s="33"/>
      <c r="IA16" s="33"/>
      <c r="IB16" s="33"/>
      <c r="IC16" s="12" t="str">
        <f t="shared" si="34"/>
        <v/>
      </c>
      <c r="ID16" s="13" t="str">
        <f t="shared" si="35"/>
        <v/>
      </c>
      <c r="IF16" s="33"/>
      <c r="IH16" s="33"/>
      <c r="IJ16" s="33"/>
      <c r="IL16" s="33"/>
      <c r="IN16" s="33"/>
      <c r="IO16" s="11" t="str">
        <f t="shared" si="36"/>
        <v/>
      </c>
      <c r="IP16" s="33"/>
      <c r="IQ16" s="33"/>
      <c r="IR16" s="33"/>
      <c r="IS16" s="33"/>
      <c r="IT16" s="33"/>
      <c r="IU16" s="33"/>
      <c r="IV16" s="33"/>
      <c r="IW16" s="33"/>
      <c r="IX16" s="12" t="str">
        <f t="shared" si="37"/>
        <v/>
      </c>
      <c r="IY16" s="13" t="str">
        <f t="shared" si="38"/>
        <v/>
      </c>
      <c r="JA16" s="33"/>
      <c r="JC16" s="33"/>
      <c r="JE16" s="33"/>
      <c r="JG16" s="33"/>
      <c r="JI16" s="33"/>
      <c r="JJ16" s="11" t="str">
        <f t="shared" si="39"/>
        <v/>
      </c>
      <c r="JK16" s="33"/>
      <c r="JL16" s="33"/>
      <c r="JM16" s="33"/>
      <c r="JN16" s="33"/>
      <c r="JO16" s="33"/>
      <c r="JP16" s="33"/>
      <c r="JQ16" s="33"/>
      <c r="JR16" s="33"/>
      <c r="JS16" s="12" t="str">
        <f t="shared" si="40"/>
        <v/>
      </c>
      <c r="JT16" s="13" t="str">
        <f t="shared" si="41"/>
        <v/>
      </c>
      <c r="JU16" s="3"/>
      <c r="JV16" s="34"/>
      <c r="JW16" s="3"/>
      <c r="JX16" s="34"/>
      <c r="JY16" s="3"/>
      <c r="JZ16" s="34"/>
      <c r="KA16" s="3"/>
      <c r="KB16" s="34"/>
      <c r="KC16" s="3"/>
      <c r="KD16" s="34"/>
      <c r="KE16" s="5" t="str">
        <f t="shared" si="42"/>
        <v/>
      </c>
      <c r="KF16" s="34"/>
      <c r="KG16" s="34"/>
      <c r="KH16" s="34"/>
      <c r="KI16" s="34"/>
      <c r="KJ16" s="34"/>
      <c r="KK16" s="34"/>
      <c r="KL16" s="34"/>
      <c r="KM16" s="34"/>
      <c r="KN16" s="14" t="str">
        <f t="shared" si="43"/>
        <v/>
      </c>
      <c r="KO16" s="15" t="str">
        <f t="shared" si="44"/>
        <v/>
      </c>
    </row>
    <row r="17" spans="1:301" x14ac:dyDescent="0.3">
      <c r="A17" s="3">
        <v>9</v>
      </c>
      <c r="B17" s="4" t="s">
        <v>34</v>
      </c>
      <c r="C17" s="3">
        <v>21</v>
      </c>
      <c r="D17" s="3" t="s">
        <v>35</v>
      </c>
      <c r="E17" s="5" t="str">
        <f t="shared" si="0"/>
        <v/>
      </c>
      <c r="F17" s="10" t="str">
        <f t="shared" si="1"/>
        <v/>
      </c>
      <c r="G17" s="5" t="str">
        <f t="shared" si="2"/>
        <v/>
      </c>
      <c r="I17" s="33"/>
      <c r="K17" s="33"/>
      <c r="M17" s="33"/>
      <c r="O17" s="33"/>
      <c r="Q17" s="33"/>
      <c r="R17" s="11" t="str">
        <f t="shared" si="3"/>
        <v/>
      </c>
      <c r="S17" s="33"/>
      <c r="T17" s="33"/>
      <c r="U17" s="33"/>
      <c r="V17" s="33"/>
      <c r="W17" s="33"/>
      <c r="X17" s="33"/>
      <c r="Y17" s="33"/>
      <c r="Z17" s="33"/>
      <c r="AA17" s="12" t="str">
        <f t="shared" si="4"/>
        <v/>
      </c>
      <c r="AB17" s="13" t="str">
        <f t="shared" si="5"/>
        <v/>
      </c>
      <c r="AD17" s="33"/>
      <c r="AF17" s="33"/>
      <c r="AH17" s="33"/>
      <c r="AJ17" s="33"/>
      <c r="AL17" s="33"/>
      <c r="AM17" s="11" t="str">
        <f t="shared" si="6"/>
        <v/>
      </c>
      <c r="AN17" s="33"/>
      <c r="AO17" s="33"/>
      <c r="AP17" s="33"/>
      <c r="AQ17" s="33"/>
      <c r="AR17" s="33"/>
      <c r="AS17" s="33"/>
      <c r="AT17" s="33"/>
      <c r="AU17" s="33"/>
      <c r="AV17" s="12" t="str">
        <f t="shared" si="7"/>
        <v/>
      </c>
      <c r="AW17" s="13" t="str">
        <f t="shared" si="8"/>
        <v/>
      </c>
      <c r="AY17" s="33"/>
      <c r="BA17" s="33"/>
      <c r="BC17" s="33"/>
      <c r="BE17" s="33"/>
      <c r="BG17" s="33"/>
      <c r="BH17" s="11" t="str">
        <f t="shared" si="9"/>
        <v/>
      </c>
      <c r="BI17" s="33"/>
      <c r="BJ17" s="33"/>
      <c r="BK17" s="33"/>
      <c r="BL17" s="33"/>
      <c r="BM17" s="33"/>
      <c r="BN17" s="33"/>
      <c r="BO17" s="33"/>
      <c r="BP17" s="33"/>
      <c r="BQ17" s="12" t="str">
        <f t="shared" si="10"/>
        <v/>
      </c>
      <c r="BR17" s="13" t="str">
        <f t="shared" si="11"/>
        <v/>
      </c>
      <c r="BT17" s="33"/>
      <c r="BV17" s="33"/>
      <c r="BX17" s="33"/>
      <c r="BZ17" s="33"/>
      <c r="CB17" s="33"/>
      <c r="CC17" s="11" t="str">
        <f t="shared" si="12"/>
        <v/>
      </c>
      <c r="CD17" s="33"/>
      <c r="CE17" s="33"/>
      <c r="CF17" s="33"/>
      <c r="CG17" s="33"/>
      <c r="CH17" s="33"/>
      <c r="CI17" s="33"/>
      <c r="CJ17" s="33"/>
      <c r="CK17" s="33"/>
      <c r="CL17" s="12" t="str">
        <f t="shared" si="13"/>
        <v/>
      </c>
      <c r="CM17" s="13" t="str">
        <f t="shared" si="14"/>
        <v/>
      </c>
      <c r="CO17" s="33"/>
      <c r="CQ17" s="33"/>
      <c r="CS17" s="33"/>
      <c r="CU17" s="33"/>
      <c r="CW17" s="33"/>
      <c r="CX17" s="11" t="str">
        <f t="shared" si="15"/>
        <v/>
      </c>
      <c r="CY17" s="33"/>
      <c r="CZ17" s="33"/>
      <c r="DA17" s="33"/>
      <c r="DB17" s="33"/>
      <c r="DC17" s="33"/>
      <c r="DD17" s="33"/>
      <c r="DE17" s="33"/>
      <c r="DF17" s="33"/>
      <c r="DG17" s="12" t="str">
        <f t="shared" si="16"/>
        <v/>
      </c>
      <c r="DH17" s="13" t="str">
        <f t="shared" si="17"/>
        <v/>
      </c>
      <c r="DJ17" s="33"/>
      <c r="DL17" s="33"/>
      <c r="DN17" s="33"/>
      <c r="DP17" s="33"/>
      <c r="DR17" s="33"/>
      <c r="DS17" s="11" t="str">
        <f t="shared" si="18"/>
        <v/>
      </c>
      <c r="DT17" s="33"/>
      <c r="DU17" s="33"/>
      <c r="DV17" s="33"/>
      <c r="DW17" s="33"/>
      <c r="DX17" s="33"/>
      <c r="DY17" s="33"/>
      <c r="DZ17" s="33"/>
      <c r="EA17" s="33"/>
      <c r="EB17" s="12" t="str">
        <f t="shared" si="19"/>
        <v/>
      </c>
      <c r="EC17" s="13" t="str">
        <f t="shared" si="20"/>
        <v/>
      </c>
      <c r="EE17" s="33"/>
      <c r="EG17" s="33"/>
      <c r="EI17" s="33"/>
      <c r="EK17" s="33"/>
      <c r="EM17" s="33"/>
      <c r="EN17" s="11" t="str">
        <f t="shared" si="21"/>
        <v/>
      </c>
      <c r="EO17" s="33"/>
      <c r="EP17" s="33"/>
      <c r="EQ17" s="33"/>
      <c r="ER17" s="33"/>
      <c r="ES17" s="33"/>
      <c r="ET17" s="33"/>
      <c r="EU17" s="33"/>
      <c r="EV17" s="33"/>
      <c r="EW17" s="12" t="str">
        <f t="shared" si="22"/>
        <v/>
      </c>
      <c r="EX17" s="13" t="str">
        <f t="shared" si="23"/>
        <v/>
      </c>
      <c r="EZ17" s="33"/>
      <c r="FB17" s="33"/>
      <c r="FD17" s="33"/>
      <c r="FF17" s="33"/>
      <c r="FH17" s="33"/>
      <c r="FI17" s="11" t="str">
        <f t="shared" si="24"/>
        <v/>
      </c>
      <c r="FJ17" s="33"/>
      <c r="FK17" s="33"/>
      <c r="FL17" s="33"/>
      <c r="FM17" s="33"/>
      <c r="FN17" s="33"/>
      <c r="FO17" s="33"/>
      <c r="FP17" s="33"/>
      <c r="FQ17" s="33"/>
      <c r="FR17" s="12" t="str">
        <f t="shared" si="25"/>
        <v/>
      </c>
      <c r="FS17" s="13" t="str">
        <f t="shared" si="26"/>
        <v/>
      </c>
      <c r="FU17" s="33"/>
      <c r="FW17" s="33"/>
      <c r="FY17" s="33"/>
      <c r="GA17" s="33"/>
      <c r="GC17" s="33"/>
      <c r="GD17" s="11" t="str">
        <f t="shared" si="27"/>
        <v/>
      </c>
      <c r="GE17" s="33"/>
      <c r="GF17" s="33"/>
      <c r="GG17" s="33"/>
      <c r="GH17" s="33"/>
      <c r="GI17" s="33"/>
      <c r="GJ17" s="33"/>
      <c r="GK17" s="33"/>
      <c r="GL17" s="33"/>
      <c r="GM17" s="12" t="str">
        <f t="shared" si="28"/>
        <v/>
      </c>
      <c r="GN17" s="13" t="str">
        <f t="shared" si="29"/>
        <v/>
      </c>
      <c r="GP17" s="33"/>
      <c r="GR17" s="33"/>
      <c r="GT17" s="33"/>
      <c r="GV17" s="33"/>
      <c r="GX17" s="33"/>
      <c r="GY17" s="11" t="str">
        <f t="shared" si="30"/>
        <v/>
      </c>
      <c r="GZ17" s="33"/>
      <c r="HA17" s="33"/>
      <c r="HB17" s="33"/>
      <c r="HC17" s="33"/>
      <c r="HD17" s="33"/>
      <c r="HE17" s="33"/>
      <c r="HF17" s="33"/>
      <c r="HG17" s="33"/>
      <c r="HH17" s="12" t="str">
        <f t="shared" si="31"/>
        <v/>
      </c>
      <c r="HI17" s="13" t="str">
        <f t="shared" si="32"/>
        <v/>
      </c>
      <c r="HK17" s="33"/>
      <c r="HM17" s="33"/>
      <c r="HO17" s="33"/>
      <c r="HQ17" s="33"/>
      <c r="HS17" s="33"/>
      <c r="HT17" s="11" t="str">
        <f t="shared" si="33"/>
        <v/>
      </c>
      <c r="HU17" s="33"/>
      <c r="HV17" s="33"/>
      <c r="HW17" s="33"/>
      <c r="HX17" s="33"/>
      <c r="HY17" s="33"/>
      <c r="HZ17" s="33"/>
      <c r="IA17" s="33"/>
      <c r="IB17" s="33"/>
      <c r="IC17" s="12" t="str">
        <f t="shared" si="34"/>
        <v/>
      </c>
      <c r="ID17" s="13" t="str">
        <f t="shared" si="35"/>
        <v/>
      </c>
      <c r="IF17" s="33"/>
      <c r="IH17" s="33"/>
      <c r="IJ17" s="33"/>
      <c r="IL17" s="33"/>
      <c r="IN17" s="33"/>
      <c r="IO17" s="11" t="str">
        <f t="shared" si="36"/>
        <v/>
      </c>
      <c r="IP17" s="33"/>
      <c r="IQ17" s="33"/>
      <c r="IR17" s="33"/>
      <c r="IS17" s="33"/>
      <c r="IT17" s="33"/>
      <c r="IU17" s="33"/>
      <c r="IV17" s="33"/>
      <c r="IW17" s="33"/>
      <c r="IX17" s="12" t="str">
        <f t="shared" si="37"/>
        <v/>
      </c>
      <c r="IY17" s="13" t="str">
        <f t="shared" si="38"/>
        <v/>
      </c>
      <c r="JA17" s="33"/>
      <c r="JC17" s="33"/>
      <c r="JE17" s="33"/>
      <c r="JG17" s="33"/>
      <c r="JI17" s="33"/>
      <c r="JJ17" s="11" t="str">
        <f t="shared" si="39"/>
        <v/>
      </c>
      <c r="JK17" s="33"/>
      <c r="JL17" s="33"/>
      <c r="JM17" s="33"/>
      <c r="JN17" s="33"/>
      <c r="JO17" s="33"/>
      <c r="JP17" s="33"/>
      <c r="JQ17" s="33"/>
      <c r="JR17" s="33"/>
      <c r="JS17" s="12" t="str">
        <f t="shared" si="40"/>
        <v/>
      </c>
      <c r="JT17" s="13" t="str">
        <f t="shared" si="41"/>
        <v/>
      </c>
      <c r="JU17" s="3"/>
      <c r="JV17" s="34"/>
      <c r="JW17" s="3"/>
      <c r="JX17" s="34"/>
      <c r="JY17" s="3"/>
      <c r="JZ17" s="34"/>
      <c r="KA17" s="3"/>
      <c r="KB17" s="34"/>
      <c r="KC17" s="3"/>
      <c r="KD17" s="34"/>
      <c r="KE17" s="5" t="str">
        <f t="shared" si="42"/>
        <v/>
      </c>
      <c r="KF17" s="34"/>
      <c r="KG17" s="34"/>
      <c r="KH17" s="34"/>
      <c r="KI17" s="34"/>
      <c r="KJ17" s="34"/>
      <c r="KK17" s="34"/>
      <c r="KL17" s="34"/>
      <c r="KM17" s="34"/>
      <c r="KN17" s="14" t="str">
        <f t="shared" si="43"/>
        <v/>
      </c>
      <c r="KO17" s="15" t="str">
        <f t="shared" si="44"/>
        <v/>
      </c>
    </row>
    <row r="18" spans="1:301" x14ac:dyDescent="0.3">
      <c r="A18" s="3">
        <v>10</v>
      </c>
      <c r="B18" s="4" t="s">
        <v>36</v>
      </c>
      <c r="C18" s="3">
        <v>22</v>
      </c>
      <c r="D18" s="3" t="s">
        <v>37</v>
      </c>
      <c r="E18" s="5" t="str">
        <f t="shared" si="0"/>
        <v/>
      </c>
      <c r="F18" s="10" t="str">
        <f t="shared" si="1"/>
        <v/>
      </c>
      <c r="G18" s="5" t="str">
        <f t="shared" si="2"/>
        <v/>
      </c>
      <c r="I18" s="33"/>
      <c r="K18" s="33"/>
      <c r="M18" s="33"/>
      <c r="O18" s="33"/>
      <c r="Q18" s="33"/>
      <c r="R18" s="11" t="str">
        <f t="shared" si="3"/>
        <v/>
      </c>
      <c r="S18" s="33"/>
      <c r="T18" s="33"/>
      <c r="U18" s="33"/>
      <c r="V18" s="33"/>
      <c r="W18" s="33"/>
      <c r="X18" s="33"/>
      <c r="Y18" s="33"/>
      <c r="Z18" s="33"/>
      <c r="AA18" s="12" t="str">
        <f t="shared" si="4"/>
        <v/>
      </c>
      <c r="AB18" s="13" t="str">
        <f t="shared" si="5"/>
        <v/>
      </c>
      <c r="AD18" s="33"/>
      <c r="AF18" s="33"/>
      <c r="AH18" s="33"/>
      <c r="AJ18" s="33"/>
      <c r="AL18" s="33"/>
      <c r="AM18" s="11" t="str">
        <f t="shared" si="6"/>
        <v/>
      </c>
      <c r="AN18" s="33"/>
      <c r="AO18" s="33"/>
      <c r="AP18" s="33"/>
      <c r="AQ18" s="33"/>
      <c r="AR18" s="33"/>
      <c r="AS18" s="33"/>
      <c r="AT18" s="33"/>
      <c r="AU18" s="33"/>
      <c r="AV18" s="12" t="str">
        <f t="shared" si="7"/>
        <v/>
      </c>
      <c r="AW18" s="13" t="str">
        <f t="shared" si="8"/>
        <v/>
      </c>
      <c r="AY18" s="33"/>
      <c r="BA18" s="33"/>
      <c r="BC18" s="33"/>
      <c r="BE18" s="33"/>
      <c r="BG18" s="33"/>
      <c r="BH18" s="11" t="str">
        <f t="shared" si="9"/>
        <v/>
      </c>
      <c r="BI18" s="33"/>
      <c r="BJ18" s="33"/>
      <c r="BK18" s="33"/>
      <c r="BL18" s="33"/>
      <c r="BM18" s="33"/>
      <c r="BN18" s="33"/>
      <c r="BO18" s="33"/>
      <c r="BP18" s="33"/>
      <c r="BQ18" s="12" t="str">
        <f t="shared" si="10"/>
        <v/>
      </c>
      <c r="BR18" s="13" t="str">
        <f t="shared" si="11"/>
        <v/>
      </c>
      <c r="BT18" s="33"/>
      <c r="BV18" s="33"/>
      <c r="BX18" s="33"/>
      <c r="BZ18" s="33"/>
      <c r="CB18" s="33"/>
      <c r="CC18" s="11" t="str">
        <f t="shared" si="12"/>
        <v/>
      </c>
      <c r="CD18" s="33"/>
      <c r="CE18" s="33"/>
      <c r="CF18" s="33"/>
      <c r="CG18" s="33"/>
      <c r="CH18" s="33"/>
      <c r="CI18" s="33"/>
      <c r="CJ18" s="33"/>
      <c r="CK18" s="33"/>
      <c r="CL18" s="12" t="str">
        <f t="shared" si="13"/>
        <v/>
      </c>
      <c r="CM18" s="13" t="str">
        <f t="shared" si="14"/>
        <v/>
      </c>
      <c r="CO18" s="33"/>
      <c r="CQ18" s="33"/>
      <c r="CS18" s="33"/>
      <c r="CU18" s="33"/>
      <c r="CW18" s="33"/>
      <c r="CX18" s="11" t="str">
        <f t="shared" si="15"/>
        <v/>
      </c>
      <c r="CY18" s="33"/>
      <c r="CZ18" s="33"/>
      <c r="DA18" s="33"/>
      <c r="DB18" s="33"/>
      <c r="DC18" s="33"/>
      <c r="DD18" s="33"/>
      <c r="DE18" s="33"/>
      <c r="DF18" s="33"/>
      <c r="DG18" s="12" t="str">
        <f t="shared" si="16"/>
        <v/>
      </c>
      <c r="DH18" s="13" t="str">
        <f t="shared" si="17"/>
        <v/>
      </c>
      <c r="DJ18" s="33"/>
      <c r="DL18" s="33"/>
      <c r="DN18" s="33"/>
      <c r="DP18" s="33"/>
      <c r="DR18" s="33"/>
      <c r="DS18" s="11" t="str">
        <f t="shared" si="18"/>
        <v/>
      </c>
      <c r="DT18" s="33"/>
      <c r="DU18" s="33"/>
      <c r="DV18" s="33"/>
      <c r="DW18" s="33"/>
      <c r="DX18" s="33"/>
      <c r="DY18" s="33"/>
      <c r="DZ18" s="33"/>
      <c r="EA18" s="33"/>
      <c r="EB18" s="12" t="str">
        <f t="shared" si="19"/>
        <v/>
      </c>
      <c r="EC18" s="13" t="str">
        <f t="shared" si="20"/>
        <v/>
      </c>
      <c r="EE18" s="33"/>
      <c r="EG18" s="33"/>
      <c r="EI18" s="33"/>
      <c r="EK18" s="33"/>
      <c r="EM18" s="33"/>
      <c r="EN18" s="11" t="str">
        <f t="shared" si="21"/>
        <v/>
      </c>
      <c r="EO18" s="33"/>
      <c r="EP18" s="33"/>
      <c r="EQ18" s="33"/>
      <c r="ER18" s="33"/>
      <c r="ES18" s="33"/>
      <c r="ET18" s="33"/>
      <c r="EU18" s="33"/>
      <c r="EV18" s="33"/>
      <c r="EW18" s="12" t="str">
        <f t="shared" si="22"/>
        <v/>
      </c>
      <c r="EX18" s="13" t="str">
        <f t="shared" si="23"/>
        <v/>
      </c>
      <c r="EZ18" s="33"/>
      <c r="FB18" s="33"/>
      <c r="FD18" s="33"/>
      <c r="FF18" s="33"/>
      <c r="FH18" s="33"/>
      <c r="FI18" s="11" t="str">
        <f t="shared" si="24"/>
        <v/>
      </c>
      <c r="FJ18" s="33"/>
      <c r="FK18" s="33"/>
      <c r="FL18" s="33"/>
      <c r="FM18" s="33"/>
      <c r="FN18" s="33"/>
      <c r="FO18" s="33"/>
      <c r="FP18" s="33"/>
      <c r="FQ18" s="33"/>
      <c r="FR18" s="12" t="str">
        <f t="shared" si="25"/>
        <v/>
      </c>
      <c r="FS18" s="13" t="str">
        <f t="shared" si="26"/>
        <v/>
      </c>
      <c r="FU18" s="33"/>
      <c r="FW18" s="33"/>
      <c r="FY18" s="33"/>
      <c r="GA18" s="33"/>
      <c r="GC18" s="33"/>
      <c r="GD18" s="11" t="str">
        <f t="shared" si="27"/>
        <v/>
      </c>
      <c r="GE18" s="33"/>
      <c r="GF18" s="33"/>
      <c r="GG18" s="33"/>
      <c r="GH18" s="33"/>
      <c r="GI18" s="33"/>
      <c r="GJ18" s="33"/>
      <c r="GK18" s="33"/>
      <c r="GL18" s="33"/>
      <c r="GM18" s="12" t="str">
        <f t="shared" si="28"/>
        <v/>
      </c>
      <c r="GN18" s="13" t="str">
        <f t="shared" si="29"/>
        <v/>
      </c>
      <c r="GP18" s="33"/>
      <c r="GR18" s="33"/>
      <c r="GT18" s="33"/>
      <c r="GV18" s="33"/>
      <c r="GX18" s="33"/>
      <c r="GY18" s="11" t="str">
        <f t="shared" si="30"/>
        <v/>
      </c>
      <c r="GZ18" s="33"/>
      <c r="HA18" s="33"/>
      <c r="HB18" s="33"/>
      <c r="HC18" s="33"/>
      <c r="HD18" s="33"/>
      <c r="HE18" s="33"/>
      <c r="HF18" s="33"/>
      <c r="HG18" s="33"/>
      <c r="HH18" s="12" t="str">
        <f t="shared" si="31"/>
        <v/>
      </c>
      <c r="HI18" s="13" t="str">
        <f t="shared" si="32"/>
        <v/>
      </c>
      <c r="HK18" s="33"/>
      <c r="HM18" s="33"/>
      <c r="HO18" s="33"/>
      <c r="HQ18" s="33"/>
      <c r="HS18" s="33"/>
      <c r="HT18" s="11" t="str">
        <f t="shared" si="33"/>
        <v/>
      </c>
      <c r="HU18" s="33"/>
      <c r="HV18" s="33"/>
      <c r="HW18" s="33"/>
      <c r="HX18" s="33"/>
      <c r="HY18" s="33"/>
      <c r="HZ18" s="33"/>
      <c r="IA18" s="33"/>
      <c r="IB18" s="33"/>
      <c r="IC18" s="12" t="str">
        <f t="shared" si="34"/>
        <v/>
      </c>
      <c r="ID18" s="13" t="str">
        <f t="shared" si="35"/>
        <v/>
      </c>
      <c r="IF18" s="33"/>
      <c r="IH18" s="33"/>
      <c r="IJ18" s="33"/>
      <c r="IL18" s="33"/>
      <c r="IN18" s="33"/>
      <c r="IO18" s="11" t="str">
        <f t="shared" si="36"/>
        <v/>
      </c>
      <c r="IP18" s="33"/>
      <c r="IQ18" s="33"/>
      <c r="IR18" s="33"/>
      <c r="IS18" s="33"/>
      <c r="IT18" s="33"/>
      <c r="IU18" s="33"/>
      <c r="IV18" s="33"/>
      <c r="IW18" s="33"/>
      <c r="IX18" s="12" t="str">
        <f t="shared" si="37"/>
        <v/>
      </c>
      <c r="IY18" s="13" t="str">
        <f t="shared" si="38"/>
        <v/>
      </c>
      <c r="JA18" s="33"/>
      <c r="JC18" s="33"/>
      <c r="JE18" s="33"/>
      <c r="JG18" s="33"/>
      <c r="JI18" s="33"/>
      <c r="JJ18" s="11" t="str">
        <f t="shared" si="39"/>
        <v/>
      </c>
      <c r="JK18" s="33"/>
      <c r="JL18" s="33"/>
      <c r="JM18" s="33"/>
      <c r="JN18" s="33"/>
      <c r="JO18" s="33"/>
      <c r="JP18" s="33"/>
      <c r="JQ18" s="33"/>
      <c r="JR18" s="33"/>
      <c r="JS18" s="12" t="str">
        <f t="shared" si="40"/>
        <v/>
      </c>
      <c r="JT18" s="13" t="str">
        <f t="shared" si="41"/>
        <v/>
      </c>
      <c r="JU18" s="3"/>
      <c r="JV18" s="34"/>
      <c r="JW18" s="3"/>
      <c r="JX18" s="34"/>
      <c r="JY18" s="3"/>
      <c r="JZ18" s="34"/>
      <c r="KA18" s="3"/>
      <c r="KB18" s="34"/>
      <c r="KC18" s="3"/>
      <c r="KD18" s="34"/>
      <c r="KE18" s="5" t="str">
        <f t="shared" si="42"/>
        <v/>
      </c>
      <c r="KF18" s="34"/>
      <c r="KG18" s="34"/>
      <c r="KH18" s="34"/>
      <c r="KI18" s="34"/>
      <c r="KJ18" s="34"/>
      <c r="KK18" s="34"/>
      <c r="KL18" s="34"/>
      <c r="KM18" s="34"/>
      <c r="KN18" s="14" t="str">
        <f t="shared" si="43"/>
        <v/>
      </c>
      <c r="KO18" s="15" t="str">
        <f t="shared" si="44"/>
        <v/>
      </c>
    </row>
    <row r="19" spans="1:301" x14ac:dyDescent="0.3">
      <c r="A19" s="3">
        <v>11</v>
      </c>
      <c r="B19" s="4" t="s">
        <v>38</v>
      </c>
      <c r="C19" s="3">
        <v>23</v>
      </c>
      <c r="D19" s="3" t="s">
        <v>39</v>
      </c>
      <c r="E19" s="5" t="str">
        <f t="shared" si="0"/>
        <v/>
      </c>
      <c r="F19" s="10" t="str">
        <f t="shared" si="1"/>
        <v/>
      </c>
      <c r="G19" s="5" t="str">
        <f t="shared" si="2"/>
        <v/>
      </c>
      <c r="I19" s="33"/>
      <c r="K19" s="33"/>
      <c r="M19" s="33"/>
      <c r="O19" s="33"/>
      <c r="Q19" s="33"/>
      <c r="R19" s="11" t="str">
        <f t="shared" si="3"/>
        <v/>
      </c>
      <c r="S19" s="33"/>
      <c r="T19" s="33"/>
      <c r="U19" s="33"/>
      <c r="V19" s="33"/>
      <c r="W19" s="33"/>
      <c r="X19" s="33"/>
      <c r="Y19" s="33"/>
      <c r="Z19" s="33"/>
      <c r="AA19" s="12" t="str">
        <f t="shared" si="4"/>
        <v/>
      </c>
      <c r="AB19" s="13" t="str">
        <f t="shared" si="5"/>
        <v/>
      </c>
      <c r="AD19" s="33"/>
      <c r="AF19" s="33"/>
      <c r="AH19" s="33"/>
      <c r="AJ19" s="33"/>
      <c r="AL19" s="33"/>
      <c r="AM19" s="11" t="str">
        <f t="shared" si="6"/>
        <v/>
      </c>
      <c r="AN19" s="33"/>
      <c r="AO19" s="33"/>
      <c r="AP19" s="33"/>
      <c r="AQ19" s="33"/>
      <c r="AR19" s="33"/>
      <c r="AS19" s="33"/>
      <c r="AT19" s="33"/>
      <c r="AU19" s="33"/>
      <c r="AV19" s="12" t="str">
        <f t="shared" si="7"/>
        <v/>
      </c>
      <c r="AW19" s="13" t="str">
        <f t="shared" si="8"/>
        <v/>
      </c>
      <c r="AY19" s="33"/>
      <c r="BA19" s="33"/>
      <c r="BC19" s="33"/>
      <c r="BE19" s="33"/>
      <c r="BG19" s="33"/>
      <c r="BH19" s="11" t="str">
        <f t="shared" si="9"/>
        <v/>
      </c>
      <c r="BI19" s="33"/>
      <c r="BJ19" s="33"/>
      <c r="BK19" s="33"/>
      <c r="BL19" s="33"/>
      <c r="BM19" s="33"/>
      <c r="BN19" s="33"/>
      <c r="BO19" s="33"/>
      <c r="BP19" s="33"/>
      <c r="BQ19" s="12" t="str">
        <f t="shared" si="10"/>
        <v/>
      </c>
      <c r="BR19" s="13" t="str">
        <f t="shared" si="11"/>
        <v/>
      </c>
      <c r="BT19" s="33"/>
      <c r="BV19" s="33"/>
      <c r="BX19" s="33"/>
      <c r="BZ19" s="33"/>
      <c r="CB19" s="33"/>
      <c r="CC19" s="11" t="str">
        <f t="shared" si="12"/>
        <v/>
      </c>
      <c r="CD19" s="33"/>
      <c r="CE19" s="33"/>
      <c r="CF19" s="33"/>
      <c r="CG19" s="33"/>
      <c r="CH19" s="33"/>
      <c r="CI19" s="33"/>
      <c r="CJ19" s="33"/>
      <c r="CK19" s="33"/>
      <c r="CL19" s="12" t="str">
        <f t="shared" si="13"/>
        <v/>
      </c>
      <c r="CM19" s="13" t="str">
        <f t="shared" si="14"/>
        <v/>
      </c>
      <c r="CO19" s="33"/>
      <c r="CQ19" s="33"/>
      <c r="CS19" s="33"/>
      <c r="CU19" s="33"/>
      <c r="CW19" s="33"/>
      <c r="CX19" s="11" t="str">
        <f t="shared" si="15"/>
        <v/>
      </c>
      <c r="CY19" s="33"/>
      <c r="CZ19" s="33"/>
      <c r="DA19" s="33"/>
      <c r="DB19" s="33"/>
      <c r="DC19" s="33"/>
      <c r="DD19" s="33"/>
      <c r="DE19" s="33"/>
      <c r="DF19" s="33"/>
      <c r="DG19" s="12" t="str">
        <f t="shared" si="16"/>
        <v/>
      </c>
      <c r="DH19" s="13" t="str">
        <f t="shared" si="17"/>
        <v/>
      </c>
      <c r="DJ19" s="33"/>
      <c r="DL19" s="33"/>
      <c r="DN19" s="33"/>
      <c r="DP19" s="33"/>
      <c r="DR19" s="33"/>
      <c r="DS19" s="11" t="str">
        <f t="shared" si="18"/>
        <v/>
      </c>
      <c r="DT19" s="33"/>
      <c r="DU19" s="33"/>
      <c r="DV19" s="33"/>
      <c r="DW19" s="33"/>
      <c r="DX19" s="33"/>
      <c r="DY19" s="33"/>
      <c r="DZ19" s="33"/>
      <c r="EA19" s="33"/>
      <c r="EB19" s="12" t="str">
        <f t="shared" si="19"/>
        <v/>
      </c>
      <c r="EC19" s="13" t="str">
        <f t="shared" si="20"/>
        <v/>
      </c>
      <c r="EE19" s="33"/>
      <c r="EG19" s="33"/>
      <c r="EI19" s="33"/>
      <c r="EK19" s="33"/>
      <c r="EM19" s="33"/>
      <c r="EN19" s="11" t="str">
        <f t="shared" si="21"/>
        <v/>
      </c>
      <c r="EO19" s="33"/>
      <c r="EP19" s="33"/>
      <c r="EQ19" s="33"/>
      <c r="ER19" s="33"/>
      <c r="ES19" s="33"/>
      <c r="ET19" s="33"/>
      <c r="EU19" s="33"/>
      <c r="EV19" s="33"/>
      <c r="EW19" s="12" t="str">
        <f t="shared" si="22"/>
        <v/>
      </c>
      <c r="EX19" s="13" t="str">
        <f t="shared" si="23"/>
        <v/>
      </c>
      <c r="EZ19" s="33"/>
      <c r="FB19" s="33"/>
      <c r="FD19" s="33"/>
      <c r="FF19" s="33"/>
      <c r="FH19" s="33"/>
      <c r="FI19" s="11" t="str">
        <f t="shared" si="24"/>
        <v/>
      </c>
      <c r="FJ19" s="33"/>
      <c r="FK19" s="33"/>
      <c r="FL19" s="33"/>
      <c r="FM19" s="33"/>
      <c r="FN19" s="33"/>
      <c r="FO19" s="33"/>
      <c r="FP19" s="33"/>
      <c r="FQ19" s="33"/>
      <c r="FR19" s="12" t="str">
        <f t="shared" si="25"/>
        <v/>
      </c>
      <c r="FS19" s="13" t="str">
        <f t="shared" si="26"/>
        <v/>
      </c>
      <c r="FU19" s="33"/>
      <c r="FW19" s="33"/>
      <c r="FY19" s="33"/>
      <c r="GA19" s="33"/>
      <c r="GC19" s="33"/>
      <c r="GD19" s="11" t="str">
        <f t="shared" si="27"/>
        <v/>
      </c>
      <c r="GE19" s="33"/>
      <c r="GF19" s="33"/>
      <c r="GG19" s="33"/>
      <c r="GH19" s="33"/>
      <c r="GI19" s="33"/>
      <c r="GJ19" s="33"/>
      <c r="GK19" s="33"/>
      <c r="GL19" s="33"/>
      <c r="GM19" s="12" t="str">
        <f t="shared" si="28"/>
        <v/>
      </c>
      <c r="GN19" s="13" t="str">
        <f t="shared" si="29"/>
        <v/>
      </c>
      <c r="GP19" s="33"/>
      <c r="GR19" s="33"/>
      <c r="GT19" s="33"/>
      <c r="GV19" s="33"/>
      <c r="GX19" s="33"/>
      <c r="GY19" s="11" t="str">
        <f t="shared" si="30"/>
        <v/>
      </c>
      <c r="GZ19" s="33"/>
      <c r="HA19" s="33"/>
      <c r="HB19" s="33"/>
      <c r="HC19" s="33"/>
      <c r="HD19" s="33"/>
      <c r="HE19" s="33"/>
      <c r="HF19" s="33"/>
      <c r="HG19" s="33"/>
      <c r="HH19" s="12" t="str">
        <f t="shared" si="31"/>
        <v/>
      </c>
      <c r="HI19" s="13" t="str">
        <f t="shared" si="32"/>
        <v/>
      </c>
      <c r="HK19" s="33"/>
      <c r="HM19" s="33"/>
      <c r="HO19" s="33"/>
      <c r="HQ19" s="33"/>
      <c r="HS19" s="33"/>
      <c r="HT19" s="11" t="str">
        <f t="shared" si="33"/>
        <v/>
      </c>
      <c r="HU19" s="33"/>
      <c r="HV19" s="33"/>
      <c r="HW19" s="33"/>
      <c r="HX19" s="33"/>
      <c r="HY19" s="33"/>
      <c r="HZ19" s="33"/>
      <c r="IA19" s="33"/>
      <c r="IB19" s="33"/>
      <c r="IC19" s="12" t="str">
        <f t="shared" si="34"/>
        <v/>
      </c>
      <c r="ID19" s="13" t="str">
        <f t="shared" si="35"/>
        <v/>
      </c>
      <c r="IF19" s="33"/>
      <c r="IH19" s="33"/>
      <c r="IJ19" s="33"/>
      <c r="IL19" s="33"/>
      <c r="IN19" s="33"/>
      <c r="IO19" s="11" t="str">
        <f t="shared" si="36"/>
        <v/>
      </c>
      <c r="IP19" s="33"/>
      <c r="IQ19" s="33"/>
      <c r="IR19" s="33"/>
      <c r="IS19" s="33"/>
      <c r="IT19" s="33"/>
      <c r="IU19" s="33"/>
      <c r="IV19" s="33"/>
      <c r="IW19" s="33"/>
      <c r="IX19" s="12" t="str">
        <f t="shared" si="37"/>
        <v/>
      </c>
      <c r="IY19" s="13" t="str">
        <f t="shared" si="38"/>
        <v/>
      </c>
      <c r="JA19" s="33"/>
      <c r="JC19" s="33"/>
      <c r="JE19" s="33"/>
      <c r="JG19" s="33"/>
      <c r="JI19" s="33"/>
      <c r="JJ19" s="11" t="str">
        <f t="shared" si="39"/>
        <v/>
      </c>
      <c r="JK19" s="33"/>
      <c r="JL19" s="33"/>
      <c r="JM19" s="33"/>
      <c r="JN19" s="33"/>
      <c r="JO19" s="33"/>
      <c r="JP19" s="33"/>
      <c r="JQ19" s="33"/>
      <c r="JR19" s="33"/>
      <c r="JS19" s="12" t="str">
        <f t="shared" si="40"/>
        <v/>
      </c>
      <c r="JT19" s="13" t="str">
        <f t="shared" si="41"/>
        <v/>
      </c>
      <c r="JU19" s="3"/>
      <c r="JV19" s="34"/>
      <c r="JW19" s="3"/>
      <c r="JX19" s="34"/>
      <c r="JY19" s="3"/>
      <c r="JZ19" s="34"/>
      <c r="KA19" s="3"/>
      <c r="KB19" s="34"/>
      <c r="KC19" s="3"/>
      <c r="KD19" s="34"/>
      <c r="KE19" s="5" t="str">
        <f t="shared" si="42"/>
        <v/>
      </c>
      <c r="KF19" s="34"/>
      <c r="KG19" s="34"/>
      <c r="KH19" s="34"/>
      <c r="KI19" s="34"/>
      <c r="KJ19" s="34"/>
      <c r="KK19" s="34"/>
      <c r="KL19" s="34"/>
      <c r="KM19" s="34"/>
      <c r="KN19" s="14" t="str">
        <f t="shared" si="43"/>
        <v/>
      </c>
      <c r="KO19" s="15" t="str">
        <f t="shared" si="44"/>
        <v/>
      </c>
    </row>
    <row r="20" spans="1:301" x14ac:dyDescent="0.3">
      <c r="A20" s="3">
        <v>12</v>
      </c>
      <c r="B20" s="4" t="s">
        <v>40</v>
      </c>
      <c r="C20" s="3">
        <v>24</v>
      </c>
      <c r="D20" s="3" t="s">
        <v>41</v>
      </c>
      <c r="E20" s="5" t="str">
        <f t="shared" si="0"/>
        <v/>
      </c>
      <c r="F20" s="10" t="str">
        <f t="shared" si="1"/>
        <v/>
      </c>
      <c r="G20" s="5" t="str">
        <f t="shared" si="2"/>
        <v/>
      </c>
      <c r="I20" s="33"/>
      <c r="K20" s="33"/>
      <c r="M20" s="33"/>
      <c r="O20" s="33"/>
      <c r="Q20" s="33"/>
      <c r="R20" s="11" t="str">
        <f t="shared" si="3"/>
        <v/>
      </c>
      <c r="S20" s="33"/>
      <c r="T20" s="33"/>
      <c r="U20" s="33"/>
      <c r="V20" s="33"/>
      <c r="W20" s="33"/>
      <c r="X20" s="33"/>
      <c r="Y20" s="33"/>
      <c r="Z20" s="33"/>
      <c r="AA20" s="12" t="str">
        <f t="shared" si="4"/>
        <v/>
      </c>
      <c r="AB20" s="13" t="str">
        <f t="shared" si="5"/>
        <v/>
      </c>
      <c r="AD20" s="33"/>
      <c r="AF20" s="33"/>
      <c r="AH20" s="33"/>
      <c r="AJ20" s="33"/>
      <c r="AL20" s="33"/>
      <c r="AM20" s="11" t="str">
        <f t="shared" si="6"/>
        <v/>
      </c>
      <c r="AN20" s="33"/>
      <c r="AO20" s="33"/>
      <c r="AP20" s="33"/>
      <c r="AQ20" s="33"/>
      <c r="AR20" s="33"/>
      <c r="AS20" s="33"/>
      <c r="AT20" s="33"/>
      <c r="AU20" s="33"/>
      <c r="AV20" s="12" t="str">
        <f t="shared" si="7"/>
        <v/>
      </c>
      <c r="AW20" s="13" t="str">
        <f t="shared" si="8"/>
        <v/>
      </c>
      <c r="AY20" s="33"/>
      <c r="BA20" s="33"/>
      <c r="BC20" s="33"/>
      <c r="BE20" s="33"/>
      <c r="BG20" s="33"/>
      <c r="BH20" s="11" t="str">
        <f t="shared" si="9"/>
        <v/>
      </c>
      <c r="BI20" s="33"/>
      <c r="BJ20" s="33"/>
      <c r="BK20" s="33"/>
      <c r="BL20" s="33"/>
      <c r="BM20" s="33"/>
      <c r="BN20" s="33"/>
      <c r="BO20" s="33"/>
      <c r="BP20" s="33"/>
      <c r="BQ20" s="12" t="str">
        <f t="shared" si="10"/>
        <v/>
      </c>
      <c r="BR20" s="13" t="str">
        <f t="shared" si="11"/>
        <v/>
      </c>
      <c r="BT20" s="33"/>
      <c r="BV20" s="33"/>
      <c r="BX20" s="33"/>
      <c r="BZ20" s="33"/>
      <c r="CB20" s="33"/>
      <c r="CC20" s="11" t="str">
        <f t="shared" si="12"/>
        <v/>
      </c>
      <c r="CD20" s="33"/>
      <c r="CE20" s="33"/>
      <c r="CF20" s="33"/>
      <c r="CG20" s="33"/>
      <c r="CH20" s="33"/>
      <c r="CI20" s="33"/>
      <c r="CJ20" s="33"/>
      <c r="CK20" s="33"/>
      <c r="CL20" s="12" t="str">
        <f t="shared" si="13"/>
        <v/>
      </c>
      <c r="CM20" s="13" t="str">
        <f t="shared" si="14"/>
        <v/>
      </c>
      <c r="CO20" s="33"/>
      <c r="CQ20" s="33"/>
      <c r="CS20" s="33"/>
      <c r="CU20" s="33"/>
      <c r="CW20" s="33"/>
      <c r="CX20" s="11" t="str">
        <f t="shared" si="15"/>
        <v/>
      </c>
      <c r="CY20" s="33"/>
      <c r="CZ20" s="33"/>
      <c r="DA20" s="33"/>
      <c r="DB20" s="33"/>
      <c r="DC20" s="33"/>
      <c r="DD20" s="33"/>
      <c r="DE20" s="33"/>
      <c r="DF20" s="33"/>
      <c r="DG20" s="12" t="str">
        <f t="shared" si="16"/>
        <v/>
      </c>
      <c r="DH20" s="13" t="str">
        <f t="shared" si="17"/>
        <v/>
      </c>
      <c r="DJ20" s="33"/>
      <c r="DL20" s="33"/>
      <c r="DN20" s="33"/>
      <c r="DP20" s="33"/>
      <c r="DR20" s="33"/>
      <c r="DS20" s="11" t="str">
        <f t="shared" si="18"/>
        <v/>
      </c>
      <c r="DT20" s="33"/>
      <c r="DU20" s="33"/>
      <c r="DV20" s="33"/>
      <c r="DW20" s="33"/>
      <c r="DX20" s="33"/>
      <c r="DY20" s="33"/>
      <c r="DZ20" s="33"/>
      <c r="EA20" s="33"/>
      <c r="EB20" s="12" t="str">
        <f t="shared" si="19"/>
        <v/>
      </c>
      <c r="EC20" s="13" t="str">
        <f t="shared" si="20"/>
        <v/>
      </c>
      <c r="EE20" s="33"/>
      <c r="EG20" s="33"/>
      <c r="EI20" s="33"/>
      <c r="EK20" s="33"/>
      <c r="EM20" s="33"/>
      <c r="EN20" s="11" t="str">
        <f t="shared" si="21"/>
        <v/>
      </c>
      <c r="EO20" s="33"/>
      <c r="EP20" s="33"/>
      <c r="EQ20" s="33"/>
      <c r="ER20" s="33"/>
      <c r="ES20" s="33"/>
      <c r="ET20" s="33"/>
      <c r="EU20" s="33"/>
      <c r="EV20" s="33"/>
      <c r="EW20" s="12" t="str">
        <f t="shared" si="22"/>
        <v/>
      </c>
      <c r="EX20" s="13" t="str">
        <f t="shared" si="23"/>
        <v/>
      </c>
      <c r="EZ20" s="33"/>
      <c r="FB20" s="33"/>
      <c r="FD20" s="33"/>
      <c r="FF20" s="33"/>
      <c r="FH20" s="33"/>
      <c r="FI20" s="11" t="str">
        <f t="shared" si="24"/>
        <v/>
      </c>
      <c r="FJ20" s="33"/>
      <c r="FK20" s="33"/>
      <c r="FL20" s="33"/>
      <c r="FM20" s="33"/>
      <c r="FN20" s="33"/>
      <c r="FO20" s="33"/>
      <c r="FP20" s="33"/>
      <c r="FQ20" s="33"/>
      <c r="FR20" s="12" t="str">
        <f t="shared" si="25"/>
        <v/>
      </c>
      <c r="FS20" s="13" t="str">
        <f t="shared" si="26"/>
        <v/>
      </c>
      <c r="FU20" s="33"/>
      <c r="FW20" s="33"/>
      <c r="FY20" s="33"/>
      <c r="GA20" s="33"/>
      <c r="GC20" s="33"/>
      <c r="GD20" s="11" t="str">
        <f t="shared" si="27"/>
        <v/>
      </c>
      <c r="GE20" s="33"/>
      <c r="GF20" s="33"/>
      <c r="GG20" s="33"/>
      <c r="GH20" s="33"/>
      <c r="GI20" s="33"/>
      <c r="GJ20" s="33"/>
      <c r="GK20" s="33"/>
      <c r="GL20" s="33"/>
      <c r="GM20" s="12" t="str">
        <f t="shared" si="28"/>
        <v/>
      </c>
      <c r="GN20" s="13" t="str">
        <f t="shared" si="29"/>
        <v/>
      </c>
      <c r="GP20" s="33"/>
      <c r="GR20" s="33"/>
      <c r="GT20" s="33"/>
      <c r="GV20" s="33"/>
      <c r="GX20" s="33"/>
      <c r="GY20" s="11" t="str">
        <f t="shared" si="30"/>
        <v/>
      </c>
      <c r="GZ20" s="33"/>
      <c r="HA20" s="33"/>
      <c r="HB20" s="33"/>
      <c r="HC20" s="33"/>
      <c r="HD20" s="33"/>
      <c r="HE20" s="33"/>
      <c r="HF20" s="33"/>
      <c r="HG20" s="33"/>
      <c r="HH20" s="12" t="str">
        <f t="shared" si="31"/>
        <v/>
      </c>
      <c r="HI20" s="13" t="str">
        <f t="shared" si="32"/>
        <v/>
      </c>
      <c r="HK20" s="33"/>
      <c r="HM20" s="33"/>
      <c r="HO20" s="33"/>
      <c r="HQ20" s="33"/>
      <c r="HS20" s="33"/>
      <c r="HT20" s="11" t="str">
        <f t="shared" si="33"/>
        <v/>
      </c>
      <c r="HU20" s="33"/>
      <c r="HV20" s="33"/>
      <c r="HW20" s="33"/>
      <c r="HX20" s="33"/>
      <c r="HY20" s="33"/>
      <c r="HZ20" s="33"/>
      <c r="IA20" s="33"/>
      <c r="IB20" s="33"/>
      <c r="IC20" s="12" t="str">
        <f t="shared" si="34"/>
        <v/>
      </c>
      <c r="ID20" s="13" t="str">
        <f t="shared" si="35"/>
        <v/>
      </c>
      <c r="IF20" s="33"/>
      <c r="IH20" s="33"/>
      <c r="IJ20" s="33"/>
      <c r="IL20" s="33"/>
      <c r="IN20" s="33"/>
      <c r="IO20" s="11" t="str">
        <f t="shared" si="36"/>
        <v/>
      </c>
      <c r="IP20" s="33"/>
      <c r="IQ20" s="33"/>
      <c r="IR20" s="33"/>
      <c r="IS20" s="33"/>
      <c r="IT20" s="33"/>
      <c r="IU20" s="33"/>
      <c r="IV20" s="33"/>
      <c r="IW20" s="33"/>
      <c r="IX20" s="12" t="str">
        <f t="shared" si="37"/>
        <v/>
      </c>
      <c r="IY20" s="13" t="str">
        <f t="shared" si="38"/>
        <v/>
      </c>
      <c r="JA20" s="33"/>
      <c r="JC20" s="33"/>
      <c r="JE20" s="33"/>
      <c r="JG20" s="33"/>
      <c r="JI20" s="33"/>
      <c r="JJ20" s="11" t="str">
        <f t="shared" si="39"/>
        <v/>
      </c>
      <c r="JK20" s="33"/>
      <c r="JL20" s="33"/>
      <c r="JM20" s="33"/>
      <c r="JN20" s="33"/>
      <c r="JO20" s="33"/>
      <c r="JP20" s="33"/>
      <c r="JQ20" s="33"/>
      <c r="JR20" s="33"/>
      <c r="JS20" s="12" t="str">
        <f t="shared" si="40"/>
        <v/>
      </c>
      <c r="JT20" s="13" t="str">
        <f t="shared" si="41"/>
        <v/>
      </c>
      <c r="JU20" s="3"/>
      <c r="JV20" s="34"/>
      <c r="JW20" s="3"/>
      <c r="JX20" s="34"/>
      <c r="JY20" s="3"/>
      <c r="JZ20" s="34"/>
      <c r="KA20" s="3"/>
      <c r="KB20" s="34"/>
      <c r="KC20" s="3"/>
      <c r="KD20" s="34"/>
      <c r="KE20" s="5" t="str">
        <f t="shared" si="42"/>
        <v/>
      </c>
      <c r="KF20" s="34"/>
      <c r="KG20" s="34"/>
      <c r="KH20" s="34"/>
      <c r="KI20" s="34"/>
      <c r="KJ20" s="34"/>
      <c r="KK20" s="34"/>
      <c r="KL20" s="34"/>
      <c r="KM20" s="34"/>
      <c r="KN20" s="14" t="str">
        <f t="shared" si="43"/>
        <v/>
      </c>
      <c r="KO20" s="15" t="str">
        <f t="shared" si="44"/>
        <v/>
      </c>
    </row>
    <row r="21" spans="1:301" x14ac:dyDescent="0.3">
      <c r="A21" s="3">
        <v>13</v>
      </c>
      <c r="B21" s="4" t="s">
        <v>42</v>
      </c>
      <c r="C21" s="3">
        <v>25</v>
      </c>
      <c r="D21" s="3" t="s">
        <v>43</v>
      </c>
      <c r="E21" s="5" t="str">
        <f t="shared" si="0"/>
        <v/>
      </c>
      <c r="F21" s="10" t="str">
        <f t="shared" si="1"/>
        <v/>
      </c>
      <c r="G21" s="5" t="str">
        <f t="shared" si="2"/>
        <v/>
      </c>
      <c r="I21" s="33"/>
      <c r="K21" s="33"/>
      <c r="M21" s="33"/>
      <c r="O21" s="33"/>
      <c r="Q21" s="33"/>
      <c r="R21" s="11" t="str">
        <f t="shared" si="3"/>
        <v/>
      </c>
      <c r="S21" s="33"/>
      <c r="T21" s="33"/>
      <c r="U21" s="33"/>
      <c r="V21" s="33"/>
      <c r="W21" s="33"/>
      <c r="X21" s="33"/>
      <c r="Y21" s="33"/>
      <c r="Z21" s="33"/>
      <c r="AA21" s="12" t="str">
        <f t="shared" si="4"/>
        <v/>
      </c>
      <c r="AB21" s="13" t="str">
        <f t="shared" si="5"/>
        <v/>
      </c>
      <c r="AD21" s="33"/>
      <c r="AF21" s="33"/>
      <c r="AH21" s="33"/>
      <c r="AJ21" s="33"/>
      <c r="AL21" s="33"/>
      <c r="AM21" s="11" t="str">
        <f t="shared" si="6"/>
        <v/>
      </c>
      <c r="AN21" s="33"/>
      <c r="AO21" s="33"/>
      <c r="AP21" s="33"/>
      <c r="AQ21" s="33"/>
      <c r="AR21" s="33"/>
      <c r="AS21" s="33"/>
      <c r="AT21" s="33"/>
      <c r="AU21" s="33"/>
      <c r="AV21" s="12" t="str">
        <f t="shared" si="7"/>
        <v/>
      </c>
      <c r="AW21" s="13" t="str">
        <f t="shared" si="8"/>
        <v/>
      </c>
      <c r="AY21" s="33"/>
      <c r="BA21" s="33"/>
      <c r="BC21" s="33"/>
      <c r="BE21" s="33"/>
      <c r="BG21" s="33"/>
      <c r="BH21" s="11" t="str">
        <f t="shared" si="9"/>
        <v/>
      </c>
      <c r="BI21" s="33"/>
      <c r="BJ21" s="33"/>
      <c r="BK21" s="33"/>
      <c r="BL21" s="33"/>
      <c r="BM21" s="33"/>
      <c r="BN21" s="33"/>
      <c r="BO21" s="33"/>
      <c r="BP21" s="33"/>
      <c r="BQ21" s="12" t="str">
        <f t="shared" si="10"/>
        <v/>
      </c>
      <c r="BR21" s="13" t="str">
        <f t="shared" si="11"/>
        <v/>
      </c>
      <c r="BT21" s="33"/>
      <c r="BV21" s="33"/>
      <c r="BX21" s="33"/>
      <c r="BZ21" s="33"/>
      <c r="CB21" s="33"/>
      <c r="CC21" s="11" t="str">
        <f t="shared" si="12"/>
        <v/>
      </c>
      <c r="CD21" s="33"/>
      <c r="CE21" s="33"/>
      <c r="CF21" s="33"/>
      <c r="CG21" s="33"/>
      <c r="CH21" s="33"/>
      <c r="CI21" s="33"/>
      <c r="CJ21" s="33"/>
      <c r="CK21" s="33"/>
      <c r="CL21" s="12" t="str">
        <f t="shared" si="13"/>
        <v/>
      </c>
      <c r="CM21" s="13" t="str">
        <f t="shared" si="14"/>
        <v/>
      </c>
      <c r="CO21" s="33"/>
      <c r="CQ21" s="33"/>
      <c r="CS21" s="33"/>
      <c r="CU21" s="33"/>
      <c r="CW21" s="33"/>
      <c r="CX21" s="11" t="str">
        <f t="shared" si="15"/>
        <v/>
      </c>
      <c r="CY21" s="33"/>
      <c r="CZ21" s="33"/>
      <c r="DA21" s="33"/>
      <c r="DB21" s="33"/>
      <c r="DC21" s="33"/>
      <c r="DD21" s="33"/>
      <c r="DE21" s="33"/>
      <c r="DF21" s="33"/>
      <c r="DG21" s="12" t="str">
        <f t="shared" si="16"/>
        <v/>
      </c>
      <c r="DH21" s="13" t="str">
        <f t="shared" si="17"/>
        <v/>
      </c>
      <c r="DJ21" s="33"/>
      <c r="DL21" s="33"/>
      <c r="DN21" s="33"/>
      <c r="DP21" s="33"/>
      <c r="DR21" s="33"/>
      <c r="DS21" s="11" t="str">
        <f t="shared" si="18"/>
        <v/>
      </c>
      <c r="DT21" s="33"/>
      <c r="DU21" s="33"/>
      <c r="DV21" s="33"/>
      <c r="DW21" s="33"/>
      <c r="DX21" s="33"/>
      <c r="DY21" s="33"/>
      <c r="DZ21" s="33"/>
      <c r="EA21" s="33"/>
      <c r="EB21" s="12" t="str">
        <f t="shared" si="19"/>
        <v/>
      </c>
      <c r="EC21" s="13" t="str">
        <f t="shared" si="20"/>
        <v/>
      </c>
      <c r="EE21" s="33"/>
      <c r="EG21" s="33"/>
      <c r="EI21" s="33"/>
      <c r="EK21" s="33"/>
      <c r="EM21" s="33"/>
      <c r="EN21" s="11" t="str">
        <f t="shared" si="21"/>
        <v/>
      </c>
      <c r="EO21" s="33"/>
      <c r="EP21" s="33"/>
      <c r="EQ21" s="33"/>
      <c r="ER21" s="33"/>
      <c r="ES21" s="33"/>
      <c r="ET21" s="33"/>
      <c r="EU21" s="33"/>
      <c r="EV21" s="33"/>
      <c r="EW21" s="12" t="str">
        <f t="shared" si="22"/>
        <v/>
      </c>
      <c r="EX21" s="13" t="str">
        <f t="shared" si="23"/>
        <v/>
      </c>
      <c r="EZ21" s="33"/>
      <c r="FB21" s="33"/>
      <c r="FD21" s="33"/>
      <c r="FF21" s="33"/>
      <c r="FH21" s="33"/>
      <c r="FI21" s="11" t="str">
        <f t="shared" si="24"/>
        <v/>
      </c>
      <c r="FJ21" s="33"/>
      <c r="FK21" s="33"/>
      <c r="FL21" s="33"/>
      <c r="FM21" s="33"/>
      <c r="FN21" s="33"/>
      <c r="FO21" s="33"/>
      <c r="FP21" s="33"/>
      <c r="FQ21" s="33"/>
      <c r="FR21" s="12" t="str">
        <f t="shared" si="25"/>
        <v/>
      </c>
      <c r="FS21" s="13" t="str">
        <f t="shared" si="26"/>
        <v/>
      </c>
      <c r="FU21" s="33"/>
      <c r="FW21" s="33"/>
      <c r="FY21" s="33"/>
      <c r="GA21" s="33"/>
      <c r="GC21" s="33"/>
      <c r="GD21" s="11" t="str">
        <f t="shared" si="27"/>
        <v/>
      </c>
      <c r="GE21" s="33"/>
      <c r="GF21" s="33"/>
      <c r="GG21" s="33"/>
      <c r="GH21" s="33"/>
      <c r="GI21" s="33"/>
      <c r="GJ21" s="33"/>
      <c r="GK21" s="33"/>
      <c r="GL21" s="33"/>
      <c r="GM21" s="12" t="str">
        <f t="shared" si="28"/>
        <v/>
      </c>
      <c r="GN21" s="13" t="str">
        <f t="shared" si="29"/>
        <v/>
      </c>
      <c r="GP21" s="33"/>
      <c r="GR21" s="33"/>
      <c r="GT21" s="33"/>
      <c r="GV21" s="33"/>
      <c r="GX21" s="33"/>
      <c r="GY21" s="11" t="str">
        <f t="shared" si="30"/>
        <v/>
      </c>
      <c r="GZ21" s="33"/>
      <c r="HA21" s="33"/>
      <c r="HB21" s="33"/>
      <c r="HC21" s="33"/>
      <c r="HD21" s="33"/>
      <c r="HE21" s="33"/>
      <c r="HF21" s="33"/>
      <c r="HG21" s="33"/>
      <c r="HH21" s="12" t="str">
        <f t="shared" si="31"/>
        <v/>
      </c>
      <c r="HI21" s="13" t="str">
        <f t="shared" si="32"/>
        <v/>
      </c>
      <c r="HK21" s="33"/>
      <c r="HM21" s="33"/>
      <c r="HO21" s="33"/>
      <c r="HQ21" s="33"/>
      <c r="HS21" s="33"/>
      <c r="HT21" s="11" t="str">
        <f t="shared" si="33"/>
        <v/>
      </c>
      <c r="HU21" s="33"/>
      <c r="HV21" s="33"/>
      <c r="HW21" s="33"/>
      <c r="HX21" s="33"/>
      <c r="HY21" s="33"/>
      <c r="HZ21" s="33"/>
      <c r="IA21" s="33"/>
      <c r="IB21" s="33"/>
      <c r="IC21" s="12" t="str">
        <f t="shared" si="34"/>
        <v/>
      </c>
      <c r="ID21" s="13" t="str">
        <f t="shared" si="35"/>
        <v/>
      </c>
      <c r="IF21" s="33"/>
      <c r="IH21" s="33"/>
      <c r="IJ21" s="33"/>
      <c r="IL21" s="33"/>
      <c r="IN21" s="33"/>
      <c r="IO21" s="11" t="str">
        <f t="shared" si="36"/>
        <v/>
      </c>
      <c r="IP21" s="33"/>
      <c r="IQ21" s="33"/>
      <c r="IR21" s="33"/>
      <c r="IS21" s="33"/>
      <c r="IT21" s="33"/>
      <c r="IU21" s="33"/>
      <c r="IV21" s="33"/>
      <c r="IW21" s="33"/>
      <c r="IX21" s="12" t="str">
        <f t="shared" si="37"/>
        <v/>
      </c>
      <c r="IY21" s="13" t="str">
        <f t="shared" si="38"/>
        <v/>
      </c>
      <c r="JA21" s="33"/>
      <c r="JC21" s="33"/>
      <c r="JE21" s="33"/>
      <c r="JG21" s="33"/>
      <c r="JI21" s="33"/>
      <c r="JJ21" s="11" t="str">
        <f t="shared" si="39"/>
        <v/>
      </c>
      <c r="JK21" s="33"/>
      <c r="JL21" s="33"/>
      <c r="JM21" s="33"/>
      <c r="JN21" s="33"/>
      <c r="JO21" s="33"/>
      <c r="JP21" s="33"/>
      <c r="JQ21" s="33"/>
      <c r="JR21" s="33"/>
      <c r="JS21" s="12" t="str">
        <f t="shared" si="40"/>
        <v/>
      </c>
      <c r="JT21" s="13" t="str">
        <f t="shared" si="41"/>
        <v/>
      </c>
      <c r="JU21" s="3"/>
      <c r="JV21" s="34"/>
      <c r="JW21" s="3"/>
      <c r="JX21" s="34"/>
      <c r="JY21" s="3"/>
      <c r="JZ21" s="34"/>
      <c r="KA21" s="3"/>
      <c r="KB21" s="34"/>
      <c r="KC21" s="3"/>
      <c r="KD21" s="34"/>
      <c r="KE21" s="5" t="str">
        <f t="shared" si="42"/>
        <v/>
      </c>
      <c r="KF21" s="34"/>
      <c r="KG21" s="34"/>
      <c r="KH21" s="34"/>
      <c r="KI21" s="34"/>
      <c r="KJ21" s="34"/>
      <c r="KK21" s="34"/>
      <c r="KL21" s="34"/>
      <c r="KM21" s="34"/>
      <c r="KN21" s="14" t="str">
        <f t="shared" si="43"/>
        <v/>
      </c>
      <c r="KO21" s="15" t="str">
        <f t="shared" si="44"/>
        <v/>
      </c>
    </row>
    <row r="22" spans="1:301" x14ac:dyDescent="0.3">
      <c r="A22" s="3">
        <v>14</v>
      </c>
      <c r="B22" s="4" t="s">
        <v>44</v>
      </c>
      <c r="C22" s="3">
        <v>26</v>
      </c>
      <c r="D22" s="3" t="s">
        <v>45</v>
      </c>
      <c r="E22" s="5" t="str">
        <f t="shared" si="0"/>
        <v/>
      </c>
      <c r="F22" s="10" t="str">
        <f t="shared" si="1"/>
        <v/>
      </c>
      <c r="G22" s="5" t="str">
        <f t="shared" si="2"/>
        <v/>
      </c>
      <c r="I22" s="33"/>
      <c r="K22" s="33"/>
      <c r="M22" s="33"/>
      <c r="O22" s="33"/>
      <c r="Q22" s="33"/>
      <c r="R22" s="11" t="str">
        <f t="shared" si="3"/>
        <v/>
      </c>
      <c r="S22" s="33"/>
      <c r="T22" s="33"/>
      <c r="U22" s="33"/>
      <c r="V22" s="33"/>
      <c r="W22" s="33"/>
      <c r="X22" s="33"/>
      <c r="Y22" s="33"/>
      <c r="Z22" s="33"/>
      <c r="AA22" s="12" t="str">
        <f t="shared" si="4"/>
        <v/>
      </c>
      <c r="AB22" s="13" t="str">
        <f t="shared" si="5"/>
        <v/>
      </c>
      <c r="AD22" s="33"/>
      <c r="AF22" s="33"/>
      <c r="AH22" s="33"/>
      <c r="AJ22" s="33"/>
      <c r="AL22" s="33"/>
      <c r="AM22" s="11" t="str">
        <f t="shared" si="6"/>
        <v/>
      </c>
      <c r="AN22" s="33"/>
      <c r="AO22" s="33"/>
      <c r="AP22" s="33"/>
      <c r="AQ22" s="33"/>
      <c r="AR22" s="33"/>
      <c r="AS22" s="33"/>
      <c r="AT22" s="33"/>
      <c r="AU22" s="33"/>
      <c r="AV22" s="12" t="str">
        <f t="shared" si="7"/>
        <v/>
      </c>
      <c r="AW22" s="13" t="str">
        <f t="shared" si="8"/>
        <v/>
      </c>
      <c r="AY22" s="33"/>
      <c r="BA22" s="33"/>
      <c r="BC22" s="33"/>
      <c r="BE22" s="33"/>
      <c r="BG22" s="33"/>
      <c r="BH22" s="11" t="str">
        <f t="shared" si="9"/>
        <v/>
      </c>
      <c r="BI22" s="33"/>
      <c r="BJ22" s="33"/>
      <c r="BK22" s="33"/>
      <c r="BL22" s="33"/>
      <c r="BM22" s="33"/>
      <c r="BN22" s="33"/>
      <c r="BO22" s="33"/>
      <c r="BP22" s="33"/>
      <c r="BQ22" s="12" t="str">
        <f t="shared" si="10"/>
        <v/>
      </c>
      <c r="BR22" s="13" t="str">
        <f t="shared" si="11"/>
        <v/>
      </c>
      <c r="BT22" s="33"/>
      <c r="BV22" s="33"/>
      <c r="BX22" s="33"/>
      <c r="BZ22" s="33"/>
      <c r="CB22" s="33"/>
      <c r="CC22" s="11" t="str">
        <f t="shared" si="12"/>
        <v/>
      </c>
      <c r="CD22" s="33"/>
      <c r="CE22" s="33"/>
      <c r="CF22" s="33"/>
      <c r="CG22" s="33"/>
      <c r="CH22" s="33"/>
      <c r="CI22" s="33"/>
      <c r="CJ22" s="33"/>
      <c r="CK22" s="33"/>
      <c r="CL22" s="12" t="str">
        <f t="shared" si="13"/>
        <v/>
      </c>
      <c r="CM22" s="13" t="str">
        <f t="shared" si="14"/>
        <v/>
      </c>
      <c r="CO22" s="33"/>
      <c r="CQ22" s="33"/>
      <c r="CS22" s="33"/>
      <c r="CU22" s="33"/>
      <c r="CW22" s="33"/>
      <c r="CX22" s="11" t="str">
        <f t="shared" si="15"/>
        <v/>
      </c>
      <c r="CY22" s="33"/>
      <c r="CZ22" s="33"/>
      <c r="DA22" s="33"/>
      <c r="DB22" s="33"/>
      <c r="DC22" s="33"/>
      <c r="DD22" s="33"/>
      <c r="DE22" s="33"/>
      <c r="DF22" s="33"/>
      <c r="DG22" s="12" t="str">
        <f t="shared" si="16"/>
        <v/>
      </c>
      <c r="DH22" s="13" t="str">
        <f t="shared" si="17"/>
        <v/>
      </c>
      <c r="DJ22" s="33"/>
      <c r="DL22" s="33"/>
      <c r="DN22" s="33"/>
      <c r="DP22" s="33"/>
      <c r="DR22" s="33"/>
      <c r="DS22" s="11" t="str">
        <f t="shared" si="18"/>
        <v/>
      </c>
      <c r="DT22" s="33"/>
      <c r="DU22" s="33"/>
      <c r="DV22" s="33"/>
      <c r="DW22" s="33"/>
      <c r="DX22" s="33"/>
      <c r="DY22" s="33"/>
      <c r="DZ22" s="33"/>
      <c r="EA22" s="33"/>
      <c r="EB22" s="12" t="str">
        <f t="shared" si="19"/>
        <v/>
      </c>
      <c r="EC22" s="13" t="str">
        <f t="shared" si="20"/>
        <v/>
      </c>
      <c r="EE22" s="33"/>
      <c r="EG22" s="33"/>
      <c r="EI22" s="33"/>
      <c r="EK22" s="33"/>
      <c r="EM22" s="33"/>
      <c r="EN22" s="11" t="str">
        <f t="shared" si="21"/>
        <v/>
      </c>
      <c r="EO22" s="33"/>
      <c r="EP22" s="33"/>
      <c r="EQ22" s="33"/>
      <c r="ER22" s="33"/>
      <c r="ES22" s="33"/>
      <c r="ET22" s="33"/>
      <c r="EU22" s="33"/>
      <c r="EV22" s="33"/>
      <c r="EW22" s="12" t="str">
        <f t="shared" si="22"/>
        <v/>
      </c>
      <c r="EX22" s="13" t="str">
        <f t="shared" si="23"/>
        <v/>
      </c>
      <c r="EZ22" s="33"/>
      <c r="FB22" s="33"/>
      <c r="FD22" s="33"/>
      <c r="FF22" s="33"/>
      <c r="FH22" s="33"/>
      <c r="FI22" s="11" t="str">
        <f t="shared" si="24"/>
        <v/>
      </c>
      <c r="FJ22" s="33"/>
      <c r="FK22" s="33"/>
      <c r="FL22" s="33"/>
      <c r="FM22" s="33"/>
      <c r="FN22" s="33"/>
      <c r="FO22" s="33"/>
      <c r="FP22" s="33"/>
      <c r="FQ22" s="33"/>
      <c r="FR22" s="12" t="str">
        <f t="shared" si="25"/>
        <v/>
      </c>
      <c r="FS22" s="13" t="str">
        <f t="shared" si="26"/>
        <v/>
      </c>
      <c r="FU22" s="33"/>
      <c r="FW22" s="33"/>
      <c r="FY22" s="33"/>
      <c r="GA22" s="33"/>
      <c r="GC22" s="33"/>
      <c r="GD22" s="11" t="str">
        <f t="shared" si="27"/>
        <v/>
      </c>
      <c r="GE22" s="33"/>
      <c r="GF22" s="33"/>
      <c r="GG22" s="33"/>
      <c r="GH22" s="33"/>
      <c r="GI22" s="33"/>
      <c r="GJ22" s="33"/>
      <c r="GK22" s="33"/>
      <c r="GL22" s="33"/>
      <c r="GM22" s="12" t="str">
        <f t="shared" si="28"/>
        <v/>
      </c>
      <c r="GN22" s="13" t="str">
        <f t="shared" si="29"/>
        <v/>
      </c>
      <c r="GP22" s="33"/>
      <c r="GR22" s="33"/>
      <c r="GT22" s="33"/>
      <c r="GV22" s="33"/>
      <c r="GX22" s="33"/>
      <c r="GY22" s="11" t="str">
        <f t="shared" si="30"/>
        <v/>
      </c>
      <c r="GZ22" s="33"/>
      <c r="HA22" s="33"/>
      <c r="HB22" s="33"/>
      <c r="HC22" s="33"/>
      <c r="HD22" s="33"/>
      <c r="HE22" s="33"/>
      <c r="HF22" s="33"/>
      <c r="HG22" s="33"/>
      <c r="HH22" s="12" t="str">
        <f t="shared" si="31"/>
        <v/>
      </c>
      <c r="HI22" s="13" t="str">
        <f t="shared" si="32"/>
        <v/>
      </c>
      <c r="HK22" s="33"/>
      <c r="HM22" s="33"/>
      <c r="HO22" s="33"/>
      <c r="HQ22" s="33"/>
      <c r="HS22" s="33"/>
      <c r="HT22" s="11" t="str">
        <f t="shared" si="33"/>
        <v/>
      </c>
      <c r="HU22" s="33"/>
      <c r="HV22" s="33"/>
      <c r="HW22" s="33"/>
      <c r="HX22" s="33"/>
      <c r="HY22" s="33"/>
      <c r="HZ22" s="33"/>
      <c r="IA22" s="33"/>
      <c r="IB22" s="33"/>
      <c r="IC22" s="12" t="str">
        <f t="shared" si="34"/>
        <v/>
      </c>
      <c r="ID22" s="13" t="str">
        <f t="shared" si="35"/>
        <v/>
      </c>
      <c r="IF22" s="33"/>
      <c r="IH22" s="33"/>
      <c r="IJ22" s="33"/>
      <c r="IL22" s="33"/>
      <c r="IN22" s="33"/>
      <c r="IO22" s="11" t="str">
        <f t="shared" si="36"/>
        <v/>
      </c>
      <c r="IP22" s="33"/>
      <c r="IQ22" s="33"/>
      <c r="IR22" s="33"/>
      <c r="IS22" s="33"/>
      <c r="IT22" s="33"/>
      <c r="IU22" s="33"/>
      <c r="IV22" s="33"/>
      <c r="IW22" s="33"/>
      <c r="IX22" s="12" t="str">
        <f t="shared" si="37"/>
        <v/>
      </c>
      <c r="IY22" s="13" t="str">
        <f t="shared" si="38"/>
        <v/>
      </c>
      <c r="JA22" s="33"/>
      <c r="JC22" s="33"/>
      <c r="JE22" s="33"/>
      <c r="JG22" s="33"/>
      <c r="JI22" s="33"/>
      <c r="JJ22" s="11" t="str">
        <f t="shared" si="39"/>
        <v/>
      </c>
      <c r="JK22" s="33"/>
      <c r="JL22" s="33"/>
      <c r="JM22" s="33"/>
      <c r="JN22" s="33"/>
      <c r="JO22" s="33"/>
      <c r="JP22" s="33"/>
      <c r="JQ22" s="33"/>
      <c r="JR22" s="33"/>
      <c r="JS22" s="12" t="str">
        <f t="shared" si="40"/>
        <v/>
      </c>
      <c r="JT22" s="13" t="str">
        <f t="shared" si="41"/>
        <v/>
      </c>
      <c r="JU22" s="3"/>
      <c r="JV22" s="34"/>
      <c r="JW22" s="3"/>
      <c r="JX22" s="34"/>
      <c r="JY22" s="3"/>
      <c r="JZ22" s="34"/>
      <c r="KA22" s="3"/>
      <c r="KB22" s="34"/>
      <c r="KC22" s="3"/>
      <c r="KD22" s="34"/>
      <c r="KE22" s="5" t="str">
        <f t="shared" si="42"/>
        <v/>
      </c>
      <c r="KF22" s="34"/>
      <c r="KG22" s="34"/>
      <c r="KH22" s="34"/>
      <c r="KI22" s="34"/>
      <c r="KJ22" s="34"/>
      <c r="KK22" s="34"/>
      <c r="KL22" s="34"/>
      <c r="KM22" s="34"/>
      <c r="KN22" s="14" t="str">
        <f t="shared" si="43"/>
        <v/>
      </c>
      <c r="KO22" s="15" t="str">
        <f t="shared" si="44"/>
        <v/>
      </c>
    </row>
    <row r="23" spans="1:301" x14ac:dyDescent="0.3">
      <c r="A23" s="3">
        <v>15</v>
      </c>
      <c r="B23" s="4" t="s">
        <v>46</v>
      </c>
      <c r="C23" s="3">
        <v>27</v>
      </c>
      <c r="D23" s="3" t="s">
        <v>47</v>
      </c>
      <c r="E23" s="5" t="str">
        <f t="shared" si="0"/>
        <v/>
      </c>
      <c r="F23" s="10" t="str">
        <f t="shared" si="1"/>
        <v/>
      </c>
      <c r="G23" s="5" t="str">
        <f t="shared" si="2"/>
        <v/>
      </c>
      <c r="I23" s="33"/>
      <c r="K23" s="33"/>
      <c r="M23" s="33"/>
      <c r="O23" s="33"/>
      <c r="Q23" s="33"/>
      <c r="R23" s="11" t="str">
        <f t="shared" si="3"/>
        <v/>
      </c>
      <c r="S23" s="33"/>
      <c r="T23" s="33"/>
      <c r="U23" s="33"/>
      <c r="V23" s="33"/>
      <c r="W23" s="33"/>
      <c r="X23" s="33"/>
      <c r="Y23" s="33"/>
      <c r="Z23" s="33"/>
      <c r="AA23" s="12" t="str">
        <f t="shared" si="4"/>
        <v/>
      </c>
      <c r="AB23" s="13" t="str">
        <f t="shared" si="5"/>
        <v/>
      </c>
      <c r="AD23" s="33"/>
      <c r="AF23" s="33"/>
      <c r="AH23" s="33"/>
      <c r="AJ23" s="33"/>
      <c r="AL23" s="33"/>
      <c r="AM23" s="11" t="str">
        <f t="shared" si="6"/>
        <v/>
      </c>
      <c r="AN23" s="33"/>
      <c r="AO23" s="33"/>
      <c r="AP23" s="33"/>
      <c r="AQ23" s="33"/>
      <c r="AR23" s="33"/>
      <c r="AS23" s="33"/>
      <c r="AT23" s="33"/>
      <c r="AU23" s="33"/>
      <c r="AV23" s="12" t="str">
        <f t="shared" si="7"/>
        <v/>
      </c>
      <c r="AW23" s="13" t="str">
        <f t="shared" si="8"/>
        <v/>
      </c>
      <c r="AY23" s="33"/>
      <c r="BA23" s="33"/>
      <c r="BC23" s="33"/>
      <c r="BE23" s="33"/>
      <c r="BG23" s="33"/>
      <c r="BH23" s="11" t="str">
        <f t="shared" si="9"/>
        <v/>
      </c>
      <c r="BI23" s="33"/>
      <c r="BJ23" s="33"/>
      <c r="BK23" s="33"/>
      <c r="BL23" s="33"/>
      <c r="BM23" s="33"/>
      <c r="BN23" s="33"/>
      <c r="BO23" s="33"/>
      <c r="BP23" s="33"/>
      <c r="BQ23" s="12" t="str">
        <f t="shared" si="10"/>
        <v/>
      </c>
      <c r="BR23" s="13" t="str">
        <f t="shared" si="11"/>
        <v/>
      </c>
      <c r="BT23" s="33"/>
      <c r="BV23" s="33"/>
      <c r="BX23" s="33"/>
      <c r="BZ23" s="33"/>
      <c r="CB23" s="33"/>
      <c r="CC23" s="11" t="str">
        <f t="shared" si="12"/>
        <v/>
      </c>
      <c r="CD23" s="33"/>
      <c r="CE23" s="33"/>
      <c r="CF23" s="33"/>
      <c r="CG23" s="33"/>
      <c r="CH23" s="33"/>
      <c r="CI23" s="33"/>
      <c r="CJ23" s="33"/>
      <c r="CK23" s="33"/>
      <c r="CL23" s="12" t="str">
        <f t="shared" si="13"/>
        <v/>
      </c>
      <c r="CM23" s="13" t="str">
        <f t="shared" si="14"/>
        <v/>
      </c>
      <c r="CO23" s="33"/>
      <c r="CQ23" s="33"/>
      <c r="CS23" s="33"/>
      <c r="CU23" s="33"/>
      <c r="CW23" s="33"/>
      <c r="CX23" s="11" t="str">
        <f t="shared" si="15"/>
        <v/>
      </c>
      <c r="CY23" s="33"/>
      <c r="CZ23" s="33"/>
      <c r="DA23" s="33"/>
      <c r="DB23" s="33"/>
      <c r="DC23" s="33"/>
      <c r="DD23" s="33"/>
      <c r="DE23" s="33"/>
      <c r="DF23" s="33"/>
      <c r="DG23" s="12" t="str">
        <f t="shared" si="16"/>
        <v/>
      </c>
      <c r="DH23" s="13" t="str">
        <f t="shared" si="17"/>
        <v/>
      </c>
      <c r="DJ23" s="33"/>
      <c r="DL23" s="33"/>
      <c r="DN23" s="33"/>
      <c r="DP23" s="33"/>
      <c r="DR23" s="33"/>
      <c r="DS23" s="11" t="str">
        <f t="shared" si="18"/>
        <v/>
      </c>
      <c r="DT23" s="33"/>
      <c r="DU23" s="33"/>
      <c r="DV23" s="33"/>
      <c r="DW23" s="33"/>
      <c r="DX23" s="33"/>
      <c r="DY23" s="33"/>
      <c r="DZ23" s="33"/>
      <c r="EA23" s="33"/>
      <c r="EB23" s="12" t="str">
        <f t="shared" si="19"/>
        <v/>
      </c>
      <c r="EC23" s="13" t="str">
        <f t="shared" si="20"/>
        <v/>
      </c>
      <c r="EE23" s="33"/>
      <c r="EG23" s="33"/>
      <c r="EI23" s="33"/>
      <c r="EK23" s="33"/>
      <c r="EM23" s="33"/>
      <c r="EN23" s="11" t="str">
        <f t="shared" si="21"/>
        <v/>
      </c>
      <c r="EO23" s="33"/>
      <c r="EP23" s="33"/>
      <c r="EQ23" s="33"/>
      <c r="ER23" s="33"/>
      <c r="ES23" s="33"/>
      <c r="ET23" s="33"/>
      <c r="EU23" s="33"/>
      <c r="EV23" s="33"/>
      <c r="EW23" s="12" t="str">
        <f t="shared" si="22"/>
        <v/>
      </c>
      <c r="EX23" s="13" t="str">
        <f t="shared" si="23"/>
        <v/>
      </c>
      <c r="EZ23" s="33"/>
      <c r="FB23" s="33"/>
      <c r="FD23" s="33"/>
      <c r="FF23" s="33"/>
      <c r="FH23" s="33"/>
      <c r="FI23" s="11" t="str">
        <f t="shared" si="24"/>
        <v/>
      </c>
      <c r="FJ23" s="33"/>
      <c r="FK23" s="33"/>
      <c r="FL23" s="33"/>
      <c r="FM23" s="33"/>
      <c r="FN23" s="33"/>
      <c r="FO23" s="33"/>
      <c r="FP23" s="33"/>
      <c r="FQ23" s="33"/>
      <c r="FR23" s="12" t="str">
        <f t="shared" si="25"/>
        <v/>
      </c>
      <c r="FS23" s="13" t="str">
        <f t="shared" si="26"/>
        <v/>
      </c>
      <c r="FU23" s="33"/>
      <c r="FW23" s="33"/>
      <c r="FY23" s="33"/>
      <c r="GA23" s="33"/>
      <c r="GC23" s="33"/>
      <c r="GD23" s="11" t="str">
        <f t="shared" si="27"/>
        <v/>
      </c>
      <c r="GE23" s="33"/>
      <c r="GF23" s="33"/>
      <c r="GG23" s="33"/>
      <c r="GH23" s="33"/>
      <c r="GI23" s="33"/>
      <c r="GJ23" s="33"/>
      <c r="GK23" s="33"/>
      <c r="GL23" s="33"/>
      <c r="GM23" s="12" t="str">
        <f t="shared" si="28"/>
        <v/>
      </c>
      <c r="GN23" s="13" t="str">
        <f t="shared" si="29"/>
        <v/>
      </c>
      <c r="GP23" s="33"/>
      <c r="GR23" s="33"/>
      <c r="GT23" s="33"/>
      <c r="GV23" s="33"/>
      <c r="GX23" s="33"/>
      <c r="GY23" s="11" t="str">
        <f t="shared" si="30"/>
        <v/>
      </c>
      <c r="GZ23" s="33"/>
      <c r="HA23" s="33"/>
      <c r="HB23" s="33"/>
      <c r="HC23" s="33"/>
      <c r="HD23" s="33"/>
      <c r="HE23" s="33"/>
      <c r="HF23" s="33"/>
      <c r="HG23" s="33"/>
      <c r="HH23" s="12" t="str">
        <f t="shared" si="31"/>
        <v/>
      </c>
      <c r="HI23" s="13" t="str">
        <f t="shared" si="32"/>
        <v/>
      </c>
      <c r="HK23" s="33"/>
      <c r="HM23" s="33"/>
      <c r="HO23" s="33"/>
      <c r="HQ23" s="33"/>
      <c r="HS23" s="33"/>
      <c r="HT23" s="11" t="str">
        <f t="shared" si="33"/>
        <v/>
      </c>
      <c r="HU23" s="33"/>
      <c r="HV23" s="33"/>
      <c r="HW23" s="33"/>
      <c r="HX23" s="33"/>
      <c r="HY23" s="33"/>
      <c r="HZ23" s="33"/>
      <c r="IA23" s="33"/>
      <c r="IB23" s="33"/>
      <c r="IC23" s="12" t="str">
        <f t="shared" si="34"/>
        <v/>
      </c>
      <c r="ID23" s="13" t="str">
        <f t="shared" si="35"/>
        <v/>
      </c>
      <c r="IF23" s="33"/>
      <c r="IH23" s="33"/>
      <c r="IJ23" s="33"/>
      <c r="IL23" s="33"/>
      <c r="IN23" s="33"/>
      <c r="IO23" s="11" t="str">
        <f t="shared" si="36"/>
        <v/>
      </c>
      <c r="IP23" s="33"/>
      <c r="IQ23" s="33"/>
      <c r="IR23" s="33"/>
      <c r="IS23" s="33"/>
      <c r="IT23" s="33"/>
      <c r="IU23" s="33"/>
      <c r="IV23" s="33"/>
      <c r="IW23" s="33"/>
      <c r="IX23" s="12" t="str">
        <f t="shared" si="37"/>
        <v/>
      </c>
      <c r="IY23" s="13" t="str">
        <f t="shared" si="38"/>
        <v/>
      </c>
      <c r="JA23" s="33"/>
      <c r="JC23" s="33"/>
      <c r="JE23" s="33"/>
      <c r="JG23" s="33"/>
      <c r="JI23" s="33"/>
      <c r="JJ23" s="11" t="str">
        <f t="shared" si="39"/>
        <v/>
      </c>
      <c r="JK23" s="33"/>
      <c r="JL23" s="33"/>
      <c r="JM23" s="33"/>
      <c r="JN23" s="33"/>
      <c r="JO23" s="33"/>
      <c r="JP23" s="33"/>
      <c r="JQ23" s="33"/>
      <c r="JR23" s="33"/>
      <c r="JS23" s="12" t="str">
        <f t="shared" si="40"/>
        <v/>
      </c>
      <c r="JT23" s="13" t="str">
        <f t="shared" si="41"/>
        <v/>
      </c>
      <c r="JU23" s="3"/>
      <c r="JV23" s="34"/>
      <c r="JW23" s="3"/>
      <c r="JX23" s="34"/>
      <c r="JY23" s="3"/>
      <c r="JZ23" s="34"/>
      <c r="KA23" s="3"/>
      <c r="KB23" s="34"/>
      <c r="KC23" s="3"/>
      <c r="KD23" s="34"/>
      <c r="KE23" s="5" t="str">
        <f t="shared" si="42"/>
        <v/>
      </c>
      <c r="KF23" s="34"/>
      <c r="KG23" s="34"/>
      <c r="KH23" s="34"/>
      <c r="KI23" s="34"/>
      <c r="KJ23" s="34"/>
      <c r="KK23" s="34"/>
      <c r="KL23" s="34"/>
      <c r="KM23" s="34"/>
      <c r="KN23" s="14" t="str">
        <f t="shared" si="43"/>
        <v/>
      </c>
      <c r="KO23" s="15" t="str">
        <f t="shared" si="44"/>
        <v/>
      </c>
    </row>
    <row r="24" spans="1:301" x14ac:dyDescent="0.3">
      <c r="A24" s="3">
        <v>16</v>
      </c>
      <c r="B24" s="4" t="s">
        <v>48</v>
      </c>
      <c r="C24" s="3">
        <v>28</v>
      </c>
      <c r="D24" s="3" t="s">
        <v>49</v>
      </c>
      <c r="E24" s="5" t="str">
        <f t="shared" si="0"/>
        <v/>
      </c>
      <c r="F24" s="10" t="str">
        <f t="shared" si="1"/>
        <v/>
      </c>
      <c r="G24" s="5" t="str">
        <f t="shared" si="2"/>
        <v/>
      </c>
      <c r="I24" s="33"/>
      <c r="K24" s="33"/>
      <c r="M24" s="33"/>
      <c r="O24" s="33"/>
      <c r="Q24" s="33"/>
      <c r="R24" s="11" t="str">
        <f t="shared" si="3"/>
        <v/>
      </c>
      <c r="S24" s="33"/>
      <c r="T24" s="33"/>
      <c r="U24" s="33"/>
      <c r="V24" s="33"/>
      <c r="W24" s="33"/>
      <c r="X24" s="33"/>
      <c r="Y24" s="33"/>
      <c r="Z24" s="33"/>
      <c r="AA24" s="12" t="str">
        <f t="shared" si="4"/>
        <v/>
      </c>
      <c r="AB24" s="13" t="str">
        <f t="shared" si="5"/>
        <v/>
      </c>
      <c r="AD24" s="33"/>
      <c r="AF24" s="33"/>
      <c r="AH24" s="33"/>
      <c r="AJ24" s="33"/>
      <c r="AL24" s="33"/>
      <c r="AM24" s="11" t="str">
        <f t="shared" si="6"/>
        <v/>
      </c>
      <c r="AN24" s="33"/>
      <c r="AO24" s="33"/>
      <c r="AP24" s="33"/>
      <c r="AQ24" s="33"/>
      <c r="AR24" s="33"/>
      <c r="AS24" s="33"/>
      <c r="AT24" s="33"/>
      <c r="AU24" s="33"/>
      <c r="AV24" s="12" t="str">
        <f t="shared" si="7"/>
        <v/>
      </c>
      <c r="AW24" s="13" t="str">
        <f t="shared" si="8"/>
        <v/>
      </c>
      <c r="AY24" s="33"/>
      <c r="BA24" s="33"/>
      <c r="BC24" s="33"/>
      <c r="BE24" s="33"/>
      <c r="BG24" s="33"/>
      <c r="BH24" s="11" t="str">
        <f t="shared" si="9"/>
        <v/>
      </c>
      <c r="BI24" s="33"/>
      <c r="BJ24" s="33"/>
      <c r="BK24" s="33"/>
      <c r="BL24" s="33"/>
      <c r="BM24" s="33"/>
      <c r="BN24" s="33"/>
      <c r="BO24" s="33"/>
      <c r="BP24" s="33"/>
      <c r="BQ24" s="12" t="str">
        <f t="shared" si="10"/>
        <v/>
      </c>
      <c r="BR24" s="13" t="str">
        <f t="shared" si="11"/>
        <v/>
      </c>
      <c r="BT24" s="33"/>
      <c r="BV24" s="33"/>
      <c r="BX24" s="33"/>
      <c r="BZ24" s="33"/>
      <c r="CB24" s="33"/>
      <c r="CC24" s="11" t="str">
        <f t="shared" si="12"/>
        <v/>
      </c>
      <c r="CD24" s="33"/>
      <c r="CE24" s="33"/>
      <c r="CF24" s="33"/>
      <c r="CG24" s="33"/>
      <c r="CH24" s="33"/>
      <c r="CI24" s="33"/>
      <c r="CJ24" s="33"/>
      <c r="CK24" s="33"/>
      <c r="CL24" s="12" t="str">
        <f t="shared" si="13"/>
        <v/>
      </c>
      <c r="CM24" s="13" t="str">
        <f t="shared" si="14"/>
        <v/>
      </c>
      <c r="CO24" s="33"/>
      <c r="CQ24" s="33"/>
      <c r="CS24" s="33"/>
      <c r="CU24" s="33"/>
      <c r="CW24" s="33"/>
      <c r="CX24" s="11" t="str">
        <f t="shared" si="15"/>
        <v/>
      </c>
      <c r="CY24" s="33"/>
      <c r="CZ24" s="33"/>
      <c r="DA24" s="33"/>
      <c r="DB24" s="33"/>
      <c r="DC24" s="33"/>
      <c r="DD24" s="33"/>
      <c r="DE24" s="33"/>
      <c r="DF24" s="33"/>
      <c r="DG24" s="12" t="str">
        <f t="shared" si="16"/>
        <v/>
      </c>
      <c r="DH24" s="13" t="str">
        <f t="shared" si="17"/>
        <v/>
      </c>
      <c r="DJ24" s="33"/>
      <c r="DL24" s="33"/>
      <c r="DN24" s="33"/>
      <c r="DP24" s="33"/>
      <c r="DR24" s="33"/>
      <c r="DS24" s="11" t="str">
        <f t="shared" si="18"/>
        <v/>
      </c>
      <c r="DT24" s="33"/>
      <c r="DU24" s="33"/>
      <c r="DV24" s="33"/>
      <c r="DW24" s="33"/>
      <c r="DX24" s="33"/>
      <c r="DY24" s="33"/>
      <c r="DZ24" s="33"/>
      <c r="EA24" s="33"/>
      <c r="EB24" s="12" t="str">
        <f t="shared" si="19"/>
        <v/>
      </c>
      <c r="EC24" s="13" t="str">
        <f t="shared" si="20"/>
        <v/>
      </c>
      <c r="EE24" s="33"/>
      <c r="EG24" s="33"/>
      <c r="EI24" s="33"/>
      <c r="EK24" s="33"/>
      <c r="EM24" s="33"/>
      <c r="EN24" s="11" t="str">
        <f t="shared" si="21"/>
        <v/>
      </c>
      <c r="EO24" s="33"/>
      <c r="EP24" s="33"/>
      <c r="EQ24" s="33"/>
      <c r="ER24" s="33"/>
      <c r="ES24" s="33"/>
      <c r="ET24" s="33"/>
      <c r="EU24" s="33"/>
      <c r="EV24" s="33"/>
      <c r="EW24" s="12" t="str">
        <f t="shared" si="22"/>
        <v/>
      </c>
      <c r="EX24" s="13" t="str">
        <f t="shared" si="23"/>
        <v/>
      </c>
      <c r="EZ24" s="33"/>
      <c r="FB24" s="33"/>
      <c r="FD24" s="33"/>
      <c r="FF24" s="33"/>
      <c r="FH24" s="33"/>
      <c r="FI24" s="11" t="str">
        <f t="shared" si="24"/>
        <v/>
      </c>
      <c r="FJ24" s="33"/>
      <c r="FK24" s="33"/>
      <c r="FL24" s="33"/>
      <c r="FM24" s="33"/>
      <c r="FN24" s="33"/>
      <c r="FO24" s="33"/>
      <c r="FP24" s="33"/>
      <c r="FQ24" s="33"/>
      <c r="FR24" s="12" t="str">
        <f t="shared" si="25"/>
        <v/>
      </c>
      <c r="FS24" s="13" t="str">
        <f t="shared" si="26"/>
        <v/>
      </c>
      <c r="FU24" s="33"/>
      <c r="FW24" s="33"/>
      <c r="FY24" s="33"/>
      <c r="GA24" s="33"/>
      <c r="GC24" s="33"/>
      <c r="GD24" s="11" t="str">
        <f t="shared" si="27"/>
        <v/>
      </c>
      <c r="GE24" s="33"/>
      <c r="GF24" s="33"/>
      <c r="GG24" s="33"/>
      <c r="GH24" s="33"/>
      <c r="GI24" s="33"/>
      <c r="GJ24" s="33"/>
      <c r="GK24" s="33"/>
      <c r="GL24" s="33"/>
      <c r="GM24" s="12" t="str">
        <f t="shared" si="28"/>
        <v/>
      </c>
      <c r="GN24" s="13" t="str">
        <f t="shared" si="29"/>
        <v/>
      </c>
      <c r="GP24" s="33"/>
      <c r="GR24" s="33"/>
      <c r="GT24" s="33"/>
      <c r="GV24" s="33"/>
      <c r="GX24" s="33"/>
      <c r="GY24" s="11" t="str">
        <f t="shared" si="30"/>
        <v/>
      </c>
      <c r="GZ24" s="33"/>
      <c r="HA24" s="33"/>
      <c r="HB24" s="33"/>
      <c r="HC24" s="33"/>
      <c r="HD24" s="33"/>
      <c r="HE24" s="33"/>
      <c r="HF24" s="33"/>
      <c r="HG24" s="33"/>
      <c r="HH24" s="12" t="str">
        <f t="shared" si="31"/>
        <v/>
      </c>
      <c r="HI24" s="13" t="str">
        <f t="shared" si="32"/>
        <v/>
      </c>
      <c r="HK24" s="33"/>
      <c r="HM24" s="33"/>
      <c r="HO24" s="33"/>
      <c r="HQ24" s="33"/>
      <c r="HS24" s="33"/>
      <c r="HT24" s="11" t="str">
        <f t="shared" si="33"/>
        <v/>
      </c>
      <c r="HU24" s="33"/>
      <c r="HV24" s="33"/>
      <c r="HW24" s="33"/>
      <c r="HX24" s="33"/>
      <c r="HY24" s="33"/>
      <c r="HZ24" s="33"/>
      <c r="IA24" s="33"/>
      <c r="IB24" s="33"/>
      <c r="IC24" s="12" t="str">
        <f t="shared" si="34"/>
        <v/>
      </c>
      <c r="ID24" s="13" t="str">
        <f t="shared" si="35"/>
        <v/>
      </c>
      <c r="IF24" s="33"/>
      <c r="IH24" s="33"/>
      <c r="IJ24" s="33"/>
      <c r="IL24" s="33"/>
      <c r="IN24" s="33"/>
      <c r="IO24" s="11" t="str">
        <f t="shared" si="36"/>
        <v/>
      </c>
      <c r="IP24" s="33"/>
      <c r="IQ24" s="33"/>
      <c r="IR24" s="33"/>
      <c r="IS24" s="33"/>
      <c r="IT24" s="33"/>
      <c r="IU24" s="33"/>
      <c r="IV24" s="33"/>
      <c r="IW24" s="33"/>
      <c r="IX24" s="12" t="str">
        <f t="shared" si="37"/>
        <v/>
      </c>
      <c r="IY24" s="13" t="str">
        <f t="shared" si="38"/>
        <v/>
      </c>
      <c r="JA24" s="33"/>
      <c r="JC24" s="33"/>
      <c r="JE24" s="33"/>
      <c r="JG24" s="33"/>
      <c r="JI24" s="33"/>
      <c r="JJ24" s="11" t="str">
        <f t="shared" si="39"/>
        <v/>
      </c>
      <c r="JK24" s="33"/>
      <c r="JL24" s="33"/>
      <c r="JM24" s="33"/>
      <c r="JN24" s="33"/>
      <c r="JO24" s="33"/>
      <c r="JP24" s="33"/>
      <c r="JQ24" s="33"/>
      <c r="JR24" s="33"/>
      <c r="JS24" s="12" t="str">
        <f t="shared" si="40"/>
        <v/>
      </c>
      <c r="JT24" s="13" t="str">
        <f t="shared" si="41"/>
        <v/>
      </c>
      <c r="JU24" s="3"/>
      <c r="JV24" s="34"/>
      <c r="JW24" s="3"/>
      <c r="JX24" s="34"/>
      <c r="JY24" s="3"/>
      <c r="JZ24" s="34"/>
      <c r="KA24" s="3"/>
      <c r="KB24" s="34"/>
      <c r="KC24" s="3"/>
      <c r="KD24" s="34"/>
      <c r="KE24" s="5" t="str">
        <f t="shared" si="42"/>
        <v/>
      </c>
      <c r="KF24" s="34"/>
      <c r="KG24" s="34"/>
      <c r="KH24" s="34"/>
      <c r="KI24" s="34"/>
      <c r="KJ24" s="34"/>
      <c r="KK24" s="34"/>
      <c r="KL24" s="34"/>
      <c r="KM24" s="34"/>
      <c r="KN24" s="14" t="str">
        <f t="shared" si="43"/>
        <v/>
      </c>
      <c r="KO24" s="15" t="str">
        <f t="shared" si="44"/>
        <v/>
      </c>
    </row>
    <row r="25" spans="1:301" x14ac:dyDescent="0.3">
      <c r="A25" s="3">
        <v>17</v>
      </c>
      <c r="B25" s="4" t="s">
        <v>50</v>
      </c>
      <c r="C25" s="3">
        <v>29</v>
      </c>
      <c r="D25" s="3" t="s">
        <v>51</v>
      </c>
      <c r="E25" s="5" t="str">
        <f t="shared" si="0"/>
        <v/>
      </c>
      <c r="F25" s="10" t="str">
        <f t="shared" si="1"/>
        <v/>
      </c>
      <c r="G25" s="5" t="str">
        <f t="shared" si="2"/>
        <v/>
      </c>
      <c r="I25" s="33"/>
      <c r="K25" s="33"/>
      <c r="M25" s="33"/>
      <c r="O25" s="33"/>
      <c r="Q25" s="33"/>
      <c r="R25" s="11" t="str">
        <f t="shared" si="3"/>
        <v/>
      </c>
      <c r="S25" s="33"/>
      <c r="T25" s="33"/>
      <c r="U25" s="33"/>
      <c r="V25" s="33"/>
      <c r="W25" s="33"/>
      <c r="X25" s="33"/>
      <c r="Y25" s="33"/>
      <c r="Z25" s="33"/>
      <c r="AA25" s="12" t="str">
        <f t="shared" si="4"/>
        <v/>
      </c>
      <c r="AB25" s="13" t="str">
        <f t="shared" si="5"/>
        <v/>
      </c>
      <c r="AD25" s="33"/>
      <c r="AF25" s="33"/>
      <c r="AH25" s="33"/>
      <c r="AJ25" s="33"/>
      <c r="AL25" s="33"/>
      <c r="AM25" s="11" t="str">
        <f t="shared" si="6"/>
        <v/>
      </c>
      <c r="AN25" s="33"/>
      <c r="AO25" s="33"/>
      <c r="AP25" s="33"/>
      <c r="AQ25" s="33"/>
      <c r="AR25" s="33"/>
      <c r="AS25" s="33"/>
      <c r="AT25" s="33"/>
      <c r="AU25" s="33"/>
      <c r="AV25" s="12" t="str">
        <f t="shared" si="7"/>
        <v/>
      </c>
      <c r="AW25" s="13" t="str">
        <f t="shared" si="8"/>
        <v/>
      </c>
      <c r="AY25" s="33"/>
      <c r="BA25" s="33"/>
      <c r="BC25" s="33"/>
      <c r="BE25" s="33"/>
      <c r="BG25" s="33"/>
      <c r="BH25" s="11" t="str">
        <f t="shared" si="9"/>
        <v/>
      </c>
      <c r="BI25" s="33"/>
      <c r="BJ25" s="33"/>
      <c r="BK25" s="33"/>
      <c r="BL25" s="33"/>
      <c r="BM25" s="33"/>
      <c r="BN25" s="33"/>
      <c r="BO25" s="33"/>
      <c r="BP25" s="33"/>
      <c r="BQ25" s="12" t="str">
        <f t="shared" si="10"/>
        <v/>
      </c>
      <c r="BR25" s="13" t="str">
        <f t="shared" si="11"/>
        <v/>
      </c>
      <c r="BT25" s="33"/>
      <c r="BV25" s="33"/>
      <c r="BX25" s="33"/>
      <c r="BZ25" s="33"/>
      <c r="CB25" s="33"/>
      <c r="CC25" s="11" t="str">
        <f t="shared" si="12"/>
        <v/>
      </c>
      <c r="CD25" s="33"/>
      <c r="CE25" s="33"/>
      <c r="CF25" s="33"/>
      <c r="CG25" s="33"/>
      <c r="CH25" s="33"/>
      <c r="CI25" s="33"/>
      <c r="CJ25" s="33"/>
      <c r="CK25" s="33"/>
      <c r="CL25" s="12" t="str">
        <f t="shared" si="13"/>
        <v/>
      </c>
      <c r="CM25" s="13" t="str">
        <f t="shared" si="14"/>
        <v/>
      </c>
      <c r="CO25" s="33"/>
      <c r="CQ25" s="33"/>
      <c r="CS25" s="33"/>
      <c r="CU25" s="33"/>
      <c r="CW25" s="33"/>
      <c r="CX25" s="11" t="str">
        <f t="shared" si="15"/>
        <v/>
      </c>
      <c r="CY25" s="33"/>
      <c r="CZ25" s="33"/>
      <c r="DA25" s="33"/>
      <c r="DB25" s="33"/>
      <c r="DC25" s="33"/>
      <c r="DD25" s="33"/>
      <c r="DE25" s="33"/>
      <c r="DF25" s="33"/>
      <c r="DG25" s="12" t="str">
        <f t="shared" si="16"/>
        <v/>
      </c>
      <c r="DH25" s="13" t="str">
        <f t="shared" si="17"/>
        <v/>
      </c>
      <c r="DJ25" s="33"/>
      <c r="DL25" s="33"/>
      <c r="DN25" s="33"/>
      <c r="DP25" s="33"/>
      <c r="DR25" s="33"/>
      <c r="DS25" s="11" t="str">
        <f t="shared" si="18"/>
        <v/>
      </c>
      <c r="DT25" s="33"/>
      <c r="DU25" s="33"/>
      <c r="DV25" s="33"/>
      <c r="DW25" s="33"/>
      <c r="DX25" s="33"/>
      <c r="DY25" s="33"/>
      <c r="DZ25" s="33"/>
      <c r="EA25" s="33"/>
      <c r="EB25" s="12" t="str">
        <f t="shared" si="19"/>
        <v/>
      </c>
      <c r="EC25" s="13" t="str">
        <f t="shared" si="20"/>
        <v/>
      </c>
      <c r="EE25" s="33"/>
      <c r="EG25" s="33"/>
      <c r="EI25" s="33"/>
      <c r="EK25" s="33"/>
      <c r="EM25" s="33"/>
      <c r="EN25" s="11" t="str">
        <f t="shared" si="21"/>
        <v/>
      </c>
      <c r="EO25" s="33"/>
      <c r="EP25" s="33"/>
      <c r="EQ25" s="33"/>
      <c r="ER25" s="33"/>
      <c r="ES25" s="33"/>
      <c r="ET25" s="33"/>
      <c r="EU25" s="33"/>
      <c r="EV25" s="33"/>
      <c r="EW25" s="12" t="str">
        <f t="shared" si="22"/>
        <v/>
      </c>
      <c r="EX25" s="13" t="str">
        <f t="shared" si="23"/>
        <v/>
      </c>
      <c r="EZ25" s="33"/>
      <c r="FB25" s="33"/>
      <c r="FD25" s="33"/>
      <c r="FF25" s="33"/>
      <c r="FH25" s="33"/>
      <c r="FI25" s="11" t="str">
        <f t="shared" si="24"/>
        <v/>
      </c>
      <c r="FJ25" s="33"/>
      <c r="FK25" s="33"/>
      <c r="FL25" s="33"/>
      <c r="FM25" s="33"/>
      <c r="FN25" s="33"/>
      <c r="FO25" s="33"/>
      <c r="FP25" s="33"/>
      <c r="FQ25" s="33"/>
      <c r="FR25" s="12" t="str">
        <f t="shared" si="25"/>
        <v/>
      </c>
      <c r="FS25" s="13" t="str">
        <f t="shared" si="26"/>
        <v/>
      </c>
      <c r="FU25" s="33"/>
      <c r="FW25" s="33"/>
      <c r="FY25" s="33"/>
      <c r="GA25" s="33"/>
      <c r="GC25" s="33"/>
      <c r="GD25" s="11" t="str">
        <f t="shared" si="27"/>
        <v/>
      </c>
      <c r="GE25" s="33"/>
      <c r="GF25" s="33"/>
      <c r="GG25" s="33"/>
      <c r="GH25" s="33"/>
      <c r="GI25" s="33"/>
      <c r="GJ25" s="33"/>
      <c r="GK25" s="33"/>
      <c r="GL25" s="33"/>
      <c r="GM25" s="12" t="str">
        <f t="shared" si="28"/>
        <v/>
      </c>
      <c r="GN25" s="13" t="str">
        <f t="shared" si="29"/>
        <v/>
      </c>
      <c r="GP25" s="33"/>
      <c r="GR25" s="33"/>
      <c r="GT25" s="33"/>
      <c r="GV25" s="33"/>
      <c r="GX25" s="33"/>
      <c r="GY25" s="11" t="str">
        <f t="shared" si="30"/>
        <v/>
      </c>
      <c r="GZ25" s="33"/>
      <c r="HA25" s="33"/>
      <c r="HB25" s="33"/>
      <c r="HC25" s="33"/>
      <c r="HD25" s="33"/>
      <c r="HE25" s="33"/>
      <c r="HF25" s="33"/>
      <c r="HG25" s="33"/>
      <c r="HH25" s="12" t="str">
        <f t="shared" si="31"/>
        <v/>
      </c>
      <c r="HI25" s="13" t="str">
        <f t="shared" si="32"/>
        <v/>
      </c>
      <c r="HK25" s="33"/>
      <c r="HM25" s="33"/>
      <c r="HO25" s="33"/>
      <c r="HQ25" s="33"/>
      <c r="HS25" s="33"/>
      <c r="HT25" s="11" t="str">
        <f t="shared" si="33"/>
        <v/>
      </c>
      <c r="HU25" s="33"/>
      <c r="HV25" s="33"/>
      <c r="HW25" s="33"/>
      <c r="HX25" s="33"/>
      <c r="HY25" s="33"/>
      <c r="HZ25" s="33"/>
      <c r="IA25" s="33"/>
      <c r="IB25" s="33"/>
      <c r="IC25" s="12" t="str">
        <f t="shared" si="34"/>
        <v/>
      </c>
      <c r="ID25" s="13" t="str">
        <f t="shared" si="35"/>
        <v/>
      </c>
      <c r="IF25" s="33"/>
      <c r="IH25" s="33"/>
      <c r="IJ25" s="33"/>
      <c r="IL25" s="33"/>
      <c r="IN25" s="33"/>
      <c r="IO25" s="11" t="str">
        <f t="shared" si="36"/>
        <v/>
      </c>
      <c r="IP25" s="33"/>
      <c r="IQ25" s="33"/>
      <c r="IR25" s="33"/>
      <c r="IS25" s="33"/>
      <c r="IT25" s="33"/>
      <c r="IU25" s="33"/>
      <c r="IV25" s="33"/>
      <c r="IW25" s="33"/>
      <c r="IX25" s="12" t="str">
        <f t="shared" si="37"/>
        <v/>
      </c>
      <c r="IY25" s="13" t="str">
        <f t="shared" si="38"/>
        <v/>
      </c>
      <c r="JA25" s="33"/>
      <c r="JC25" s="33"/>
      <c r="JE25" s="33"/>
      <c r="JG25" s="33"/>
      <c r="JI25" s="33"/>
      <c r="JJ25" s="11" t="str">
        <f t="shared" si="39"/>
        <v/>
      </c>
      <c r="JK25" s="33"/>
      <c r="JL25" s="33"/>
      <c r="JM25" s="33"/>
      <c r="JN25" s="33"/>
      <c r="JO25" s="33"/>
      <c r="JP25" s="33"/>
      <c r="JQ25" s="33"/>
      <c r="JR25" s="33"/>
      <c r="JS25" s="12" t="str">
        <f t="shared" si="40"/>
        <v/>
      </c>
      <c r="JT25" s="13" t="str">
        <f t="shared" si="41"/>
        <v/>
      </c>
      <c r="JU25" s="3"/>
      <c r="JV25" s="34"/>
      <c r="JW25" s="3"/>
      <c r="JX25" s="34"/>
      <c r="JY25" s="3"/>
      <c r="JZ25" s="34"/>
      <c r="KA25" s="3"/>
      <c r="KB25" s="34"/>
      <c r="KC25" s="3"/>
      <c r="KD25" s="34"/>
      <c r="KE25" s="5" t="str">
        <f t="shared" si="42"/>
        <v/>
      </c>
      <c r="KF25" s="34"/>
      <c r="KG25" s="34"/>
      <c r="KH25" s="34"/>
      <c r="KI25" s="34"/>
      <c r="KJ25" s="34"/>
      <c r="KK25" s="34"/>
      <c r="KL25" s="34"/>
      <c r="KM25" s="34"/>
      <c r="KN25" s="14" t="str">
        <f t="shared" si="43"/>
        <v/>
      </c>
      <c r="KO25" s="15" t="str">
        <f t="shared" si="44"/>
        <v/>
      </c>
    </row>
    <row r="26" spans="1:301" x14ac:dyDescent="0.3">
      <c r="A26" s="3">
        <v>18</v>
      </c>
      <c r="B26" s="4" t="s">
        <v>52</v>
      </c>
      <c r="C26" s="3">
        <v>30</v>
      </c>
      <c r="D26" s="3" t="s">
        <v>53</v>
      </c>
      <c r="E26" s="5" t="str">
        <f t="shared" si="0"/>
        <v/>
      </c>
      <c r="F26" s="10" t="str">
        <f t="shared" si="1"/>
        <v/>
      </c>
      <c r="G26" s="5" t="str">
        <f t="shared" si="2"/>
        <v/>
      </c>
      <c r="I26" s="33"/>
      <c r="K26" s="33"/>
      <c r="M26" s="33"/>
      <c r="O26" s="33"/>
      <c r="Q26" s="33"/>
      <c r="R26" s="11" t="str">
        <f t="shared" si="3"/>
        <v/>
      </c>
      <c r="S26" s="33"/>
      <c r="T26" s="33"/>
      <c r="U26" s="33"/>
      <c r="V26" s="33"/>
      <c r="W26" s="33"/>
      <c r="X26" s="33"/>
      <c r="Y26" s="33"/>
      <c r="Z26" s="33"/>
      <c r="AA26" s="12" t="str">
        <f t="shared" si="4"/>
        <v/>
      </c>
      <c r="AB26" s="13" t="str">
        <f t="shared" si="5"/>
        <v/>
      </c>
      <c r="AD26" s="33"/>
      <c r="AF26" s="33"/>
      <c r="AH26" s="33"/>
      <c r="AJ26" s="33"/>
      <c r="AL26" s="33"/>
      <c r="AM26" s="11" t="str">
        <f t="shared" si="6"/>
        <v/>
      </c>
      <c r="AN26" s="33"/>
      <c r="AO26" s="33"/>
      <c r="AP26" s="33"/>
      <c r="AQ26" s="33"/>
      <c r="AR26" s="33"/>
      <c r="AS26" s="33"/>
      <c r="AT26" s="33"/>
      <c r="AU26" s="33"/>
      <c r="AV26" s="12" t="str">
        <f t="shared" si="7"/>
        <v/>
      </c>
      <c r="AW26" s="13" t="str">
        <f t="shared" si="8"/>
        <v/>
      </c>
      <c r="AY26" s="33"/>
      <c r="BA26" s="33"/>
      <c r="BC26" s="33"/>
      <c r="BE26" s="33"/>
      <c r="BG26" s="33"/>
      <c r="BH26" s="11" t="str">
        <f t="shared" si="9"/>
        <v/>
      </c>
      <c r="BI26" s="33"/>
      <c r="BJ26" s="33"/>
      <c r="BK26" s="33"/>
      <c r="BL26" s="33"/>
      <c r="BM26" s="33"/>
      <c r="BN26" s="33"/>
      <c r="BO26" s="33"/>
      <c r="BP26" s="33"/>
      <c r="BQ26" s="12" t="str">
        <f t="shared" si="10"/>
        <v/>
      </c>
      <c r="BR26" s="13" t="str">
        <f t="shared" si="11"/>
        <v/>
      </c>
      <c r="BT26" s="33"/>
      <c r="BV26" s="33"/>
      <c r="BX26" s="33"/>
      <c r="BZ26" s="33"/>
      <c r="CB26" s="33"/>
      <c r="CC26" s="11" t="str">
        <f t="shared" si="12"/>
        <v/>
      </c>
      <c r="CD26" s="33"/>
      <c r="CE26" s="33"/>
      <c r="CF26" s="33"/>
      <c r="CG26" s="33"/>
      <c r="CH26" s="33"/>
      <c r="CI26" s="33"/>
      <c r="CJ26" s="33"/>
      <c r="CK26" s="33"/>
      <c r="CL26" s="12" t="str">
        <f t="shared" si="13"/>
        <v/>
      </c>
      <c r="CM26" s="13" t="str">
        <f t="shared" si="14"/>
        <v/>
      </c>
      <c r="CO26" s="33"/>
      <c r="CQ26" s="33"/>
      <c r="CS26" s="33"/>
      <c r="CU26" s="33"/>
      <c r="CW26" s="33"/>
      <c r="CX26" s="11" t="str">
        <f t="shared" si="15"/>
        <v/>
      </c>
      <c r="CY26" s="33"/>
      <c r="CZ26" s="33"/>
      <c r="DA26" s="33"/>
      <c r="DB26" s="33"/>
      <c r="DC26" s="33"/>
      <c r="DD26" s="33"/>
      <c r="DE26" s="33"/>
      <c r="DF26" s="33"/>
      <c r="DG26" s="12" t="str">
        <f t="shared" si="16"/>
        <v/>
      </c>
      <c r="DH26" s="13" t="str">
        <f t="shared" si="17"/>
        <v/>
      </c>
      <c r="DJ26" s="33"/>
      <c r="DL26" s="33"/>
      <c r="DN26" s="33"/>
      <c r="DP26" s="33"/>
      <c r="DR26" s="33"/>
      <c r="DS26" s="11" t="str">
        <f t="shared" si="18"/>
        <v/>
      </c>
      <c r="DT26" s="33"/>
      <c r="DU26" s="33"/>
      <c r="DV26" s="33"/>
      <c r="DW26" s="33"/>
      <c r="DX26" s="33"/>
      <c r="DY26" s="33"/>
      <c r="DZ26" s="33"/>
      <c r="EA26" s="33"/>
      <c r="EB26" s="12" t="str">
        <f t="shared" si="19"/>
        <v/>
      </c>
      <c r="EC26" s="13" t="str">
        <f t="shared" si="20"/>
        <v/>
      </c>
      <c r="EE26" s="33"/>
      <c r="EG26" s="33"/>
      <c r="EI26" s="33"/>
      <c r="EK26" s="33"/>
      <c r="EM26" s="33"/>
      <c r="EN26" s="11" t="str">
        <f t="shared" si="21"/>
        <v/>
      </c>
      <c r="EO26" s="33"/>
      <c r="EP26" s="33"/>
      <c r="EQ26" s="33"/>
      <c r="ER26" s="33"/>
      <c r="ES26" s="33"/>
      <c r="ET26" s="33"/>
      <c r="EU26" s="33"/>
      <c r="EV26" s="33"/>
      <c r="EW26" s="12" t="str">
        <f t="shared" si="22"/>
        <v/>
      </c>
      <c r="EX26" s="13" t="str">
        <f t="shared" si="23"/>
        <v/>
      </c>
      <c r="EZ26" s="33"/>
      <c r="FB26" s="33"/>
      <c r="FD26" s="33"/>
      <c r="FF26" s="33"/>
      <c r="FH26" s="33"/>
      <c r="FI26" s="11" t="str">
        <f t="shared" si="24"/>
        <v/>
      </c>
      <c r="FJ26" s="33"/>
      <c r="FK26" s="33"/>
      <c r="FL26" s="33"/>
      <c r="FM26" s="33"/>
      <c r="FN26" s="33"/>
      <c r="FO26" s="33"/>
      <c r="FP26" s="33"/>
      <c r="FQ26" s="33"/>
      <c r="FR26" s="12" t="str">
        <f t="shared" si="25"/>
        <v/>
      </c>
      <c r="FS26" s="13" t="str">
        <f t="shared" si="26"/>
        <v/>
      </c>
      <c r="FU26" s="33"/>
      <c r="FW26" s="33"/>
      <c r="FY26" s="33"/>
      <c r="GA26" s="33"/>
      <c r="GC26" s="33"/>
      <c r="GD26" s="11" t="str">
        <f t="shared" si="27"/>
        <v/>
      </c>
      <c r="GE26" s="33"/>
      <c r="GF26" s="33"/>
      <c r="GG26" s="33"/>
      <c r="GH26" s="33"/>
      <c r="GI26" s="33"/>
      <c r="GJ26" s="33"/>
      <c r="GK26" s="33"/>
      <c r="GL26" s="33"/>
      <c r="GM26" s="12" t="str">
        <f t="shared" si="28"/>
        <v/>
      </c>
      <c r="GN26" s="13" t="str">
        <f t="shared" si="29"/>
        <v/>
      </c>
      <c r="GP26" s="33"/>
      <c r="GR26" s="33"/>
      <c r="GT26" s="33"/>
      <c r="GV26" s="33"/>
      <c r="GX26" s="33"/>
      <c r="GY26" s="11" t="str">
        <f t="shared" si="30"/>
        <v/>
      </c>
      <c r="GZ26" s="33"/>
      <c r="HA26" s="33"/>
      <c r="HB26" s="33"/>
      <c r="HC26" s="33"/>
      <c r="HD26" s="33"/>
      <c r="HE26" s="33"/>
      <c r="HF26" s="33"/>
      <c r="HG26" s="33"/>
      <c r="HH26" s="12" t="str">
        <f t="shared" si="31"/>
        <v/>
      </c>
      <c r="HI26" s="13" t="str">
        <f t="shared" si="32"/>
        <v/>
      </c>
      <c r="HK26" s="33"/>
      <c r="HM26" s="33"/>
      <c r="HO26" s="33"/>
      <c r="HQ26" s="33"/>
      <c r="HS26" s="33"/>
      <c r="HT26" s="11" t="str">
        <f t="shared" si="33"/>
        <v/>
      </c>
      <c r="HU26" s="33"/>
      <c r="HV26" s="33"/>
      <c r="HW26" s="33"/>
      <c r="HX26" s="33"/>
      <c r="HY26" s="33"/>
      <c r="HZ26" s="33"/>
      <c r="IA26" s="33"/>
      <c r="IB26" s="33"/>
      <c r="IC26" s="12" t="str">
        <f t="shared" si="34"/>
        <v/>
      </c>
      <c r="ID26" s="13" t="str">
        <f t="shared" si="35"/>
        <v/>
      </c>
      <c r="IF26" s="33"/>
      <c r="IH26" s="33"/>
      <c r="IJ26" s="33"/>
      <c r="IL26" s="33"/>
      <c r="IN26" s="33"/>
      <c r="IO26" s="11" t="str">
        <f t="shared" si="36"/>
        <v/>
      </c>
      <c r="IP26" s="33"/>
      <c r="IQ26" s="33"/>
      <c r="IR26" s="33"/>
      <c r="IS26" s="33"/>
      <c r="IT26" s="33"/>
      <c r="IU26" s="33"/>
      <c r="IV26" s="33"/>
      <c r="IW26" s="33"/>
      <c r="IX26" s="12" t="str">
        <f t="shared" si="37"/>
        <v/>
      </c>
      <c r="IY26" s="13" t="str">
        <f t="shared" si="38"/>
        <v/>
      </c>
      <c r="JA26" s="33"/>
      <c r="JC26" s="33"/>
      <c r="JE26" s="33"/>
      <c r="JG26" s="33"/>
      <c r="JI26" s="33"/>
      <c r="JJ26" s="11" t="str">
        <f t="shared" si="39"/>
        <v/>
      </c>
      <c r="JK26" s="33"/>
      <c r="JL26" s="33"/>
      <c r="JM26" s="33"/>
      <c r="JN26" s="33"/>
      <c r="JO26" s="33"/>
      <c r="JP26" s="33"/>
      <c r="JQ26" s="33"/>
      <c r="JR26" s="33"/>
      <c r="JS26" s="12" t="str">
        <f t="shared" si="40"/>
        <v/>
      </c>
      <c r="JT26" s="13" t="str">
        <f t="shared" si="41"/>
        <v/>
      </c>
      <c r="JU26" s="3"/>
      <c r="JV26" s="34"/>
      <c r="JW26" s="3"/>
      <c r="JX26" s="34"/>
      <c r="JY26" s="3"/>
      <c r="JZ26" s="34"/>
      <c r="KA26" s="3"/>
      <c r="KB26" s="34"/>
      <c r="KC26" s="3"/>
      <c r="KD26" s="34"/>
      <c r="KE26" s="5" t="str">
        <f t="shared" si="42"/>
        <v/>
      </c>
      <c r="KF26" s="34"/>
      <c r="KG26" s="34"/>
      <c r="KH26" s="34"/>
      <c r="KI26" s="34"/>
      <c r="KJ26" s="34"/>
      <c r="KK26" s="34"/>
      <c r="KL26" s="34"/>
      <c r="KM26" s="34"/>
      <c r="KN26" s="14" t="str">
        <f t="shared" si="43"/>
        <v/>
      </c>
      <c r="KO26" s="15" t="str">
        <f t="shared" si="44"/>
        <v/>
      </c>
    </row>
    <row r="27" spans="1:301" x14ac:dyDescent="0.3">
      <c r="A27" s="3">
        <v>19</v>
      </c>
      <c r="B27" s="4" t="s">
        <v>54</v>
      </c>
      <c r="C27" s="3">
        <v>31</v>
      </c>
      <c r="D27" s="3" t="s">
        <v>55</v>
      </c>
      <c r="E27" s="5" t="str">
        <f t="shared" si="0"/>
        <v/>
      </c>
      <c r="F27" s="10" t="str">
        <f t="shared" si="1"/>
        <v/>
      </c>
      <c r="G27" s="5" t="str">
        <f t="shared" si="2"/>
        <v/>
      </c>
      <c r="I27" s="33"/>
      <c r="K27" s="33"/>
      <c r="M27" s="33"/>
      <c r="O27" s="33"/>
      <c r="Q27" s="33"/>
      <c r="R27" s="11" t="str">
        <f t="shared" si="3"/>
        <v/>
      </c>
      <c r="S27" s="33"/>
      <c r="T27" s="33"/>
      <c r="U27" s="33"/>
      <c r="V27" s="33"/>
      <c r="W27" s="33"/>
      <c r="X27" s="33"/>
      <c r="Y27" s="33"/>
      <c r="Z27" s="33"/>
      <c r="AA27" s="12" t="str">
        <f t="shared" si="4"/>
        <v/>
      </c>
      <c r="AB27" s="13" t="str">
        <f t="shared" si="5"/>
        <v/>
      </c>
      <c r="AD27" s="33"/>
      <c r="AF27" s="33"/>
      <c r="AH27" s="33"/>
      <c r="AJ27" s="33"/>
      <c r="AL27" s="33"/>
      <c r="AM27" s="11" t="str">
        <f t="shared" si="6"/>
        <v/>
      </c>
      <c r="AN27" s="33"/>
      <c r="AO27" s="33"/>
      <c r="AP27" s="33"/>
      <c r="AQ27" s="33"/>
      <c r="AR27" s="33"/>
      <c r="AS27" s="33"/>
      <c r="AT27" s="33"/>
      <c r="AU27" s="33"/>
      <c r="AV27" s="12" t="str">
        <f t="shared" si="7"/>
        <v/>
      </c>
      <c r="AW27" s="13" t="str">
        <f t="shared" si="8"/>
        <v/>
      </c>
      <c r="AY27" s="33"/>
      <c r="BA27" s="33"/>
      <c r="BC27" s="33"/>
      <c r="BE27" s="33"/>
      <c r="BG27" s="33"/>
      <c r="BH27" s="11" t="str">
        <f t="shared" si="9"/>
        <v/>
      </c>
      <c r="BI27" s="33"/>
      <c r="BJ27" s="33"/>
      <c r="BK27" s="33"/>
      <c r="BL27" s="33"/>
      <c r="BM27" s="33"/>
      <c r="BN27" s="33"/>
      <c r="BO27" s="33"/>
      <c r="BP27" s="33"/>
      <c r="BQ27" s="12" t="str">
        <f t="shared" si="10"/>
        <v/>
      </c>
      <c r="BR27" s="13" t="str">
        <f t="shared" si="11"/>
        <v/>
      </c>
      <c r="BT27" s="33"/>
      <c r="BV27" s="33"/>
      <c r="BX27" s="33"/>
      <c r="BZ27" s="33"/>
      <c r="CB27" s="33"/>
      <c r="CC27" s="11" t="str">
        <f t="shared" si="12"/>
        <v/>
      </c>
      <c r="CD27" s="33"/>
      <c r="CE27" s="33"/>
      <c r="CF27" s="33"/>
      <c r="CG27" s="33"/>
      <c r="CH27" s="33"/>
      <c r="CI27" s="33"/>
      <c r="CJ27" s="33"/>
      <c r="CK27" s="33"/>
      <c r="CL27" s="12" t="str">
        <f t="shared" si="13"/>
        <v/>
      </c>
      <c r="CM27" s="13" t="str">
        <f t="shared" si="14"/>
        <v/>
      </c>
      <c r="CO27" s="33"/>
      <c r="CQ27" s="33"/>
      <c r="CS27" s="33"/>
      <c r="CU27" s="33"/>
      <c r="CW27" s="33"/>
      <c r="CX27" s="11" t="str">
        <f t="shared" si="15"/>
        <v/>
      </c>
      <c r="CY27" s="33"/>
      <c r="CZ27" s="33"/>
      <c r="DA27" s="33"/>
      <c r="DB27" s="33"/>
      <c r="DC27" s="33"/>
      <c r="DD27" s="33"/>
      <c r="DE27" s="33"/>
      <c r="DF27" s="33"/>
      <c r="DG27" s="12" t="str">
        <f t="shared" si="16"/>
        <v/>
      </c>
      <c r="DH27" s="13" t="str">
        <f t="shared" si="17"/>
        <v/>
      </c>
      <c r="DJ27" s="33"/>
      <c r="DL27" s="33"/>
      <c r="DN27" s="33"/>
      <c r="DP27" s="33"/>
      <c r="DR27" s="33"/>
      <c r="DS27" s="11" t="str">
        <f t="shared" si="18"/>
        <v/>
      </c>
      <c r="DT27" s="33"/>
      <c r="DU27" s="33"/>
      <c r="DV27" s="33"/>
      <c r="DW27" s="33"/>
      <c r="DX27" s="33"/>
      <c r="DY27" s="33"/>
      <c r="DZ27" s="33"/>
      <c r="EA27" s="33"/>
      <c r="EB27" s="12" t="str">
        <f t="shared" si="19"/>
        <v/>
      </c>
      <c r="EC27" s="13" t="str">
        <f t="shared" si="20"/>
        <v/>
      </c>
      <c r="EE27" s="33"/>
      <c r="EG27" s="33"/>
      <c r="EI27" s="33"/>
      <c r="EK27" s="33"/>
      <c r="EM27" s="33"/>
      <c r="EN27" s="11" t="str">
        <f t="shared" si="21"/>
        <v/>
      </c>
      <c r="EO27" s="33"/>
      <c r="EP27" s="33"/>
      <c r="EQ27" s="33"/>
      <c r="ER27" s="33"/>
      <c r="ES27" s="33"/>
      <c r="ET27" s="33"/>
      <c r="EU27" s="33"/>
      <c r="EV27" s="33"/>
      <c r="EW27" s="12" t="str">
        <f t="shared" si="22"/>
        <v/>
      </c>
      <c r="EX27" s="13" t="str">
        <f t="shared" si="23"/>
        <v/>
      </c>
      <c r="EZ27" s="33"/>
      <c r="FB27" s="33"/>
      <c r="FD27" s="33"/>
      <c r="FF27" s="33"/>
      <c r="FH27" s="33"/>
      <c r="FI27" s="11" t="str">
        <f t="shared" si="24"/>
        <v/>
      </c>
      <c r="FJ27" s="33"/>
      <c r="FK27" s="33"/>
      <c r="FL27" s="33"/>
      <c r="FM27" s="33"/>
      <c r="FN27" s="33"/>
      <c r="FO27" s="33"/>
      <c r="FP27" s="33"/>
      <c r="FQ27" s="33"/>
      <c r="FR27" s="12" t="str">
        <f t="shared" si="25"/>
        <v/>
      </c>
      <c r="FS27" s="13" t="str">
        <f t="shared" si="26"/>
        <v/>
      </c>
      <c r="FU27" s="33"/>
      <c r="FW27" s="33"/>
      <c r="FY27" s="33"/>
      <c r="GA27" s="33"/>
      <c r="GC27" s="33"/>
      <c r="GD27" s="11" t="str">
        <f t="shared" si="27"/>
        <v/>
      </c>
      <c r="GE27" s="33"/>
      <c r="GF27" s="33"/>
      <c r="GG27" s="33"/>
      <c r="GH27" s="33"/>
      <c r="GI27" s="33"/>
      <c r="GJ27" s="33"/>
      <c r="GK27" s="33"/>
      <c r="GL27" s="33"/>
      <c r="GM27" s="12" t="str">
        <f t="shared" si="28"/>
        <v/>
      </c>
      <c r="GN27" s="13" t="str">
        <f t="shared" si="29"/>
        <v/>
      </c>
      <c r="GP27" s="33"/>
      <c r="GR27" s="33"/>
      <c r="GT27" s="33"/>
      <c r="GV27" s="33"/>
      <c r="GX27" s="33"/>
      <c r="GY27" s="11" t="str">
        <f t="shared" si="30"/>
        <v/>
      </c>
      <c r="GZ27" s="33"/>
      <c r="HA27" s="33"/>
      <c r="HB27" s="33"/>
      <c r="HC27" s="33"/>
      <c r="HD27" s="33"/>
      <c r="HE27" s="33"/>
      <c r="HF27" s="33"/>
      <c r="HG27" s="33"/>
      <c r="HH27" s="12" t="str">
        <f t="shared" si="31"/>
        <v/>
      </c>
      <c r="HI27" s="13" t="str">
        <f t="shared" si="32"/>
        <v/>
      </c>
      <c r="HK27" s="33"/>
      <c r="HM27" s="33"/>
      <c r="HO27" s="33"/>
      <c r="HQ27" s="33"/>
      <c r="HS27" s="33"/>
      <c r="HT27" s="11" t="str">
        <f t="shared" si="33"/>
        <v/>
      </c>
      <c r="HU27" s="33"/>
      <c r="HV27" s="33"/>
      <c r="HW27" s="33"/>
      <c r="HX27" s="33"/>
      <c r="HY27" s="33"/>
      <c r="HZ27" s="33"/>
      <c r="IA27" s="33"/>
      <c r="IB27" s="33"/>
      <c r="IC27" s="12" t="str">
        <f t="shared" si="34"/>
        <v/>
      </c>
      <c r="ID27" s="13" t="str">
        <f t="shared" si="35"/>
        <v/>
      </c>
      <c r="IF27" s="33"/>
      <c r="IH27" s="33"/>
      <c r="IJ27" s="33"/>
      <c r="IL27" s="33"/>
      <c r="IN27" s="33"/>
      <c r="IO27" s="11" t="str">
        <f t="shared" si="36"/>
        <v/>
      </c>
      <c r="IP27" s="33"/>
      <c r="IQ27" s="33"/>
      <c r="IR27" s="33"/>
      <c r="IS27" s="33"/>
      <c r="IT27" s="33"/>
      <c r="IU27" s="33"/>
      <c r="IV27" s="33"/>
      <c r="IW27" s="33"/>
      <c r="IX27" s="12" t="str">
        <f t="shared" si="37"/>
        <v/>
      </c>
      <c r="IY27" s="13" t="str">
        <f t="shared" si="38"/>
        <v/>
      </c>
      <c r="JA27" s="33"/>
      <c r="JC27" s="33"/>
      <c r="JE27" s="33"/>
      <c r="JG27" s="33"/>
      <c r="JI27" s="33"/>
      <c r="JJ27" s="11" t="str">
        <f t="shared" si="39"/>
        <v/>
      </c>
      <c r="JK27" s="33"/>
      <c r="JL27" s="33"/>
      <c r="JM27" s="33"/>
      <c r="JN27" s="33"/>
      <c r="JO27" s="33"/>
      <c r="JP27" s="33"/>
      <c r="JQ27" s="33"/>
      <c r="JR27" s="33"/>
      <c r="JS27" s="12" t="str">
        <f t="shared" si="40"/>
        <v/>
      </c>
      <c r="JT27" s="13" t="str">
        <f t="shared" si="41"/>
        <v/>
      </c>
      <c r="JU27" s="3"/>
      <c r="JV27" s="34"/>
      <c r="JW27" s="3"/>
      <c r="JX27" s="34"/>
      <c r="JY27" s="3"/>
      <c r="JZ27" s="34"/>
      <c r="KA27" s="3"/>
      <c r="KB27" s="34"/>
      <c r="KC27" s="3"/>
      <c r="KD27" s="34"/>
      <c r="KE27" s="5" t="str">
        <f t="shared" si="42"/>
        <v/>
      </c>
      <c r="KF27" s="34"/>
      <c r="KG27" s="34"/>
      <c r="KH27" s="34"/>
      <c r="KI27" s="34"/>
      <c r="KJ27" s="34"/>
      <c r="KK27" s="34"/>
      <c r="KL27" s="34"/>
      <c r="KM27" s="34"/>
      <c r="KN27" s="14" t="str">
        <f t="shared" si="43"/>
        <v/>
      </c>
      <c r="KO27" s="15" t="str">
        <f t="shared" si="44"/>
        <v/>
      </c>
    </row>
    <row r="28" spans="1:301" x14ac:dyDescent="0.3">
      <c r="A28" s="3">
        <v>20</v>
      </c>
      <c r="B28" s="4" t="s">
        <v>56</v>
      </c>
      <c r="C28" s="3">
        <v>32</v>
      </c>
      <c r="D28" s="3" t="s">
        <v>57</v>
      </c>
      <c r="E28" s="5" t="str">
        <f t="shared" si="0"/>
        <v/>
      </c>
      <c r="F28" s="10" t="str">
        <f t="shared" si="1"/>
        <v/>
      </c>
      <c r="G28" s="5" t="str">
        <f t="shared" si="2"/>
        <v/>
      </c>
      <c r="I28" s="33"/>
      <c r="K28" s="33"/>
      <c r="M28" s="33"/>
      <c r="O28" s="33"/>
      <c r="Q28" s="33"/>
      <c r="R28" s="11" t="str">
        <f t="shared" si="3"/>
        <v/>
      </c>
      <c r="S28" s="33"/>
      <c r="T28" s="33"/>
      <c r="U28" s="33"/>
      <c r="V28" s="33"/>
      <c r="W28" s="33"/>
      <c r="X28" s="33"/>
      <c r="Y28" s="33"/>
      <c r="Z28" s="33"/>
      <c r="AA28" s="12" t="str">
        <f t="shared" si="4"/>
        <v/>
      </c>
      <c r="AB28" s="13" t="str">
        <f t="shared" si="5"/>
        <v/>
      </c>
      <c r="AD28" s="33"/>
      <c r="AF28" s="33"/>
      <c r="AH28" s="33"/>
      <c r="AJ28" s="33"/>
      <c r="AL28" s="33"/>
      <c r="AM28" s="11" t="str">
        <f t="shared" si="6"/>
        <v/>
      </c>
      <c r="AN28" s="33"/>
      <c r="AO28" s="33"/>
      <c r="AP28" s="33"/>
      <c r="AQ28" s="33"/>
      <c r="AR28" s="33"/>
      <c r="AS28" s="33"/>
      <c r="AT28" s="33"/>
      <c r="AU28" s="33"/>
      <c r="AV28" s="12" t="str">
        <f t="shared" si="7"/>
        <v/>
      </c>
      <c r="AW28" s="13" t="str">
        <f t="shared" si="8"/>
        <v/>
      </c>
      <c r="AY28" s="33"/>
      <c r="BA28" s="33"/>
      <c r="BC28" s="33"/>
      <c r="BE28" s="33"/>
      <c r="BG28" s="33"/>
      <c r="BH28" s="11" t="str">
        <f t="shared" si="9"/>
        <v/>
      </c>
      <c r="BI28" s="33"/>
      <c r="BJ28" s="33"/>
      <c r="BK28" s="33"/>
      <c r="BL28" s="33"/>
      <c r="BM28" s="33"/>
      <c r="BN28" s="33"/>
      <c r="BO28" s="33"/>
      <c r="BP28" s="33"/>
      <c r="BQ28" s="12" t="str">
        <f t="shared" si="10"/>
        <v/>
      </c>
      <c r="BR28" s="13" t="str">
        <f t="shared" si="11"/>
        <v/>
      </c>
      <c r="BT28" s="33"/>
      <c r="BV28" s="33"/>
      <c r="BX28" s="33"/>
      <c r="BZ28" s="33"/>
      <c r="CB28" s="33"/>
      <c r="CC28" s="11" t="str">
        <f t="shared" si="12"/>
        <v/>
      </c>
      <c r="CD28" s="33"/>
      <c r="CE28" s="33"/>
      <c r="CF28" s="33"/>
      <c r="CG28" s="33"/>
      <c r="CH28" s="33"/>
      <c r="CI28" s="33"/>
      <c r="CJ28" s="33"/>
      <c r="CK28" s="33"/>
      <c r="CL28" s="12" t="str">
        <f t="shared" si="13"/>
        <v/>
      </c>
      <c r="CM28" s="13" t="str">
        <f t="shared" si="14"/>
        <v/>
      </c>
      <c r="CO28" s="33"/>
      <c r="CQ28" s="33"/>
      <c r="CS28" s="33"/>
      <c r="CU28" s="33"/>
      <c r="CW28" s="33"/>
      <c r="CX28" s="11" t="str">
        <f t="shared" si="15"/>
        <v/>
      </c>
      <c r="CY28" s="33"/>
      <c r="CZ28" s="33"/>
      <c r="DA28" s="33"/>
      <c r="DB28" s="33"/>
      <c r="DC28" s="33"/>
      <c r="DD28" s="33"/>
      <c r="DE28" s="33"/>
      <c r="DF28" s="33"/>
      <c r="DG28" s="12" t="str">
        <f t="shared" si="16"/>
        <v/>
      </c>
      <c r="DH28" s="13" t="str">
        <f t="shared" si="17"/>
        <v/>
      </c>
      <c r="DJ28" s="33"/>
      <c r="DL28" s="33"/>
      <c r="DN28" s="33"/>
      <c r="DP28" s="33"/>
      <c r="DR28" s="33"/>
      <c r="DS28" s="11" t="str">
        <f t="shared" si="18"/>
        <v/>
      </c>
      <c r="DT28" s="33"/>
      <c r="DU28" s="33"/>
      <c r="DV28" s="33"/>
      <c r="DW28" s="33"/>
      <c r="DX28" s="33"/>
      <c r="DY28" s="33"/>
      <c r="DZ28" s="33"/>
      <c r="EA28" s="33"/>
      <c r="EB28" s="12" t="str">
        <f t="shared" si="19"/>
        <v/>
      </c>
      <c r="EC28" s="13" t="str">
        <f t="shared" si="20"/>
        <v/>
      </c>
      <c r="EE28" s="33"/>
      <c r="EG28" s="33"/>
      <c r="EI28" s="33"/>
      <c r="EK28" s="33"/>
      <c r="EM28" s="33"/>
      <c r="EN28" s="11" t="str">
        <f t="shared" si="21"/>
        <v/>
      </c>
      <c r="EO28" s="33"/>
      <c r="EP28" s="33"/>
      <c r="EQ28" s="33"/>
      <c r="ER28" s="33"/>
      <c r="ES28" s="33"/>
      <c r="ET28" s="33"/>
      <c r="EU28" s="33"/>
      <c r="EV28" s="33"/>
      <c r="EW28" s="12" t="str">
        <f t="shared" si="22"/>
        <v/>
      </c>
      <c r="EX28" s="13" t="str">
        <f t="shared" si="23"/>
        <v/>
      </c>
      <c r="EZ28" s="33"/>
      <c r="FB28" s="33"/>
      <c r="FD28" s="33"/>
      <c r="FF28" s="33"/>
      <c r="FH28" s="33"/>
      <c r="FI28" s="11" t="str">
        <f t="shared" si="24"/>
        <v/>
      </c>
      <c r="FJ28" s="33"/>
      <c r="FK28" s="33"/>
      <c r="FL28" s="33"/>
      <c r="FM28" s="33"/>
      <c r="FN28" s="33"/>
      <c r="FO28" s="33"/>
      <c r="FP28" s="33"/>
      <c r="FQ28" s="33"/>
      <c r="FR28" s="12" t="str">
        <f t="shared" si="25"/>
        <v/>
      </c>
      <c r="FS28" s="13" t="str">
        <f t="shared" si="26"/>
        <v/>
      </c>
      <c r="FU28" s="33"/>
      <c r="FW28" s="33"/>
      <c r="FY28" s="33"/>
      <c r="GA28" s="33"/>
      <c r="GC28" s="33"/>
      <c r="GD28" s="11" t="str">
        <f t="shared" si="27"/>
        <v/>
      </c>
      <c r="GE28" s="33"/>
      <c r="GF28" s="33"/>
      <c r="GG28" s="33"/>
      <c r="GH28" s="33"/>
      <c r="GI28" s="33"/>
      <c r="GJ28" s="33"/>
      <c r="GK28" s="33"/>
      <c r="GL28" s="33"/>
      <c r="GM28" s="12" t="str">
        <f t="shared" si="28"/>
        <v/>
      </c>
      <c r="GN28" s="13" t="str">
        <f t="shared" si="29"/>
        <v/>
      </c>
      <c r="GP28" s="33"/>
      <c r="GR28" s="33"/>
      <c r="GT28" s="33"/>
      <c r="GV28" s="33"/>
      <c r="GX28" s="33"/>
      <c r="GY28" s="11" t="str">
        <f t="shared" si="30"/>
        <v/>
      </c>
      <c r="GZ28" s="33"/>
      <c r="HA28" s="33"/>
      <c r="HB28" s="33"/>
      <c r="HC28" s="33"/>
      <c r="HD28" s="33"/>
      <c r="HE28" s="33"/>
      <c r="HF28" s="33"/>
      <c r="HG28" s="33"/>
      <c r="HH28" s="12" t="str">
        <f t="shared" si="31"/>
        <v/>
      </c>
      <c r="HI28" s="13" t="str">
        <f t="shared" si="32"/>
        <v/>
      </c>
      <c r="HK28" s="33"/>
      <c r="HM28" s="33"/>
      <c r="HO28" s="33"/>
      <c r="HQ28" s="33"/>
      <c r="HS28" s="33"/>
      <c r="HT28" s="11" t="str">
        <f t="shared" si="33"/>
        <v/>
      </c>
      <c r="HU28" s="33"/>
      <c r="HV28" s="33"/>
      <c r="HW28" s="33"/>
      <c r="HX28" s="33"/>
      <c r="HY28" s="33"/>
      <c r="HZ28" s="33"/>
      <c r="IA28" s="33"/>
      <c r="IB28" s="33"/>
      <c r="IC28" s="12" t="str">
        <f t="shared" si="34"/>
        <v/>
      </c>
      <c r="ID28" s="13" t="str">
        <f t="shared" si="35"/>
        <v/>
      </c>
      <c r="IF28" s="33"/>
      <c r="IH28" s="33"/>
      <c r="IJ28" s="33"/>
      <c r="IL28" s="33"/>
      <c r="IN28" s="33"/>
      <c r="IO28" s="11" t="str">
        <f t="shared" si="36"/>
        <v/>
      </c>
      <c r="IP28" s="33"/>
      <c r="IQ28" s="33"/>
      <c r="IR28" s="33"/>
      <c r="IS28" s="33"/>
      <c r="IT28" s="33"/>
      <c r="IU28" s="33"/>
      <c r="IV28" s="33"/>
      <c r="IW28" s="33"/>
      <c r="IX28" s="12" t="str">
        <f t="shared" si="37"/>
        <v/>
      </c>
      <c r="IY28" s="13" t="str">
        <f t="shared" si="38"/>
        <v/>
      </c>
      <c r="JA28" s="33"/>
      <c r="JC28" s="33"/>
      <c r="JE28" s="33"/>
      <c r="JG28" s="33"/>
      <c r="JI28" s="33"/>
      <c r="JJ28" s="11" t="str">
        <f t="shared" si="39"/>
        <v/>
      </c>
      <c r="JK28" s="33"/>
      <c r="JL28" s="33"/>
      <c r="JM28" s="33"/>
      <c r="JN28" s="33"/>
      <c r="JO28" s="33"/>
      <c r="JP28" s="33"/>
      <c r="JQ28" s="33"/>
      <c r="JR28" s="33"/>
      <c r="JS28" s="12" t="str">
        <f t="shared" si="40"/>
        <v/>
      </c>
      <c r="JT28" s="13" t="str">
        <f t="shared" si="41"/>
        <v/>
      </c>
      <c r="JU28" s="3"/>
      <c r="JV28" s="34"/>
      <c r="JW28" s="3"/>
      <c r="JX28" s="34"/>
      <c r="JY28" s="3"/>
      <c r="JZ28" s="34"/>
      <c r="KA28" s="3"/>
      <c r="KB28" s="34"/>
      <c r="KC28" s="3"/>
      <c r="KD28" s="34"/>
      <c r="KE28" s="5" t="str">
        <f t="shared" si="42"/>
        <v/>
      </c>
      <c r="KF28" s="34"/>
      <c r="KG28" s="34"/>
      <c r="KH28" s="34"/>
      <c r="KI28" s="34"/>
      <c r="KJ28" s="34"/>
      <c r="KK28" s="34"/>
      <c r="KL28" s="34"/>
      <c r="KM28" s="34"/>
      <c r="KN28" s="14" t="str">
        <f t="shared" si="43"/>
        <v/>
      </c>
      <c r="KO28" s="15" t="str">
        <f t="shared" si="44"/>
        <v/>
      </c>
    </row>
    <row r="29" spans="1:301" x14ac:dyDescent="0.3">
      <c r="A29" s="3">
        <v>21</v>
      </c>
      <c r="B29" s="4" t="s">
        <v>58</v>
      </c>
      <c r="C29" s="3">
        <v>33</v>
      </c>
      <c r="D29" s="3" t="s">
        <v>59</v>
      </c>
      <c r="E29" s="5" t="str">
        <f t="shared" si="0"/>
        <v/>
      </c>
      <c r="F29" s="10" t="str">
        <f t="shared" si="1"/>
        <v/>
      </c>
      <c r="G29" s="5" t="str">
        <f t="shared" si="2"/>
        <v/>
      </c>
      <c r="I29" s="33"/>
      <c r="K29" s="33"/>
      <c r="M29" s="33"/>
      <c r="O29" s="33"/>
      <c r="Q29" s="33"/>
      <c r="R29" s="11" t="str">
        <f t="shared" si="3"/>
        <v/>
      </c>
      <c r="S29" s="33"/>
      <c r="T29" s="33"/>
      <c r="U29" s="33"/>
      <c r="V29" s="33"/>
      <c r="W29" s="33"/>
      <c r="X29" s="33"/>
      <c r="Y29" s="33"/>
      <c r="Z29" s="33"/>
      <c r="AA29" s="12" t="str">
        <f t="shared" si="4"/>
        <v/>
      </c>
      <c r="AB29" s="13" t="str">
        <f t="shared" si="5"/>
        <v/>
      </c>
      <c r="AD29" s="33"/>
      <c r="AF29" s="33"/>
      <c r="AH29" s="33"/>
      <c r="AJ29" s="33"/>
      <c r="AL29" s="33"/>
      <c r="AM29" s="11" t="str">
        <f t="shared" si="6"/>
        <v/>
      </c>
      <c r="AN29" s="33"/>
      <c r="AO29" s="33"/>
      <c r="AP29" s="33"/>
      <c r="AQ29" s="33"/>
      <c r="AR29" s="33"/>
      <c r="AS29" s="33"/>
      <c r="AT29" s="33"/>
      <c r="AU29" s="33"/>
      <c r="AV29" s="12" t="str">
        <f t="shared" si="7"/>
        <v/>
      </c>
      <c r="AW29" s="13" t="str">
        <f t="shared" si="8"/>
        <v/>
      </c>
      <c r="AY29" s="33"/>
      <c r="BA29" s="33"/>
      <c r="BC29" s="33"/>
      <c r="BE29" s="33"/>
      <c r="BG29" s="33"/>
      <c r="BH29" s="11" t="str">
        <f t="shared" si="9"/>
        <v/>
      </c>
      <c r="BI29" s="33"/>
      <c r="BJ29" s="33"/>
      <c r="BK29" s="33"/>
      <c r="BL29" s="33"/>
      <c r="BM29" s="33"/>
      <c r="BN29" s="33"/>
      <c r="BO29" s="33"/>
      <c r="BP29" s="33"/>
      <c r="BQ29" s="12" t="str">
        <f t="shared" si="10"/>
        <v/>
      </c>
      <c r="BR29" s="13" t="str">
        <f t="shared" si="11"/>
        <v/>
      </c>
      <c r="BT29" s="33"/>
      <c r="BV29" s="33"/>
      <c r="BX29" s="33"/>
      <c r="BZ29" s="33"/>
      <c r="CB29" s="33"/>
      <c r="CC29" s="11" t="str">
        <f t="shared" si="12"/>
        <v/>
      </c>
      <c r="CD29" s="33"/>
      <c r="CE29" s="33"/>
      <c r="CF29" s="33"/>
      <c r="CG29" s="33"/>
      <c r="CH29" s="33"/>
      <c r="CI29" s="33"/>
      <c r="CJ29" s="33"/>
      <c r="CK29" s="33"/>
      <c r="CL29" s="12" t="str">
        <f t="shared" si="13"/>
        <v/>
      </c>
      <c r="CM29" s="13" t="str">
        <f t="shared" si="14"/>
        <v/>
      </c>
      <c r="CO29" s="33"/>
      <c r="CQ29" s="33"/>
      <c r="CS29" s="33"/>
      <c r="CU29" s="33"/>
      <c r="CW29" s="33"/>
      <c r="CX29" s="11" t="str">
        <f t="shared" si="15"/>
        <v/>
      </c>
      <c r="CY29" s="33"/>
      <c r="CZ29" s="33"/>
      <c r="DA29" s="33"/>
      <c r="DB29" s="33"/>
      <c r="DC29" s="33"/>
      <c r="DD29" s="33"/>
      <c r="DE29" s="33"/>
      <c r="DF29" s="33"/>
      <c r="DG29" s="12" t="str">
        <f t="shared" si="16"/>
        <v/>
      </c>
      <c r="DH29" s="13" t="str">
        <f t="shared" si="17"/>
        <v/>
      </c>
      <c r="DJ29" s="33"/>
      <c r="DL29" s="33"/>
      <c r="DN29" s="33"/>
      <c r="DP29" s="33"/>
      <c r="DR29" s="33"/>
      <c r="DS29" s="11" t="str">
        <f t="shared" si="18"/>
        <v/>
      </c>
      <c r="DT29" s="33"/>
      <c r="DU29" s="33"/>
      <c r="DV29" s="33"/>
      <c r="DW29" s="33"/>
      <c r="DX29" s="33"/>
      <c r="DY29" s="33"/>
      <c r="DZ29" s="33"/>
      <c r="EA29" s="33"/>
      <c r="EB29" s="12" t="str">
        <f t="shared" si="19"/>
        <v/>
      </c>
      <c r="EC29" s="13" t="str">
        <f t="shared" si="20"/>
        <v/>
      </c>
      <c r="EE29" s="33"/>
      <c r="EG29" s="33"/>
      <c r="EI29" s="33"/>
      <c r="EK29" s="33"/>
      <c r="EM29" s="33"/>
      <c r="EN29" s="11" t="str">
        <f t="shared" si="21"/>
        <v/>
      </c>
      <c r="EO29" s="33"/>
      <c r="EP29" s="33"/>
      <c r="EQ29" s="33"/>
      <c r="ER29" s="33"/>
      <c r="ES29" s="33"/>
      <c r="ET29" s="33"/>
      <c r="EU29" s="33"/>
      <c r="EV29" s="33"/>
      <c r="EW29" s="12" t="str">
        <f t="shared" si="22"/>
        <v/>
      </c>
      <c r="EX29" s="13" t="str">
        <f t="shared" si="23"/>
        <v/>
      </c>
      <c r="EZ29" s="33"/>
      <c r="FB29" s="33"/>
      <c r="FD29" s="33"/>
      <c r="FF29" s="33"/>
      <c r="FH29" s="33"/>
      <c r="FI29" s="11" t="str">
        <f t="shared" si="24"/>
        <v/>
      </c>
      <c r="FJ29" s="33"/>
      <c r="FK29" s="33"/>
      <c r="FL29" s="33"/>
      <c r="FM29" s="33"/>
      <c r="FN29" s="33"/>
      <c r="FO29" s="33"/>
      <c r="FP29" s="33"/>
      <c r="FQ29" s="33"/>
      <c r="FR29" s="12" t="str">
        <f t="shared" si="25"/>
        <v/>
      </c>
      <c r="FS29" s="13" t="str">
        <f t="shared" si="26"/>
        <v/>
      </c>
      <c r="FU29" s="33"/>
      <c r="FW29" s="33"/>
      <c r="FY29" s="33"/>
      <c r="GA29" s="33"/>
      <c r="GC29" s="33"/>
      <c r="GD29" s="11" t="str">
        <f t="shared" si="27"/>
        <v/>
      </c>
      <c r="GE29" s="33"/>
      <c r="GF29" s="33"/>
      <c r="GG29" s="33"/>
      <c r="GH29" s="33"/>
      <c r="GI29" s="33"/>
      <c r="GJ29" s="33"/>
      <c r="GK29" s="33"/>
      <c r="GL29" s="33"/>
      <c r="GM29" s="12" t="str">
        <f t="shared" si="28"/>
        <v/>
      </c>
      <c r="GN29" s="13" t="str">
        <f t="shared" si="29"/>
        <v/>
      </c>
      <c r="GP29" s="33"/>
      <c r="GR29" s="33"/>
      <c r="GT29" s="33"/>
      <c r="GV29" s="33"/>
      <c r="GX29" s="33"/>
      <c r="GY29" s="11" t="str">
        <f t="shared" si="30"/>
        <v/>
      </c>
      <c r="GZ29" s="33"/>
      <c r="HA29" s="33"/>
      <c r="HB29" s="33"/>
      <c r="HC29" s="33"/>
      <c r="HD29" s="33"/>
      <c r="HE29" s="33"/>
      <c r="HF29" s="33"/>
      <c r="HG29" s="33"/>
      <c r="HH29" s="12" t="str">
        <f t="shared" si="31"/>
        <v/>
      </c>
      <c r="HI29" s="13" t="str">
        <f t="shared" si="32"/>
        <v/>
      </c>
      <c r="HK29" s="33"/>
      <c r="HM29" s="33"/>
      <c r="HO29" s="33"/>
      <c r="HQ29" s="33"/>
      <c r="HS29" s="33"/>
      <c r="HT29" s="11" t="str">
        <f t="shared" si="33"/>
        <v/>
      </c>
      <c r="HU29" s="33"/>
      <c r="HV29" s="33"/>
      <c r="HW29" s="33"/>
      <c r="HX29" s="33"/>
      <c r="HY29" s="33"/>
      <c r="HZ29" s="33"/>
      <c r="IA29" s="33"/>
      <c r="IB29" s="33"/>
      <c r="IC29" s="12" t="str">
        <f t="shared" si="34"/>
        <v/>
      </c>
      <c r="ID29" s="13" t="str">
        <f t="shared" si="35"/>
        <v/>
      </c>
      <c r="IF29" s="33"/>
      <c r="IH29" s="33"/>
      <c r="IJ29" s="33"/>
      <c r="IL29" s="33"/>
      <c r="IN29" s="33"/>
      <c r="IO29" s="11" t="str">
        <f t="shared" si="36"/>
        <v/>
      </c>
      <c r="IP29" s="33"/>
      <c r="IQ29" s="33"/>
      <c r="IR29" s="33"/>
      <c r="IS29" s="33"/>
      <c r="IT29" s="33"/>
      <c r="IU29" s="33"/>
      <c r="IV29" s="33"/>
      <c r="IW29" s="33"/>
      <c r="IX29" s="12" t="str">
        <f t="shared" si="37"/>
        <v/>
      </c>
      <c r="IY29" s="13" t="str">
        <f t="shared" si="38"/>
        <v/>
      </c>
      <c r="JA29" s="33"/>
      <c r="JC29" s="33"/>
      <c r="JE29" s="33"/>
      <c r="JG29" s="33"/>
      <c r="JI29" s="33"/>
      <c r="JJ29" s="11" t="str">
        <f t="shared" si="39"/>
        <v/>
      </c>
      <c r="JK29" s="33"/>
      <c r="JL29" s="33"/>
      <c r="JM29" s="33"/>
      <c r="JN29" s="33"/>
      <c r="JO29" s="33"/>
      <c r="JP29" s="33"/>
      <c r="JQ29" s="33"/>
      <c r="JR29" s="33"/>
      <c r="JS29" s="12" t="str">
        <f t="shared" si="40"/>
        <v/>
      </c>
      <c r="JT29" s="13" t="str">
        <f t="shared" si="41"/>
        <v/>
      </c>
      <c r="JU29" s="3"/>
      <c r="JV29" s="34"/>
      <c r="JW29" s="3"/>
      <c r="JX29" s="34"/>
      <c r="JY29" s="3"/>
      <c r="JZ29" s="34"/>
      <c r="KA29" s="3"/>
      <c r="KB29" s="34"/>
      <c r="KC29" s="3"/>
      <c r="KD29" s="34"/>
      <c r="KE29" s="5" t="str">
        <f t="shared" si="42"/>
        <v/>
      </c>
      <c r="KF29" s="34"/>
      <c r="KG29" s="34"/>
      <c r="KH29" s="34"/>
      <c r="KI29" s="34"/>
      <c r="KJ29" s="34"/>
      <c r="KK29" s="34"/>
      <c r="KL29" s="34"/>
      <c r="KM29" s="34"/>
      <c r="KN29" s="14" t="str">
        <f t="shared" si="43"/>
        <v/>
      </c>
      <c r="KO29" s="15" t="str">
        <f t="shared" si="44"/>
        <v/>
      </c>
    </row>
    <row r="30" spans="1:301" x14ac:dyDescent="0.3">
      <c r="A30" s="3">
        <v>22</v>
      </c>
      <c r="B30" s="4" t="s">
        <v>60</v>
      </c>
      <c r="C30" s="3">
        <v>34</v>
      </c>
      <c r="D30" s="3" t="s">
        <v>61</v>
      </c>
      <c r="E30" s="5" t="str">
        <f t="shared" si="0"/>
        <v/>
      </c>
      <c r="F30" s="10" t="str">
        <f t="shared" si="1"/>
        <v/>
      </c>
      <c r="G30" s="5" t="str">
        <f t="shared" si="2"/>
        <v/>
      </c>
      <c r="I30" s="33"/>
      <c r="K30" s="33"/>
      <c r="M30" s="33"/>
      <c r="O30" s="33"/>
      <c r="Q30" s="33"/>
      <c r="R30" s="11" t="str">
        <f t="shared" si="3"/>
        <v/>
      </c>
      <c r="S30" s="33"/>
      <c r="T30" s="33"/>
      <c r="U30" s="33"/>
      <c r="V30" s="33"/>
      <c r="W30" s="33"/>
      <c r="X30" s="33"/>
      <c r="Y30" s="33"/>
      <c r="Z30" s="33"/>
      <c r="AA30" s="12" t="str">
        <f t="shared" si="4"/>
        <v/>
      </c>
      <c r="AB30" s="13" t="str">
        <f t="shared" si="5"/>
        <v/>
      </c>
      <c r="AD30" s="33"/>
      <c r="AF30" s="33"/>
      <c r="AH30" s="33"/>
      <c r="AJ30" s="33"/>
      <c r="AL30" s="33"/>
      <c r="AM30" s="11" t="str">
        <f t="shared" si="6"/>
        <v/>
      </c>
      <c r="AN30" s="33"/>
      <c r="AO30" s="33"/>
      <c r="AP30" s="33"/>
      <c r="AQ30" s="33"/>
      <c r="AR30" s="33"/>
      <c r="AS30" s="33"/>
      <c r="AT30" s="33"/>
      <c r="AU30" s="33"/>
      <c r="AV30" s="12" t="str">
        <f t="shared" si="7"/>
        <v/>
      </c>
      <c r="AW30" s="13" t="str">
        <f t="shared" si="8"/>
        <v/>
      </c>
      <c r="AY30" s="33"/>
      <c r="BA30" s="33"/>
      <c r="BC30" s="33"/>
      <c r="BE30" s="33"/>
      <c r="BG30" s="33"/>
      <c r="BH30" s="11" t="str">
        <f t="shared" si="9"/>
        <v/>
      </c>
      <c r="BI30" s="33"/>
      <c r="BJ30" s="33"/>
      <c r="BK30" s="33"/>
      <c r="BL30" s="33"/>
      <c r="BM30" s="33"/>
      <c r="BN30" s="33"/>
      <c r="BO30" s="33"/>
      <c r="BP30" s="33"/>
      <c r="BQ30" s="12" t="str">
        <f t="shared" si="10"/>
        <v/>
      </c>
      <c r="BR30" s="13" t="str">
        <f t="shared" si="11"/>
        <v/>
      </c>
      <c r="BT30" s="33"/>
      <c r="BV30" s="33"/>
      <c r="BX30" s="33"/>
      <c r="BZ30" s="33"/>
      <c r="CB30" s="33"/>
      <c r="CC30" s="11" t="str">
        <f t="shared" si="12"/>
        <v/>
      </c>
      <c r="CD30" s="33"/>
      <c r="CE30" s="33"/>
      <c r="CF30" s="33"/>
      <c r="CG30" s="33"/>
      <c r="CH30" s="33"/>
      <c r="CI30" s="33"/>
      <c r="CJ30" s="33"/>
      <c r="CK30" s="33"/>
      <c r="CL30" s="12" t="str">
        <f t="shared" si="13"/>
        <v/>
      </c>
      <c r="CM30" s="13" t="str">
        <f t="shared" si="14"/>
        <v/>
      </c>
      <c r="CO30" s="33"/>
      <c r="CQ30" s="33"/>
      <c r="CS30" s="33"/>
      <c r="CU30" s="33"/>
      <c r="CW30" s="33"/>
      <c r="CX30" s="11" t="str">
        <f t="shared" si="15"/>
        <v/>
      </c>
      <c r="CY30" s="33"/>
      <c r="CZ30" s="33"/>
      <c r="DA30" s="33"/>
      <c r="DB30" s="33"/>
      <c r="DC30" s="33"/>
      <c r="DD30" s="33"/>
      <c r="DE30" s="33"/>
      <c r="DF30" s="33"/>
      <c r="DG30" s="12" t="str">
        <f t="shared" si="16"/>
        <v/>
      </c>
      <c r="DH30" s="13" t="str">
        <f t="shared" si="17"/>
        <v/>
      </c>
      <c r="DJ30" s="33"/>
      <c r="DL30" s="33"/>
      <c r="DN30" s="33"/>
      <c r="DP30" s="33"/>
      <c r="DR30" s="33"/>
      <c r="DS30" s="11" t="str">
        <f t="shared" si="18"/>
        <v/>
      </c>
      <c r="DT30" s="33"/>
      <c r="DU30" s="33"/>
      <c r="DV30" s="33"/>
      <c r="DW30" s="33"/>
      <c r="DX30" s="33"/>
      <c r="DY30" s="33"/>
      <c r="DZ30" s="33"/>
      <c r="EA30" s="33"/>
      <c r="EB30" s="12" t="str">
        <f t="shared" si="19"/>
        <v/>
      </c>
      <c r="EC30" s="13" t="str">
        <f t="shared" si="20"/>
        <v/>
      </c>
      <c r="EE30" s="33"/>
      <c r="EG30" s="33"/>
      <c r="EI30" s="33"/>
      <c r="EK30" s="33"/>
      <c r="EM30" s="33"/>
      <c r="EN30" s="11" t="str">
        <f t="shared" si="21"/>
        <v/>
      </c>
      <c r="EO30" s="33"/>
      <c r="EP30" s="33"/>
      <c r="EQ30" s="33"/>
      <c r="ER30" s="33"/>
      <c r="ES30" s="33"/>
      <c r="ET30" s="33"/>
      <c r="EU30" s="33"/>
      <c r="EV30" s="33"/>
      <c r="EW30" s="12" t="str">
        <f t="shared" si="22"/>
        <v/>
      </c>
      <c r="EX30" s="13" t="str">
        <f t="shared" si="23"/>
        <v/>
      </c>
      <c r="EZ30" s="33"/>
      <c r="FB30" s="33"/>
      <c r="FD30" s="33"/>
      <c r="FF30" s="33"/>
      <c r="FH30" s="33"/>
      <c r="FI30" s="11" t="str">
        <f t="shared" si="24"/>
        <v/>
      </c>
      <c r="FJ30" s="33"/>
      <c r="FK30" s="33"/>
      <c r="FL30" s="33"/>
      <c r="FM30" s="33"/>
      <c r="FN30" s="33"/>
      <c r="FO30" s="33"/>
      <c r="FP30" s="33"/>
      <c r="FQ30" s="33"/>
      <c r="FR30" s="12" t="str">
        <f t="shared" si="25"/>
        <v/>
      </c>
      <c r="FS30" s="13" t="str">
        <f t="shared" si="26"/>
        <v/>
      </c>
      <c r="FU30" s="33"/>
      <c r="FW30" s="33"/>
      <c r="FY30" s="33"/>
      <c r="GA30" s="33"/>
      <c r="GC30" s="33"/>
      <c r="GD30" s="11" t="str">
        <f t="shared" si="27"/>
        <v/>
      </c>
      <c r="GE30" s="33"/>
      <c r="GF30" s="33"/>
      <c r="GG30" s="33"/>
      <c r="GH30" s="33"/>
      <c r="GI30" s="33"/>
      <c r="GJ30" s="33"/>
      <c r="GK30" s="33"/>
      <c r="GL30" s="33"/>
      <c r="GM30" s="12" t="str">
        <f t="shared" si="28"/>
        <v/>
      </c>
      <c r="GN30" s="13" t="str">
        <f t="shared" si="29"/>
        <v/>
      </c>
      <c r="GP30" s="33"/>
      <c r="GR30" s="33"/>
      <c r="GT30" s="33"/>
      <c r="GV30" s="33"/>
      <c r="GX30" s="33"/>
      <c r="GY30" s="11" t="str">
        <f t="shared" si="30"/>
        <v/>
      </c>
      <c r="GZ30" s="33"/>
      <c r="HA30" s="33"/>
      <c r="HB30" s="33"/>
      <c r="HC30" s="33"/>
      <c r="HD30" s="33"/>
      <c r="HE30" s="33"/>
      <c r="HF30" s="33"/>
      <c r="HG30" s="33"/>
      <c r="HH30" s="12" t="str">
        <f t="shared" si="31"/>
        <v/>
      </c>
      <c r="HI30" s="13" t="str">
        <f t="shared" si="32"/>
        <v/>
      </c>
      <c r="HK30" s="33"/>
      <c r="HM30" s="33"/>
      <c r="HO30" s="33"/>
      <c r="HQ30" s="33"/>
      <c r="HS30" s="33"/>
      <c r="HT30" s="11" t="str">
        <f t="shared" si="33"/>
        <v/>
      </c>
      <c r="HU30" s="33"/>
      <c r="HV30" s="33"/>
      <c r="HW30" s="33"/>
      <c r="HX30" s="33"/>
      <c r="HY30" s="33"/>
      <c r="HZ30" s="33"/>
      <c r="IA30" s="33"/>
      <c r="IB30" s="33"/>
      <c r="IC30" s="12" t="str">
        <f t="shared" si="34"/>
        <v/>
      </c>
      <c r="ID30" s="13" t="str">
        <f t="shared" si="35"/>
        <v/>
      </c>
      <c r="IF30" s="33"/>
      <c r="IH30" s="33"/>
      <c r="IJ30" s="33"/>
      <c r="IL30" s="33"/>
      <c r="IN30" s="33"/>
      <c r="IO30" s="11" t="str">
        <f t="shared" si="36"/>
        <v/>
      </c>
      <c r="IP30" s="33"/>
      <c r="IQ30" s="33"/>
      <c r="IR30" s="33"/>
      <c r="IS30" s="33"/>
      <c r="IT30" s="33"/>
      <c r="IU30" s="33"/>
      <c r="IV30" s="33"/>
      <c r="IW30" s="33"/>
      <c r="IX30" s="12" t="str">
        <f t="shared" si="37"/>
        <v/>
      </c>
      <c r="IY30" s="13" t="str">
        <f t="shared" si="38"/>
        <v/>
      </c>
      <c r="JA30" s="33"/>
      <c r="JC30" s="33"/>
      <c r="JE30" s="33"/>
      <c r="JG30" s="33"/>
      <c r="JI30" s="33"/>
      <c r="JJ30" s="11" t="str">
        <f t="shared" si="39"/>
        <v/>
      </c>
      <c r="JK30" s="33"/>
      <c r="JL30" s="33"/>
      <c r="JM30" s="33"/>
      <c r="JN30" s="33"/>
      <c r="JO30" s="33"/>
      <c r="JP30" s="33"/>
      <c r="JQ30" s="33"/>
      <c r="JR30" s="33"/>
      <c r="JS30" s="12" t="str">
        <f t="shared" si="40"/>
        <v/>
      </c>
      <c r="JT30" s="13" t="str">
        <f t="shared" si="41"/>
        <v/>
      </c>
      <c r="JU30" s="3"/>
      <c r="JV30" s="34"/>
      <c r="JW30" s="3"/>
      <c r="JX30" s="34"/>
      <c r="JY30" s="3"/>
      <c r="JZ30" s="34"/>
      <c r="KA30" s="3"/>
      <c r="KB30" s="34"/>
      <c r="KC30" s="3"/>
      <c r="KD30" s="34"/>
      <c r="KE30" s="5" t="str">
        <f t="shared" si="42"/>
        <v/>
      </c>
      <c r="KF30" s="34"/>
      <c r="KG30" s="34"/>
      <c r="KH30" s="34"/>
      <c r="KI30" s="34"/>
      <c r="KJ30" s="34"/>
      <c r="KK30" s="34"/>
      <c r="KL30" s="34"/>
      <c r="KM30" s="34"/>
      <c r="KN30" s="14" t="str">
        <f t="shared" si="43"/>
        <v/>
      </c>
      <c r="KO30" s="15" t="str">
        <f t="shared" si="44"/>
        <v/>
      </c>
    </row>
    <row r="31" spans="1:301" x14ac:dyDescent="0.3">
      <c r="A31" s="3">
        <v>23</v>
      </c>
      <c r="B31" s="4" t="s">
        <v>62</v>
      </c>
      <c r="C31" s="3">
        <v>35</v>
      </c>
      <c r="D31" s="3" t="s">
        <v>63</v>
      </c>
      <c r="E31" s="5" t="str">
        <f t="shared" si="0"/>
        <v/>
      </c>
      <c r="F31" s="10" t="str">
        <f t="shared" si="1"/>
        <v/>
      </c>
      <c r="G31" s="5" t="str">
        <f t="shared" si="2"/>
        <v/>
      </c>
      <c r="I31" s="33"/>
      <c r="K31" s="33"/>
      <c r="M31" s="33"/>
      <c r="O31" s="33"/>
      <c r="Q31" s="33"/>
      <c r="R31" s="11" t="str">
        <f t="shared" si="3"/>
        <v/>
      </c>
      <c r="S31" s="33"/>
      <c r="T31" s="33"/>
      <c r="U31" s="33"/>
      <c r="V31" s="33"/>
      <c r="W31" s="33"/>
      <c r="X31" s="33"/>
      <c r="Y31" s="33"/>
      <c r="Z31" s="33"/>
      <c r="AA31" s="12" t="str">
        <f t="shared" si="4"/>
        <v/>
      </c>
      <c r="AB31" s="13" t="str">
        <f t="shared" si="5"/>
        <v/>
      </c>
      <c r="AD31" s="33"/>
      <c r="AF31" s="33"/>
      <c r="AH31" s="33"/>
      <c r="AJ31" s="33"/>
      <c r="AL31" s="33"/>
      <c r="AM31" s="11" t="str">
        <f t="shared" si="6"/>
        <v/>
      </c>
      <c r="AN31" s="33"/>
      <c r="AO31" s="33"/>
      <c r="AP31" s="33"/>
      <c r="AQ31" s="33"/>
      <c r="AR31" s="33"/>
      <c r="AS31" s="33"/>
      <c r="AT31" s="33"/>
      <c r="AU31" s="33"/>
      <c r="AV31" s="12" t="str">
        <f t="shared" si="7"/>
        <v/>
      </c>
      <c r="AW31" s="13" t="str">
        <f t="shared" si="8"/>
        <v/>
      </c>
      <c r="AY31" s="33"/>
      <c r="BA31" s="33"/>
      <c r="BC31" s="33"/>
      <c r="BE31" s="33"/>
      <c r="BG31" s="33"/>
      <c r="BH31" s="11" t="str">
        <f t="shared" si="9"/>
        <v/>
      </c>
      <c r="BI31" s="33"/>
      <c r="BJ31" s="33"/>
      <c r="BK31" s="33"/>
      <c r="BL31" s="33"/>
      <c r="BM31" s="33"/>
      <c r="BN31" s="33"/>
      <c r="BO31" s="33"/>
      <c r="BP31" s="33"/>
      <c r="BQ31" s="12" t="str">
        <f t="shared" si="10"/>
        <v/>
      </c>
      <c r="BR31" s="13" t="str">
        <f t="shared" si="11"/>
        <v/>
      </c>
      <c r="BT31" s="33"/>
      <c r="BV31" s="33"/>
      <c r="BX31" s="33"/>
      <c r="BZ31" s="33"/>
      <c r="CB31" s="33"/>
      <c r="CC31" s="11" t="str">
        <f t="shared" si="12"/>
        <v/>
      </c>
      <c r="CD31" s="33"/>
      <c r="CE31" s="33"/>
      <c r="CF31" s="33"/>
      <c r="CG31" s="33"/>
      <c r="CH31" s="33"/>
      <c r="CI31" s="33"/>
      <c r="CJ31" s="33"/>
      <c r="CK31" s="33"/>
      <c r="CL31" s="12" t="str">
        <f t="shared" si="13"/>
        <v/>
      </c>
      <c r="CM31" s="13" t="str">
        <f t="shared" si="14"/>
        <v/>
      </c>
      <c r="CO31" s="33"/>
      <c r="CQ31" s="33"/>
      <c r="CS31" s="33"/>
      <c r="CU31" s="33"/>
      <c r="CW31" s="33"/>
      <c r="CX31" s="11" t="str">
        <f t="shared" si="15"/>
        <v/>
      </c>
      <c r="CY31" s="33"/>
      <c r="CZ31" s="33"/>
      <c r="DA31" s="33"/>
      <c r="DB31" s="33"/>
      <c r="DC31" s="33"/>
      <c r="DD31" s="33"/>
      <c r="DE31" s="33"/>
      <c r="DF31" s="33"/>
      <c r="DG31" s="12" t="str">
        <f t="shared" si="16"/>
        <v/>
      </c>
      <c r="DH31" s="13" t="str">
        <f t="shared" si="17"/>
        <v/>
      </c>
      <c r="DJ31" s="33"/>
      <c r="DL31" s="33"/>
      <c r="DN31" s="33"/>
      <c r="DP31" s="33"/>
      <c r="DR31" s="33"/>
      <c r="DS31" s="11" t="str">
        <f t="shared" si="18"/>
        <v/>
      </c>
      <c r="DT31" s="33"/>
      <c r="DU31" s="33"/>
      <c r="DV31" s="33"/>
      <c r="DW31" s="33"/>
      <c r="DX31" s="33"/>
      <c r="DY31" s="33"/>
      <c r="DZ31" s="33"/>
      <c r="EA31" s="33"/>
      <c r="EB31" s="12" t="str">
        <f t="shared" si="19"/>
        <v/>
      </c>
      <c r="EC31" s="13" t="str">
        <f t="shared" si="20"/>
        <v/>
      </c>
      <c r="EE31" s="33"/>
      <c r="EG31" s="33"/>
      <c r="EI31" s="33"/>
      <c r="EK31" s="33"/>
      <c r="EM31" s="33"/>
      <c r="EN31" s="11" t="str">
        <f t="shared" si="21"/>
        <v/>
      </c>
      <c r="EO31" s="33"/>
      <c r="EP31" s="33"/>
      <c r="EQ31" s="33"/>
      <c r="ER31" s="33"/>
      <c r="ES31" s="33"/>
      <c r="ET31" s="33"/>
      <c r="EU31" s="33"/>
      <c r="EV31" s="33"/>
      <c r="EW31" s="12" t="str">
        <f t="shared" si="22"/>
        <v/>
      </c>
      <c r="EX31" s="13" t="str">
        <f t="shared" si="23"/>
        <v/>
      </c>
      <c r="EZ31" s="33"/>
      <c r="FB31" s="33"/>
      <c r="FD31" s="33"/>
      <c r="FF31" s="33"/>
      <c r="FH31" s="33"/>
      <c r="FI31" s="11" t="str">
        <f t="shared" si="24"/>
        <v/>
      </c>
      <c r="FJ31" s="33"/>
      <c r="FK31" s="33"/>
      <c r="FL31" s="33"/>
      <c r="FM31" s="33"/>
      <c r="FN31" s="33"/>
      <c r="FO31" s="33"/>
      <c r="FP31" s="33"/>
      <c r="FQ31" s="33"/>
      <c r="FR31" s="12" t="str">
        <f t="shared" si="25"/>
        <v/>
      </c>
      <c r="FS31" s="13" t="str">
        <f t="shared" si="26"/>
        <v/>
      </c>
      <c r="FU31" s="33"/>
      <c r="FW31" s="33"/>
      <c r="FY31" s="33"/>
      <c r="GA31" s="33"/>
      <c r="GC31" s="33"/>
      <c r="GD31" s="11" t="str">
        <f t="shared" si="27"/>
        <v/>
      </c>
      <c r="GE31" s="33"/>
      <c r="GF31" s="33"/>
      <c r="GG31" s="33"/>
      <c r="GH31" s="33"/>
      <c r="GI31" s="33"/>
      <c r="GJ31" s="33"/>
      <c r="GK31" s="33"/>
      <c r="GL31" s="33"/>
      <c r="GM31" s="12" t="str">
        <f t="shared" si="28"/>
        <v/>
      </c>
      <c r="GN31" s="13" t="str">
        <f t="shared" si="29"/>
        <v/>
      </c>
      <c r="GP31" s="33"/>
      <c r="GR31" s="33"/>
      <c r="GT31" s="33"/>
      <c r="GV31" s="33"/>
      <c r="GX31" s="33"/>
      <c r="GY31" s="11" t="str">
        <f t="shared" si="30"/>
        <v/>
      </c>
      <c r="GZ31" s="33"/>
      <c r="HA31" s="33"/>
      <c r="HB31" s="33"/>
      <c r="HC31" s="33"/>
      <c r="HD31" s="33"/>
      <c r="HE31" s="33"/>
      <c r="HF31" s="33"/>
      <c r="HG31" s="33"/>
      <c r="HH31" s="12" t="str">
        <f t="shared" si="31"/>
        <v/>
      </c>
      <c r="HI31" s="13" t="str">
        <f t="shared" si="32"/>
        <v/>
      </c>
      <c r="HK31" s="33"/>
      <c r="HM31" s="33"/>
      <c r="HO31" s="33"/>
      <c r="HQ31" s="33"/>
      <c r="HS31" s="33"/>
      <c r="HT31" s="11" t="str">
        <f t="shared" si="33"/>
        <v/>
      </c>
      <c r="HU31" s="33"/>
      <c r="HV31" s="33"/>
      <c r="HW31" s="33"/>
      <c r="HX31" s="33"/>
      <c r="HY31" s="33"/>
      <c r="HZ31" s="33"/>
      <c r="IA31" s="33"/>
      <c r="IB31" s="33"/>
      <c r="IC31" s="12" t="str">
        <f t="shared" si="34"/>
        <v/>
      </c>
      <c r="ID31" s="13" t="str">
        <f t="shared" si="35"/>
        <v/>
      </c>
      <c r="IF31" s="33"/>
      <c r="IH31" s="33"/>
      <c r="IJ31" s="33"/>
      <c r="IL31" s="33"/>
      <c r="IN31" s="33"/>
      <c r="IO31" s="11" t="str">
        <f t="shared" si="36"/>
        <v/>
      </c>
      <c r="IP31" s="33"/>
      <c r="IQ31" s="33"/>
      <c r="IR31" s="33"/>
      <c r="IS31" s="33"/>
      <c r="IT31" s="33"/>
      <c r="IU31" s="33"/>
      <c r="IV31" s="33"/>
      <c r="IW31" s="33"/>
      <c r="IX31" s="12" t="str">
        <f t="shared" si="37"/>
        <v/>
      </c>
      <c r="IY31" s="13" t="str">
        <f t="shared" si="38"/>
        <v/>
      </c>
      <c r="JA31" s="33"/>
      <c r="JC31" s="33"/>
      <c r="JE31" s="33"/>
      <c r="JG31" s="33"/>
      <c r="JI31" s="33"/>
      <c r="JJ31" s="11" t="str">
        <f t="shared" si="39"/>
        <v/>
      </c>
      <c r="JK31" s="33"/>
      <c r="JL31" s="33"/>
      <c r="JM31" s="33"/>
      <c r="JN31" s="33"/>
      <c r="JO31" s="33"/>
      <c r="JP31" s="33"/>
      <c r="JQ31" s="33"/>
      <c r="JR31" s="33"/>
      <c r="JS31" s="12" t="str">
        <f t="shared" si="40"/>
        <v/>
      </c>
      <c r="JT31" s="13" t="str">
        <f t="shared" si="41"/>
        <v/>
      </c>
      <c r="JU31" s="3"/>
      <c r="JV31" s="34"/>
      <c r="JW31" s="3"/>
      <c r="JX31" s="34"/>
      <c r="JY31" s="3"/>
      <c r="JZ31" s="34"/>
      <c r="KA31" s="3"/>
      <c r="KB31" s="34"/>
      <c r="KC31" s="3"/>
      <c r="KD31" s="34"/>
      <c r="KE31" s="5" t="str">
        <f t="shared" si="42"/>
        <v/>
      </c>
      <c r="KF31" s="34"/>
      <c r="KG31" s="34"/>
      <c r="KH31" s="34"/>
      <c r="KI31" s="34"/>
      <c r="KJ31" s="34"/>
      <c r="KK31" s="34"/>
      <c r="KL31" s="34"/>
      <c r="KM31" s="34"/>
      <c r="KN31" s="14" t="str">
        <f t="shared" si="43"/>
        <v/>
      </c>
      <c r="KO31" s="15" t="str">
        <f t="shared" si="44"/>
        <v/>
      </c>
    </row>
    <row r="32" spans="1:301" x14ac:dyDescent="0.3">
      <c r="A32" s="3">
        <v>24</v>
      </c>
      <c r="B32" s="4" t="s">
        <v>64</v>
      </c>
      <c r="C32" s="3">
        <v>36</v>
      </c>
      <c r="D32" s="3" t="s">
        <v>65</v>
      </c>
      <c r="E32" s="5" t="str">
        <f t="shared" si="0"/>
        <v/>
      </c>
      <c r="F32" s="10" t="str">
        <f t="shared" si="1"/>
        <v/>
      </c>
      <c r="G32" s="5" t="str">
        <f t="shared" si="2"/>
        <v/>
      </c>
      <c r="I32" s="33"/>
      <c r="K32" s="33"/>
      <c r="M32" s="33"/>
      <c r="O32" s="33"/>
      <c r="Q32" s="33"/>
      <c r="R32" s="11" t="str">
        <f t="shared" si="3"/>
        <v/>
      </c>
      <c r="S32" s="33"/>
      <c r="T32" s="33"/>
      <c r="U32" s="33"/>
      <c r="V32" s="33"/>
      <c r="W32" s="33"/>
      <c r="X32" s="33"/>
      <c r="Y32" s="33"/>
      <c r="Z32" s="33"/>
      <c r="AA32" s="12" t="str">
        <f t="shared" si="4"/>
        <v/>
      </c>
      <c r="AB32" s="13" t="str">
        <f t="shared" si="5"/>
        <v/>
      </c>
      <c r="AD32" s="33"/>
      <c r="AF32" s="33"/>
      <c r="AH32" s="33"/>
      <c r="AJ32" s="33"/>
      <c r="AL32" s="33"/>
      <c r="AM32" s="11" t="str">
        <f t="shared" si="6"/>
        <v/>
      </c>
      <c r="AN32" s="33"/>
      <c r="AO32" s="33"/>
      <c r="AP32" s="33"/>
      <c r="AQ32" s="33"/>
      <c r="AR32" s="33"/>
      <c r="AS32" s="33"/>
      <c r="AT32" s="33"/>
      <c r="AU32" s="33"/>
      <c r="AV32" s="12" t="str">
        <f t="shared" si="7"/>
        <v/>
      </c>
      <c r="AW32" s="13" t="str">
        <f t="shared" si="8"/>
        <v/>
      </c>
      <c r="AY32" s="33"/>
      <c r="BA32" s="33"/>
      <c r="BC32" s="33"/>
      <c r="BE32" s="33"/>
      <c r="BG32" s="33"/>
      <c r="BH32" s="11" t="str">
        <f t="shared" si="9"/>
        <v/>
      </c>
      <c r="BI32" s="33"/>
      <c r="BJ32" s="33"/>
      <c r="BK32" s="33"/>
      <c r="BL32" s="33"/>
      <c r="BM32" s="33"/>
      <c r="BN32" s="33"/>
      <c r="BO32" s="33"/>
      <c r="BP32" s="33"/>
      <c r="BQ32" s="12" t="str">
        <f t="shared" si="10"/>
        <v/>
      </c>
      <c r="BR32" s="13" t="str">
        <f t="shared" si="11"/>
        <v/>
      </c>
      <c r="BT32" s="33"/>
      <c r="BV32" s="33"/>
      <c r="BX32" s="33"/>
      <c r="BZ32" s="33"/>
      <c r="CB32" s="33"/>
      <c r="CC32" s="11" t="str">
        <f t="shared" si="12"/>
        <v/>
      </c>
      <c r="CD32" s="33"/>
      <c r="CE32" s="33"/>
      <c r="CF32" s="33"/>
      <c r="CG32" s="33"/>
      <c r="CH32" s="33"/>
      <c r="CI32" s="33"/>
      <c r="CJ32" s="33"/>
      <c r="CK32" s="33"/>
      <c r="CL32" s="12" t="str">
        <f t="shared" si="13"/>
        <v/>
      </c>
      <c r="CM32" s="13" t="str">
        <f t="shared" si="14"/>
        <v/>
      </c>
      <c r="CO32" s="33"/>
      <c r="CQ32" s="33"/>
      <c r="CS32" s="33"/>
      <c r="CU32" s="33"/>
      <c r="CW32" s="33"/>
      <c r="CX32" s="11" t="str">
        <f t="shared" si="15"/>
        <v/>
      </c>
      <c r="CY32" s="33"/>
      <c r="CZ32" s="33"/>
      <c r="DA32" s="33"/>
      <c r="DB32" s="33"/>
      <c r="DC32" s="33"/>
      <c r="DD32" s="33"/>
      <c r="DE32" s="33"/>
      <c r="DF32" s="33"/>
      <c r="DG32" s="12" t="str">
        <f t="shared" si="16"/>
        <v/>
      </c>
      <c r="DH32" s="13" t="str">
        <f t="shared" si="17"/>
        <v/>
      </c>
      <c r="DJ32" s="33"/>
      <c r="DL32" s="33"/>
      <c r="DN32" s="33"/>
      <c r="DP32" s="33"/>
      <c r="DR32" s="33"/>
      <c r="DS32" s="11" t="str">
        <f t="shared" si="18"/>
        <v/>
      </c>
      <c r="DT32" s="33"/>
      <c r="DU32" s="33"/>
      <c r="DV32" s="33"/>
      <c r="DW32" s="33"/>
      <c r="DX32" s="33"/>
      <c r="DY32" s="33"/>
      <c r="DZ32" s="33"/>
      <c r="EA32" s="33"/>
      <c r="EB32" s="12" t="str">
        <f t="shared" si="19"/>
        <v/>
      </c>
      <c r="EC32" s="13" t="str">
        <f t="shared" si="20"/>
        <v/>
      </c>
      <c r="EE32" s="33"/>
      <c r="EG32" s="33"/>
      <c r="EI32" s="33"/>
      <c r="EK32" s="33"/>
      <c r="EM32" s="33"/>
      <c r="EN32" s="11" t="str">
        <f t="shared" si="21"/>
        <v/>
      </c>
      <c r="EO32" s="33"/>
      <c r="EP32" s="33"/>
      <c r="EQ32" s="33"/>
      <c r="ER32" s="33"/>
      <c r="ES32" s="33"/>
      <c r="ET32" s="33"/>
      <c r="EU32" s="33"/>
      <c r="EV32" s="33"/>
      <c r="EW32" s="12" t="str">
        <f t="shared" si="22"/>
        <v/>
      </c>
      <c r="EX32" s="13" t="str">
        <f t="shared" si="23"/>
        <v/>
      </c>
      <c r="EZ32" s="33"/>
      <c r="FB32" s="33"/>
      <c r="FD32" s="33"/>
      <c r="FF32" s="33"/>
      <c r="FH32" s="33"/>
      <c r="FI32" s="11" t="str">
        <f t="shared" si="24"/>
        <v/>
      </c>
      <c r="FJ32" s="33"/>
      <c r="FK32" s="33"/>
      <c r="FL32" s="33"/>
      <c r="FM32" s="33"/>
      <c r="FN32" s="33"/>
      <c r="FO32" s="33"/>
      <c r="FP32" s="33"/>
      <c r="FQ32" s="33"/>
      <c r="FR32" s="12" t="str">
        <f t="shared" si="25"/>
        <v/>
      </c>
      <c r="FS32" s="13" t="str">
        <f t="shared" si="26"/>
        <v/>
      </c>
      <c r="FU32" s="33"/>
      <c r="FW32" s="33"/>
      <c r="FY32" s="33"/>
      <c r="GA32" s="33"/>
      <c r="GC32" s="33"/>
      <c r="GD32" s="11" t="str">
        <f t="shared" si="27"/>
        <v/>
      </c>
      <c r="GE32" s="33"/>
      <c r="GF32" s="33"/>
      <c r="GG32" s="33"/>
      <c r="GH32" s="33"/>
      <c r="GI32" s="33"/>
      <c r="GJ32" s="33"/>
      <c r="GK32" s="33"/>
      <c r="GL32" s="33"/>
      <c r="GM32" s="12" t="str">
        <f t="shared" si="28"/>
        <v/>
      </c>
      <c r="GN32" s="13" t="str">
        <f t="shared" si="29"/>
        <v/>
      </c>
      <c r="GP32" s="33"/>
      <c r="GR32" s="33"/>
      <c r="GT32" s="33"/>
      <c r="GV32" s="33"/>
      <c r="GX32" s="33"/>
      <c r="GY32" s="11" t="str">
        <f t="shared" si="30"/>
        <v/>
      </c>
      <c r="GZ32" s="33"/>
      <c r="HA32" s="33"/>
      <c r="HB32" s="33"/>
      <c r="HC32" s="33"/>
      <c r="HD32" s="33"/>
      <c r="HE32" s="33"/>
      <c r="HF32" s="33"/>
      <c r="HG32" s="33"/>
      <c r="HH32" s="12" t="str">
        <f t="shared" si="31"/>
        <v/>
      </c>
      <c r="HI32" s="13" t="str">
        <f t="shared" si="32"/>
        <v/>
      </c>
      <c r="HK32" s="33"/>
      <c r="HM32" s="33"/>
      <c r="HO32" s="33"/>
      <c r="HQ32" s="33"/>
      <c r="HS32" s="33"/>
      <c r="HT32" s="11" t="str">
        <f t="shared" si="33"/>
        <v/>
      </c>
      <c r="HU32" s="33"/>
      <c r="HV32" s="33"/>
      <c r="HW32" s="33"/>
      <c r="HX32" s="33"/>
      <c r="HY32" s="33"/>
      <c r="HZ32" s="33"/>
      <c r="IA32" s="33"/>
      <c r="IB32" s="33"/>
      <c r="IC32" s="12" t="str">
        <f t="shared" si="34"/>
        <v/>
      </c>
      <c r="ID32" s="13" t="str">
        <f t="shared" si="35"/>
        <v/>
      </c>
      <c r="IF32" s="33"/>
      <c r="IH32" s="33"/>
      <c r="IJ32" s="33"/>
      <c r="IL32" s="33"/>
      <c r="IN32" s="33"/>
      <c r="IO32" s="11" t="str">
        <f t="shared" si="36"/>
        <v/>
      </c>
      <c r="IP32" s="33"/>
      <c r="IQ32" s="33"/>
      <c r="IR32" s="33"/>
      <c r="IS32" s="33"/>
      <c r="IT32" s="33"/>
      <c r="IU32" s="33"/>
      <c r="IV32" s="33"/>
      <c r="IW32" s="33"/>
      <c r="IX32" s="12" t="str">
        <f t="shared" si="37"/>
        <v/>
      </c>
      <c r="IY32" s="13" t="str">
        <f t="shared" si="38"/>
        <v/>
      </c>
      <c r="JA32" s="33"/>
      <c r="JC32" s="33"/>
      <c r="JE32" s="33"/>
      <c r="JG32" s="33"/>
      <c r="JI32" s="33"/>
      <c r="JJ32" s="11" t="str">
        <f t="shared" si="39"/>
        <v/>
      </c>
      <c r="JK32" s="33"/>
      <c r="JL32" s="33"/>
      <c r="JM32" s="33"/>
      <c r="JN32" s="33"/>
      <c r="JO32" s="33"/>
      <c r="JP32" s="33"/>
      <c r="JQ32" s="33"/>
      <c r="JR32" s="33"/>
      <c r="JS32" s="12" t="str">
        <f t="shared" si="40"/>
        <v/>
      </c>
      <c r="JT32" s="13" t="str">
        <f t="shared" si="41"/>
        <v/>
      </c>
      <c r="JU32" s="3"/>
      <c r="JV32" s="34"/>
      <c r="JW32" s="3"/>
      <c r="JX32" s="34"/>
      <c r="JY32" s="3"/>
      <c r="JZ32" s="34"/>
      <c r="KA32" s="3"/>
      <c r="KB32" s="34"/>
      <c r="KC32" s="3"/>
      <c r="KD32" s="34"/>
      <c r="KE32" s="5" t="str">
        <f t="shared" si="42"/>
        <v/>
      </c>
      <c r="KF32" s="34"/>
      <c r="KG32" s="34"/>
      <c r="KH32" s="34"/>
      <c r="KI32" s="34"/>
      <c r="KJ32" s="34"/>
      <c r="KK32" s="34"/>
      <c r="KL32" s="34"/>
      <c r="KM32" s="34"/>
      <c r="KN32" s="14" t="str">
        <f t="shared" si="43"/>
        <v/>
      </c>
      <c r="KO32" s="15" t="str">
        <f t="shared" si="44"/>
        <v/>
      </c>
    </row>
    <row r="33" spans="1:301" x14ac:dyDescent="0.3">
      <c r="A33" s="3">
        <v>25</v>
      </c>
      <c r="B33" s="4" t="s">
        <v>66</v>
      </c>
      <c r="C33" s="3">
        <v>37</v>
      </c>
      <c r="D33" s="3" t="s">
        <v>67</v>
      </c>
      <c r="E33" s="5" t="str">
        <f t="shared" si="0"/>
        <v/>
      </c>
      <c r="F33" s="10" t="str">
        <f t="shared" si="1"/>
        <v/>
      </c>
      <c r="G33" s="5" t="str">
        <f t="shared" si="2"/>
        <v/>
      </c>
      <c r="I33" s="33"/>
      <c r="K33" s="33"/>
      <c r="M33" s="33"/>
      <c r="O33" s="33"/>
      <c r="Q33" s="33"/>
      <c r="R33" s="11" t="str">
        <f t="shared" si="3"/>
        <v/>
      </c>
      <c r="S33" s="33"/>
      <c r="T33" s="33"/>
      <c r="U33" s="33"/>
      <c r="V33" s="33"/>
      <c r="W33" s="33"/>
      <c r="X33" s="33"/>
      <c r="Y33" s="33"/>
      <c r="Z33" s="33"/>
      <c r="AA33" s="12" t="str">
        <f t="shared" si="4"/>
        <v/>
      </c>
      <c r="AB33" s="13" t="str">
        <f t="shared" si="5"/>
        <v/>
      </c>
      <c r="AD33" s="33"/>
      <c r="AF33" s="33"/>
      <c r="AH33" s="33"/>
      <c r="AJ33" s="33"/>
      <c r="AL33" s="33"/>
      <c r="AM33" s="11" t="str">
        <f t="shared" si="6"/>
        <v/>
      </c>
      <c r="AN33" s="33"/>
      <c r="AO33" s="33"/>
      <c r="AP33" s="33"/>
      <c r="AQ33" s="33"/>
      <c r="AR33" s="33"/>
      <c r="AS33" s="33"/>
      <c r="AT33" s="33"/>
      <c r="AU33" s="33"/>
      <c r="AV33" s="12" t="str">
        <f t="shared" si="7"/>
        <v/>
      </c>
      <c r="AW33" s="13" t="str">
        <f t="shared" si="8"/>
        <v/>
      </c>
      <c r="AY33" s="33"/>
      <c r="BA33" s="33"/>
      <c r="BC33" s="33"/>
      <c r="BE33" s="33"/>
      <c r="BG33" s="33"/>
      <c r="BH33" s="11" t="str">
        <f t="shared" si="9"/>
        <v/>
      </c>
      <c r="BI33" s="33"/>
      <c r="BJ33" s="33"/>
      <c r="BK33" s="33"/>
      <c r="BL33" s="33"/>
      <c r="BM33" s="33"/>
      <c r="BN33" s="33"/>
      <c r="BO33" s="33"/>
      <c r="BP33" s="33"/>
      <c r="BQ33" s="12" t="str">
        <f t="shared" si="10"/>
        <v/>
      </c>
      <c r="BR33" s="13" t="str">
        <f t="shared" si="11"/>
        <v/>
      </c>
      <c r="BT33" s="33"/>
      <c r="BV33" s="33"/>
      <c r="BX33" s="33"/>
      <c r="BZ33" s="33"/>
      <c r="CB33" s="33"/>
      <c r="CC33" s="11" t="str">
        <f t="shared" si="12"/>
        <v/>
      </c>
      <c r="CD33" s="33"/>
      <c r="CE33" s="33"/>
      <c r="CF33" s="33"/>
      <c r="CG33" s="33"/>
      <c r="CH33" s="33"/>
      <c r="CI33" s="33"/>
      <c r="CJ33" s="33"/>
      <c r="CK33" s="33"/>
      <c r="CL33" s="12" t="str">
        <f t="shared" si="13"/>
        <v/>
      </c>
      <c r="CM33" s="13" t="str">
        <f t="shared" si="14"/>
        <v/>
      </c>
      <c r="CO33" s="33"/>
      <c r="CQ33" s="33"/>
      <c r="CS33" s="33"/>
      <c r="CU33" s="33"/>
      <c r="CW33" s="33"/>
      <c r="CX33" s="11" t="str">
        <f t="shared" si="15"/>
        <v/>
      </c>
      <c r="CY33" s="33"/>
      <c r="CZ33" s="33"/>
      <c r="DA33" s="33"/>
      <c r="DB33" s="33"/>
      <c r="DC33" s="33"/>
      <c r="DD33" s="33"/>
      <c r="DE33" s="33"/>
      <c r="DF33" s="33"/>
      <c r="DG33" s="12" t="str">
        <f t="shared" si="16"/>
        <v/>
      </c>
      <c r="DH33" s="13" t="str">
        <f t="shared" si="17"/>
        <v/>
      </c>
      <c r="DJ33" s="33"/>
      <c r="DL33" s="33"/>
      <c r="DN33" s="33"/>
      <c r="DP33" s="33"/>
      <c r="DR33" s="33"/>
      <c r="DS33" s="11" t="str">
        <f t="shared" si="18"/>
        <v/>
      </c>
      <c r="DT33" s="33"/>
      <c r="DU33" s="33"/>
      <c r="DV33" s="33"/>
      <c r="DW33" s="33"/>
      <c r="DX33" s="33"/>
      <c r="DY33" s="33"/>
      <c r="DZ33" s="33"/>
      <c r="EA33" s="33"/>
      <c r="EB33" s="12" t="str">
        <f t="shared" si="19"/>
        <v/>
      </c>
      <c r="EC33" s="13" t="str">
        <f t="shared" si="20"/>
        <v/>
      </c>
      <c r="EE33" s="33"/>
      <c r="EG33" s="33"/>
      <c r="EI33" s="33"/>
      <c r="EK33" s="33"/>
      <c r="EM33" s="33"/>
      <c r="EN33" s="11" t="str">
        <f t="shared" si="21"/>
        <v/>
      </c>
      <c r="EO33" s="33"/>
      <c r="EP33" s="33"/>
      <c r="EQ33" s="33"/>
      <c r="ER33" s="33"/>
      <c r="ES33" s="33"/>
      <c r="ET33" s="33"/>
      <c r="EU33" s="33"/>
      <c r="EV33" s="33"/>
      <c r="EW33" s="12" t="str">
        <f t="shared" si="22"/>
        <v/>
      </c>
      <c r="EX33" s="13" t="str">
        <f t="shared" si="23"/>
        <v/>
      </c>
      <c r="EZ33" s="33"/>
      <c r="FB33" s="33"/>
      <c r="FD33" s="33"/>
      <c r="FF33" s="33"/>
      <c r="FH33" s="33"/>
      <c r="FI33" s="11" t="str">
        <f t="shared" si="24"/>
        <v/>
      </c>
      <c r="FJ33" s="33"/>
      <c r="FK33" s="33"/>
      <c r="FL33" s="33"/>
      <c r="FM33" s="33"/>
      <c r="FN33" s="33"/>
      <c r="FO33" s="33"/>
      <c r="FP33" s="33"/>
      <c r="FQ33" s="33"/>
      <c r="FR33" s="12" t="str">
        <f t="shared" si="25"/>
        <v/>
      </c>
      <c r="FS33" s="13" t="str">
        <f t="shared" si="26"/>
        <v/>
      </c>
      <c r="FU33" s="33"/>
      <c r="FW33" s="33"/>
      <c r="FY33" s="33"/>
      <c r="GA33" s="33"/>
      <c r="GC33" s="33"/>
      <c r="GD33" s="11" t="str">
        <f t="shared" si="27"/>
        <v/>
      </c>
      <c r="GE33" s="33"/>
      <c r="GF33" s="33"/>
      <c r="GG33" s="33"/>
      <c r="GH33" s="33"/>
      <c r="GI33" s="33"/>
      <c r="GJ33" s="33"/>
      <c r="GK33" s="33"/>
      <c r="GL33" s="33"/>
      <c r="GM33" s="12" t="str">
        <f t="shared" si="28"/>
        <v/>
      </c>
      <c r="GN33" s="13" t="str">
        <f t="shared" si="29"/>
        <v/>
      </c>
      <c r="GP33" s="33"/>
      <c r="GR33" s="33"/>
      <c r="GT33" s="33"/>
      <c r="GV33" s="33"/>
      <c r="GX33" s="33"/>
      <c r="GY33" s="11" t="str">
        <f t="shared" si="30"/>
        <v/>
      </c>
      <c r="GZ33" s="33"/>
      <c r="HA33" s="33"/>
      <c r="HB33" s="33"/>
      <c r="HC33" s="33"/>
      <c r="HD33" s="33"/>
      <c r="HE33" s="33"/>
      <c r="HF33" s="33"/>
      <c r="HG33" s="33"/>
      <c r="HH33" s="12" t="str">
        <f t="shared" si="31"/>
        <v/>
      </c>
      <c r="HI33" s="13" t="str">
        <f t="shared" si="32"/>
        <v/>
      </c>
      <c r="HK33" s="33"/>
      <c r="HM33" s="33"/>
      <c r="HO33" s="33"/>
      <c r="HQ33" s="33"/>
      <c r="HS33" s="33"/>
      <c r="HT33" s="11" t="str">
        <f t="shared" si="33"/>
        <v/>
      </c>
      <c r="HU33" s="33"/>
      <c r="HV33" s="33"/>
      <c r="HW33" s="33"/>
      <c r="HX33" s="33"/>
      <c r="HY33" s="33"/>
      <c r="HZ33" s="33"/>
      <c r="IA33" s="33"/>
      <c r="IB33" s="33"/>
      <c r="IC33" s="12" t="str">
        <f t="shared" si="34"/>
        <v/>
      </c>
      <c r="ID33" s="13" t="str">
        <f t="shared" si="35"/>
        <v/>
      </c>
      <c r="IF33" s="33"/>
      <c r="IH33" s="33"/>
      <c r="IJ33" s="33"/>
      <c r="IL33" s="33"/>
      <c r="IN33" s="33"/>
      <c r="IO33" s="11" t="str">
        <f t="shared" si="36"/>
        <v/>
      </c>
      <c r="IP33" s="33"/>
      <c r="IQ33" s="33"/>
      <c r="IR33" s="33"/>
      <c r="IS33" s="33"/>
      <c r="IT33" s="33"/>
      <c r="IU33" s="33"/>
      <c r="IV33" s="33"/>
      <c r="IW33" s="33"/>
      <c r="IX33" s="12" t="str">
        <f t="shared" si="37"/>
        <v/>
      </c>
      <c r="IY33" s="13" t="str">
        <f t="shared" si="38"/>
        <v/>
      </c>
      <c r="JA33" s="33"/>
      <c r="JC33" s="33"/>
      <c r="JE33" s="33"/>
      <c r="JG33" s="33"/>
      <c r="JI33" s="33"/>
      <c r="JJ33" s="11" t="str">
        <f t="shared" si="39"/>
        <v/>
      </c>
      <c r="JK33" s="33"/>
      <c r="JL33" s="33"/>
      <c r="JM33" s="33"/>
      <c r="JN33" s="33"/>
      <c r="JO33" s="33"/>
      <c r="JP33" s="33"/>
      <c r="JQ33" s="33"/>
      <c r="JR33" s="33"/>
      <c r="JS33" s="12" t="str">
        <f t="shared" si="40"/>
        <v/>
      </c>
      <c r="JT33" s="13" t="str">
        <f t="shared" si="41"/>
        <v/>
      </c>
      <c r="JU33" s="3"/>
      <c r="JV33" s="34"/>
      <c r="JW33" s="3"/>
      <c r="JX33" s="34"/>
      <c r="JY33" s="3"/>
      <c r="JZ33" s="34"/>
      <c r="KA33" s="3"/>
      <c r="KB33" s="34"/>
      <c r="KC33" s="3"/>
      <c r="KD33" s="34"/>
      <c r="KE33" s="5" t="str">
        <f t="shared" si="42"/>
        <v/>
      </c>
      <c r="KF33" s="34"/>
      <c r="KG33" s="34"/>
      <c r="KH33" s="34"/>
      <c r="KI33" s="34"/>
      <c r="KJ33" s="34"/>
      <c r="KK33" s="34"/>
      <c r="KL33" s="34"/>
      <c r="KM33" s="34"/>
      <c r="KN33" s="14" t="str">
        <f t="shared" si="43"/>
        <v/>
      </c>
      <c r="KO33" s="15" t="str">
        <f t="shared" si="44"/>
        <v/>
      </c>
    </row>
    <row r="34" spans="1:301" x14ac:dyDescent="0.3">
      <c r="A34" s="3">
        <v>26</v>
      </c>
      <c r="B34" s="4" t="s">
        <v>68</v>
      </c>
      <c r="C34" s="3">
        <v>38</v>
      </c>
      <c r="D34" s="3" t="s">
        <v>69</v>
      </c>
      <c r="E34" s="5" t="str">
        <f t="shared" si="0"/>
        <v/>
      </c>
      <c r="F34" s="10" t="str">
        <f t="shared" si="1"/>
        <v/>
      </c>
      <c r="G34" s="5" t="str">
        <f t="shared" si="2"/>
        <v/>
      </c>
      <c r="I34" s="33"/>
      <c r="K34" s="33"/>
      <c r="M34" s="33"/>
      <c r="O34" s="33"/>
      <c r="Q34" s="33"/>
      <c r="R34" s="11" t="str">
        <f t="shared" si="3"/>
        <v/>
      </c>
      <c r="S34" s="33"/>
      <c r="T34" s="33"/>
      <c r="U34" s="33"/>
      <c r="V34" s="33"/>
      <c r="W34" s="33"/>
      <c r="X34" s="33"/>
      <c r="Y34" s="33"/>
      <c r="Z34" s="33"/>
      <c r="AA34" s="12" t="str">
        <f t="shared" si="4"/>
        <v/>
      </c>
      <c r="AB34" s="13" t="str">
        <f t="shared" si="5"/>
        <v/>
      </c>
      <c r="AD34" s="33"/>
      <c r="AF34" s="33"/>
      <c r="AH34" s="33"/>
      <c r="AJ34" s="33"/>
      <c r="AL34" s="33"/>
      <c r="AM34" s="11" t="str">
        <f t="shared" si="6"/>
        <v/>
      </c>
      <c r="AN34" s="33"/>
      <c r="AO34" s="33"/>
      <c r="AP34" s="33"/>
      <c r="AQ34" s="33"/>
      <c r="AR34" s="33"/>
      <c r="AS34" s="33"/>
      <c r="AT34" s="33"/>
      <c r="AU34" s="33"/>
      <c r="AV34" s="12" t="str">
        <f t="shared" si="7"/>
        <v/>
      </c>
      <c r="AW34" s="13" t="str">
        <f t="shared" si="8"/>
        <v/>
      </c>
      <c r="AY34" s="33"/>
      <c r="BA34" s="33"/>
      <c r="BC34" s="33"/>
      <c r="BE34" s="33"/>
      <c r="BG34" s="33"/>
      <c r="BH34" s="11" t="str">
        <f t="shared" si="9"/>
        <v/>
      </c>
      <c r="BI34" s="33"/>
      <c r="BJ34" s="33"/>
      <c r="BK34" s="33"/>
      <c r="BL34" s="33"/>
      <c r="BM34" s="33"/>
      <c r="BN34" s="33"/>
      <c r="BO34" s="33"/>
      <c r="BP34" s="33"/>
      <c r="BQ34" s="12" t="str">
        <f t="shared" si="10"/>
        <v/>
      </c>
      <c r="BR34" s="13" t="str">
        <f t="shared" si="11"/>
        <v/>
      </c>
      <c r="BT34" s="33"/>
      <c r="BV34" s="33"/>
      <c r="BX34" s="33"/>
      <c r="BZ34" s="33"/>
      <c r="CB34" s="33"/>
      <c r="CC34" s="11" t="str">
        <f t="shared" si="12"/>
        <v/>
      </c>
      <c r="CD34" s="33"/>
      <c r="CE34" s="33"/>
      <c r="CF34" s="33"/>
      <c r="CG34" s="33"/>
      <c r="CH34" s="33"/>
      <c r="CI34" s="33"/>
      <c r="CJ34" s="33"/>
      <c r="CK34" s="33"/>
      <c r="CL34" s="12" t="str">
        <f t="shared" si="13"/>
        <v/>
      </c>
      <c r="CM34" s="13" t="str">
        <f t="shared" si="14"/>
        <v/>
      </c>
      <c r="CO34" s="33"/>
      <c r="CQ34" s="33"/>
      <c r="CS34" s="33"/>
      <c r="CU34" s="33"/>
      <c r="CW34" s="33"/>
      <c r="CX34" s="11" t="str">
        <f t="shared" si="15"/>
        <v/>
      </c>
      <c r="CY34" s="33"/>
      <c r="CZ34" s="33"/>
      <c r="DA34" s="33"/>
      <c r="DB34" s="33"/>
      <c r="DC34" s="33"/>
      <c r="DD34" s="33"/>
      <c r="DE34" s="33"/>
      <c r="DF34" s="33"/>
      <c r="DG34" s="12" t="str">
        <f t="shared" si="16"/>
        <v/>
      </c>
      <c r="DH34" s="13" t="str">
        <f t="shared" si="17"/>
        <v/>
      </c>
      <c r="DJ34" s="33"/>
      <c r="DL34" s="33"/>
      <c r="DN34" s="33"/>
      <c r="DP34" s="33"/>
      <c r="DR34" s="33"/>
      <c r="DS34" s="11" t="str">
        <f t="shared" si="18"/>
        <v/>
      </c>
      <c r="DT34" s="33"/>
      <c r="DU34" s="33"/>
      <c r="DV34" s="33"/>
      <c r="DW34" s="33"/>
      <c r="DX34" s="33"/>
      <c r="DY34" s="33"/>
      <c r="DZ34" s="33"/>
      <c r="EA34" s="33"/>
      <c r="EB34" s="12" t="str">
        <f t="shared" si="19"/>
        <v/>
      </c>
      <c r="EC34" s="13" t="str">
        <f t="shared" si="20"/>
        <v/>
      </c>
      <c r="EE34" s="33"/>
      <c r="EG34" s="33"/>
      <c r="EI34" s="33"/>
      <c r="EK34" s="33"/>
      <c r="EM34" s="33"/>
      <c r="EN34" s="11" t="str">
        <f t="shared" si="21"/>
        <v/>
      </c>
      <c r="EO34" s="33"/>
      <c r="EP34" s="33"/>
      <c r="EQ34" s="33"/>
      <c r="ER34" s="33"/>
      <c r="ES34" s="33"/>
      <c r="ET34" s="33"/>
      <c r="EU34" s="33"/>
      <c r="EV34" s="33"/>
      <c r="EW34" s="12" t="str">
        <f t="shared" si="22"/>
        <v/>
      </c>
      <c r="EX34" s="13" t="str">
        <f t="shared" si="23"/>
        <v/>
      </c>
      <c r="EZ34" s="33"/>
      <c r="FB34" s="33"/>
      <c r="FD34" s="33"/>
      <c r="FF34" s="33"/>
      <c r="FH34" s="33"/>
      <c r="FI34" s="11" t="str">
        <f t="shared" si="24"/>
        <v/>
      </c>
      <c r="FJ34" s="33"/>
      <c r="FK34" s="33"/>
      <c r="FL34" s="33"/>
      <c r="FM34" s="33"/>
      <c r="FN34" s="33"/>
      <c r="FO34" s="33"/>
      <c r="FP34" s="33"/>
      <c r="FQ34" s="33"/>
      <c r="FR34" s="12" t="str">
        <f t="shared" si="25"/>
        <v/>
      </c>
      <c r="FS34" s="13" t="str">
        <f t="shared" si="26"/>
        <v/>
      </c>
      <c r="FU34" s="33"/>
      <c r="FW34" s="33"/>
      <c r="FY34" s="33"/>
      <c r="GA34" s="33"/>
      <c r="GC34" s="33"/>
      <c r="GD34" s="11" t="str">
        <f t="shared" si="27"/>
        <v/>
      </c>
      <c r="GE34" s="33"/>
      <c r="GF34" s="33"/>
      <c r="GG34" s="33"/>
      <c r="GH34" s="33"/>
      <c r="GI34" s="33"/>
      <c r="GJ34" s="33"/>
      <c r="GK34" s="33"/>
      <c r="GL34" s="33"/>
      <c r="GM34" s="12" t="str">
        <f t="shared" si="28"/>
        <v/>
      </c>
      <c r="GN34" s="13" t="str">
        <f t="shared" si="29"/>
        <v/>
      </c>
      <c r="GP34" s="33"/>
      <c r="GR34" s="33"/>
      <c r="GT34" s="33"/>
      <c r="GV34" s="33"/>
      <c r="GX34" s="33"/>
      <c r="GY34" s="11" t="str">
        <f t="shared" si="30"/>
        <v/>
      </c>
      <c r="GZ34" s="33"/>
      <c r="HA34" s="33"/>
      <c r="HB34" s="33"/>
      <c r="HC34" s="33"/>
      <c r="HD34" s="33"/>
      <c r="HE34" s="33"/>
      <c r="HF34" s="33"/>
      <c r="HG34" s="33"/>
      <c r="HH34" s="12" t="str">
        <f t="shared" si="31"/>
        <v/>
      </c>
      <c r="HI34" s="13" t="str">
        <f t="shared" si="32"/>
        <v/>
      </c>
      <c r="HK34" s="33"/>
      <c r="HM34" s="33"/>
      <c r="HO34" s="33"/>
      <c r="HQ34" s="33"/>
      <c r="HS34" s="33"/>
      <c r="HT34" s="11" t="str">
        <f t="shared" si="33"/>
        <v/>
      </c>
      <c r="HU34" s="33"/>
      <c r="HV34" s="33"/>
      <c r="HW34" s="33"/>
      <c r="HX34" s="33"/>
      <c r="HY34" s="33"/>
      <c r="HZ34" s="33"/>
      <c r="IA34" s="33"/>
      <c r="IB34" s="33"/>
      <c r="IC34" s="12" t="str">
        <f t="shared" si="34"/>
        <v/>
      </c>
      <c r="ID34" s="13" t="str">
        <f t="shared" si="35"/>
        <v/>
      </c>
      <c r="IF34" s="33"/>
      <c r="IH34" s="33"/>
      <c r="IJ34" s="33"/>
      <c r="IL34" s="33"/>
      <c r="IN34" s="33"/>
      <c r="IO34" s="11" t="str">
        <f t="shared" si="36"/>
        <v/>
      </c>
      <c r="IP34" s="33"/>
      <c r="IQ34" s="33"/>
      <c r="IR34" s="33"/>
      <c r="IS34" s="33"/>
      <c r="IT34" s="33"/>
      <c r="IU34" s="33"/>
      <c r="IV34" s="33"/>
      <c r="IW34" s="33"/>
      <c r="IX34" s="12" t="str">
        <f t="shared" si="37"/>
        <v/>
      </c>
      <c r="IY34" s="13" t="str">
        <f t="shared" si="38"/>
        <v/>
      </c>
      <c r="JA34" s="33"/>
      <c r="JC34" s="33"/>
      <c r="JE34" s="33"/>
      <c r="JG34" s="33"/>
      <c r="JI34" s="33"/>
      <c r="JJ34" s="11" t="str">
        <f t="shared" si="39"/>
        <v/>
      </c>
      <c r="JK34" s="33"/>
      <c r="JL34" s="33"/>
      <c r="JM34" s="33"/>
      <c r="JN34" s="33"/>
      <c r="JO34" s="33"/>
      <c r="JP34" s="33"/>
      <c r="JQ34" s="33"/>
      <c r="JR34" s="33"/>
      <c r="JS34" s="12" t="str">
        <f t="shared" si="40"/>
        <v/>
      </c>
      <c r="JT34" s="13" t="str">
        <f t="shared" si="41"/>
        <v/>
      </c>
      <c r="JU34" s="3"/>
      <c r="JV34" s="34"/>
      <c r="JW34" s="3"/>
      <c r="JX34" s="34"/>
      <c r="JY34" s="3"/>
      <c r="JZ34" s="34"/>
      <c r="KA34" s="3"/>
      <c r="KB34" s="34"/>
      <c r="KC34" s="3"/>
      <c r="KD34" s="34"/>
      <c r="KE34" s="5" t="str">
        <f t="shared" si="42"/>
        <v/>
      </c>
      <c r="KF34" s="34"/>
      <c r="KG34" s="34"/>
      <c r="KH34" s="34"/>
      <c r="KI34" s="34"/>
      <c r="KJ34" s="34"/>
      <c r="KK34" s="34"/>
      <c r="KL34" s="34"/>
      <c r="KM34" s="34"/>
      <c r="KN34" s="14" t="str">
        <f t="shared" si="43"/>
        <v/>
      </c>
      <c r="KO34" s="15" t="str">
        <f t="shared" si="44"/>
        <v/>
      </c>
    </row>
    <row r="35" spans="1:301" x14ac:dyDescent="0.3">
      <c r="A35" s="3">
        <v>27</v>
      </c>
      <c r="B35" s="4" t="s">
        <v>70</v>
      </c>
      <c r="C35" s="3">
        <v>39</v>
      </c>
      <c r="D35" s="3" t="s">
        <v>71</v>
      </c>
      <c r="E35" s="5" t="str">
        <f t="shared" si="0"/>
        <v/>
      </c>
      <c r="F35" s="10" t="str">
        <f t="shared" si="1"/>
        <v/>
      </c>
      <c r="G35" s="5" t="str">
        <f t="shared" si="2"/>
        <v/>
      </c>
      <c r="I35" s="33"/>
      <c r="K35" s="33"/>
      <c r="M35" s="33"/>
      <c r="O35" s="33"/>
      <c r="Q35" s="33"/>
      <c r="R35" s="11" t="str">
        <f t="shared" si="3"/>
        <v/>
      </c>
      <c r="S35" s="33"/>
      <c r="T35" s="33"/>
      <c r="U35" s="33"/>
      <c r="V35" s="33"/>
      <c r="W35" s="33"/>
      <c r="X35" s="33"/>
      <c r="Y35" s="33"/>
      <c r="Z35" s="33"/>
      <c r="AA35" s="12" t="str">
        <f t="shared" si="4"/>
        <v/>
      </c>
      <c r="AB35" s="13" t="str">
        <f t="shared" si="5"/>
        <v/>
      </c>
      <c r="AD35" s="33"/>
      <c r="AF35" s="33"/>
      <c r="AH35" s="33"/>
      <c r="AJ35" s="33"/>
      <c r="AL35" s="33"/>
      <c r="AM35" s="11" t="str">
        <f t="shared" si="6"/>
        <v/>
      </c>
      <c r="AN35" s="33"/>
      <c r="AO35" s="33"/>
      <c r="AP35" s="33"/>
      <c r="AQ35" s="33"/>
      <c r="AR35" s="33"/>
      <c r="AS35" s="33"/>
      <c r="AT35" s="33"/>
      <c r="AU35" s="33"/>
      <c r="AV35" s="12" t="str">
        <f t="shared" si="7"/>
        <v/>
      </c>
      <c r="AW35" s="13" t="str">
        <f t="shared" si="8"/>
        <v/>
      </c>
      <c r="AY35" s="33"/>
      <c r="BA35" s="33"/>
      <c r="BC35" s="33"/>
      <c r="BE35" s="33"/>
      <c r="BG35" s="33"/>
      <c r="BH35" s="11" t="str">
        <f t="shared" si="9"/>
        <v/>
      </c>
      <c r="BI35" s="33"/>
      <c r="BJ35" s="33"/>
      <c r="BK35" s="33"/>
      <c r="BL35" s="33"/>
      <c r="BM35" s="33"/>
      <c r="BN35" s="33"/>
      <c r="BO35" s="33"/>
      <c r="BP35" s="33"/>
      <c r="BQ35" s="12" t="str">
        <f t="shared" si="10"/>
        <v/>
      </c>
      <c r="BR35" s="13" t="str">
        <f t="shared" si="11"/>
        <v/>
      </c>
      <c r="BT35" s="33"/>
      <c r="BV35" s="33"/>
      <c r="BX35" s="33"/>
      <c r="BZ35" s="33"/>
      <c r="CB35" s="33"/>
      <c r="CC35" s="11" t="str">
        <f t="shared" si="12"/>
        <v/>
      </c>
      <c r="CD35" s="33"/>
      <c r="CE35" s="33"/>
      <c r="CF35" s="33"/>
      <c r="CG35" s="33"/>
      <c r="CH35" s="33"/>
      <c r="CI35" s="33"/>
      <c r="CJ35" s="33"/>
      <c r="CK35" s="33"/>
      <c r="CL35" s="12" t="str">
        <f t="shared" si="13"/>
        <v/>
      </c>
      <c r="CM35" s="13" t="str">
        <f t="shared" si="14"/>
        <v/>
      </c>
      <c r="CO35" s="33"/>
      <c r="CQ35" s="33"/>
      <c r="CS35" s="33"/>
      <c r="CU35" s="33"/>
      <c r="CW35" s="33"/>
      <c r="CX35" s="11" t="str">
        <f t="shared" si="15"/>
        <v/>
      </c>
      <c r="CY35" s="33"/>
      <c r="CZ35" s="33"/>
      <c r="DA35" s="33"/>
      <c r="DB35" s="33"/>
      <c r="DC35" s="33"/>
      <c r="DD35" s="33"/>
      <c r="DE35" s="33"/>
      <c r="DF35" s="33"/>
      <c r="DG35" s="12" t="str">
        <f t="shared" si="16"/>
        <v/>
      </c>
      <c r="DH35" s="13" t="str">
        <f t="shared" si="17"/>
        <v/>
      </c>
      <c r="DJ35" s="33"/>
      <c r="DL35" s="33"/>
      <c r="DN35" s="33"/>
      <c r="DP35" s="33"/>
      <c r="DR35" s="33"/>
      <c r="DS35" s="11" t="str">
        <f t="shared" si="18"/>
        <v/>
      </c>
      <c r="DT35" s="33"/>
      <c r="DU35" s="33"/>
      <c r="DV35" s="33"/>
      <c r="DW35" s="33"/>
      <c r="DX35" s="33"/>
      <c r="DY35" s="33"/>
      <c r="DZ35" s="33"/>
      <c r="EA35" s="33"/>
      <c r="EB35" s="12" t="str">
        <f t="shared" si="19"/>
        <v/>
      </c>
      <c r="EC35" s="13" t="str">
        <f t="shared" si="20"/>
        <v/>
      </c>
      <c r="EE35" s="33"/>
      <c r="EG35" s="33"/>
      <c r="EI35" s="33"/>
      <c r="EK35" s="33"/>
      <c r="EM35" s="33"/>
      <c r="EN35" s="11" t="str">
        <f t="shared" si="21"/>
        <v/>
      </c>
      <c r="EO35" s="33"/>
      <c r="EP35" s="33"/>
      <c r="EQ35" s="33"/>
      <c r="ER35" s="33"/>
      <c r="ES35" s="33"/>
      <c r="ET35" s="33"/>
      <c r="EU35" s="33"/>
      <c r="EV35" s="33"/>
      <c r="EW35" s="12" t="str">
        <f t="shared" si="22"/>
        <v/>
      </c>
      <c r="EX35" s="13" t="str">
        <f t="shared" si="23"/>
        <v/>
      </c>
      <c r="EZ35" s="33"/>
      <c r="FB35" s="33"/>
      <c r="FD35" s="33"/>
      <c r="FF35" s="33"/>
      <c r="FH35" s="33"/>
      <c r="FI35" s="11" t="str">
        <f t="shared" si="24"/>
        <v/>
      </c>
      <c r="FJ35" s="33"/>
      <c r="FK35" s="33"/>
      <c r="FL35" s="33"/>
      <c r="FM35" s="33"/>
      <c r="FN35" s="33"/>
      <c r="FO35" s="33"/>
      <c r="FP35" s="33"/>
      <c r="FQ35" s="33"/>
      <c r="FR35" s="12" t="str">
        <f t="shared" si="25"/>
        <v/>
      </c>
      <c r="FS35" s="13" t="str">
        <f t="shared" si="26"/>
        <v/>
      </c>
      <c r="FU35" s="33"/>
      <c r="FW35" s="33"/>
      <c r="FY35" s="33"/>
      <c r="GA35" s="33"/>
      <c r="GC35" s="33"/>
      <c r="GD35" s="11" t="str">
        <f t="shared" si="27"/>
        <v/>
      </c>
      <c r="GE35" s="33"/>
      <c r="GF35" s="33"/>
      <c r="GG35" s="33"/>
      <c r="GH35" s="33"/>
      <c r="GI35" s="33"/>
      <c r="GJ35" s="33"/>
      <c r="GK35" s="33"/>
      <c r="GL35" s="33"/>
      <c r="GM35" s="12" t="str">
        <f t="shared" si="28"/>
        <v/>
      </c>
      <c r="GN35" s="13" t="str">
        <f t="shared" si="29"/>
        <v/>
      </c>
      <c r="GP35" s="33"/>
      <c r="GR35" s="33"/>
      <c r="GT35" s="33"/>
      <c r="GV35" s="33"/>
      <c r="GX35" s="33"/>
      <c r="GY35" s="11" t="str">
        <f t="shared" si="30"/>
        <v/>
      </c>
      <c r="GZ35" s="33"/>
      <c r="HA35" s="33"/>
      <c r="HB35" s="33"/>
      <c r="HC35" s="33"/>
      <c r="HD35" s="33"/>
      <c r="HE35" s="33"/>
      <c r="HF35" s="33"/>
      <c r="HG35" s="33"/>
      <c r="HH35" s="12" t="str">
        <f t="shared" si="31"/>
        <v/>
      </c>
      <c r="HI35" s="13" t="str">
        <f t="shared" si="32"/>
        <v/>
      </c>
      <c r="HK35" s="33"/>
      <c r="HM35" s="33"/>
      <c r="HO35" s="33"/>
      <c r="HQ35" s="33"/>
      <c r="HS35" s="33"/>
      <c r="HT35" s="11" t="str">
        <f t="shared" si="33"/>
        <v/>
      </c>
      <c r="HU35" s="33"/>
      <c r="HV35" s="33"/>
      <c r="HW35" s="33"/>
      <c r="HX35" s="33"/>
      <c r="HY35" s="33"/>
      <c r="HZ35" s="33"/>
      <c r="IA35" s="33"/>
      <c r="IB35" s="33"/>
      <c r="IC35" s="12" t="str">
        <f t="shared" si="34"/>
        <v/>
      </c>
      <c r="ID35" s="13" t="str">
        <f t="shared" si="35"/>
        <v/>
      </c>
      <c r="IF35" s="33"/>
      <c r="IH35" s="33"/>
      <c r="IJ35" s="33"/>
      <c r="IL35" s="33"/>
      <c r="IN35" s="33"/>
      <c r="IO35" s="11" t="str">
        <f t="shared" si="36"/>
        <v/>
      </c>
      <c r="IP35" s="33"/>
      <c r="IQ35" s="33"/>
      <c r="IR35" s="33"/>
      <c r="IS35" s="33"/>
      <c r="IT35" s="33"/>
      <c r="IU35" s="33"/>
      <c r="IV35" s="33"/>
      <c r="IW35" s="33"/>
      <c r="IX35" s="12" t="str">
        <f t="shared" si="37"/>
        <v/>
      </c>
      <c r="IY35" s="13" t="str">
        <f t="shared" si="38"/>
        <v/>
      </c>
      <c r="JA35" s="33"/>
      <c r="JC35" s="33"/>
      <c r="JE35" s="33"/>
      <c r="JG35" s="33"/>
      <c r="JI35" s="33"/>
      <c r="JJ35" s="11" t="str">
        <f t="shared" si="39"/>
        <v/>
      </c>
      <c r="JK35" s="33"/>
      <c r="JL35" s="33"/>
      <c r="JM35" s="33"/>
      <c r="JN35" s="33"/>
      <c r="JO35" s="33"/>
      <c r="JP35" s="33"/>
      <c r="JQ35" s="33"/>
      <c r="JR35" s="33"/>
      <c r="JS35" s="12" t="str">
        <f t="shared" si="40"/>
        <v/>
      </c>
      <c r="JT35" s="13" t="str">
        <f t="shared" si="41"/>
        <v/>
      </c>
      <c r="JU35" s="3"/>
      <c r="JV35" s="34"/>
      <c r="JW35" s="3"/>
      <c r="JX35" s="34"/>
      <c r="JY35" s="3"/>
      <c r="JZ35" s="34"/>
      <c r="KA35" s="3"/>
      <c r="KB35" s="34"/>
      <c r="KC35" s="3"/>
      <c r="KD35" s="34"/>
      <c r="KE35" s="5" t="str">
        <f t="shared" si="42"/>
        <v/>
      </c>
      <c r="KF35" s="34"/>
      <c r="KG35" s="34"/>
      <c r="KH35" s="34"/>
      <c r="KI35" s="34"/>
      <c r="KJ35" s="34"/>
      <c r="KK35" s="34"/>
      <c r="KL35" s="34"/>
      <c r="KM35" s="34"/>
      <c r="KN35" s="14" t="str">
        <f t="shared" si="43"/>
        <v/>
      </c>
      <c r="KO35" s="15" t="str">
        <f t="shared" si="44"/>
        <v/>
      </c>
    </row>
    <row r="36" spans="1:301" x14ac:dyDescent="0.3">
      <c r="A36" s="3">
        <v>28</v>
      </c>
      <c r="B36" s="4" t="s">
        <v>72</v>
      </c>
      <c r="C36" s="3">
        <v>40</v>
      </c>
      <c r="D36" s="3" t="s">
        <v>73</v>
      </c>
      <c r="E36" s="5" t="str">
        <f t="shared" si="0"/>
        <v/>
      </c>
      <c r="F36" s="10" t="str">
        <f t="shared" si="1"/>
        <v/>
      </c>
      <c r="G36" s="5" t="str">
        <f t="shared" si="2"/>
        <v/>
      </c>
      <c r="I36" s="33"/>
      <c r="K36" s="33"/>
      <c r="M36" s="33"/>
      <c r="O36" s="33"/>
      <c r="Q36" s="33"/>
      <c r="R36" s="11" t="str">
        <f t="shared" si="3"/>
        <v/>
      </c>
      <c r="S36" s="33"/>
      <c r="T36" s="33"/>
      <c r="U36" s="33"/>
      <c r="V36" s="33"/>
      <c r="W36" s="33"/>
      <c r="X36" s="33"/>
      <c r="Y36" s="33"/>
      <c r="Z36" s="33"/>
      <c r="AA36" s="12" t="str">
        <f t="shared" si="4"/>
        <v/>
      </c>
      <c r="AB36" s="13" t="str">
        <f t="shared" si="5"/>
        <v/>
      </c>
      <c r="AD36" s="33"/>
      <c r="AF36" s="33"/>
      <c r="AH36" s="33"/>
      <c r="AJ36" s="33"/>
      <c r="AL36" s="33"/>
      <c r="AM36" s="11" t="str">
        <f t="shared" si="6"/>
        <v/>
      </c>
      <c r="AN36" s="33"/>
      <c r="AO36" s="33"/>
      <c r="AP36" s="33"/>
      <c r="AQ36" s="33"/>
      <c r="AR36" s="33"/>
      <c r="AS36" s="33"/>
      <c r="AT36" s="33"/>
      <c r="AU36" s="33"/>
      <c r="AV36" s="12" t="str">
        <f t="shared" si="7"/>
        <v/>
      </c>
      <c r="AW36" s="13" t="str">
        <f t="shared" si="8"/>
        <v/>
      </c>
      <c r="AY36" s="33"/>
      <c r="BA36" s="33"/>
      <c r="BC36" s="33"/>
      <c r="BE36" s="33"/>
      <c r="BG36" s="33"/>
      <c r="BH36" s="11" t="str">
        <f t="shared" si="9"/>
        <v/>
      </c>
      <c r="BI36" s="33"/>
      <c r="BJ36" s="33"/>
      <c r="BK36" s="33"/>
      <c r="BL36" s="33"/>
      <c r="BM36" s="33"/>
      <c r="BN36" s="33"/>
      <c r="BO36" s="33"/>
      <c r="BP36" s="33"/>
      <c r="BQ36" s="12" t="str">
        <f t="shared" si="10"/>
        <v/>
      </c>
      <c r="BR36" s="13" t="str">
        <f t="shared" si="11"/>
        <v/>
      </c>
      <c r="BT36" s="33"/>
      <c r="BV36" s="33"/>
      <c r="BX36" s="33"/>
      <c r="BZ36" s="33"/>
      <c r="CB36" s="33"/>
      <c r="CC36" s="11" t="str">
        <f t="shared" si="12"/>
        <v/>
      </c>
      <c r="CD36" s="33"/>
      <c r="CE36" s="33"/>
      <c r="CF36" s="33"/>
      <c r="CG36" s="33"/>
      <c r="CH36" s="33"/>
      <c r="CI36" s="33"/>
      <c r="CJ36" s="33"/>
      <c r="CK36" s="33"/>
      <c r="CL36" s="12" t="str">
        <f t="shared" si="13"/>
        <v/>
      </c>
      <c r="CM36" s="13" t="str">
        <f t="shared" si="14"/>
        <v/>
      </c>
      <c r="CO36" s="33"/>
      <c r="CQ36" s="33"/>
      <c r="CS36" s="33"/>
      <c r="CU36" s="33"/>
      <c r="CW36" s="33"/>
      <c r="CX36" s="11" t="str">
        <f t="shared" si="15"/>
        <v/>
      </c>
      <c r="CY36" s="33"/>
      <c r="CZ36" s="33"/>
      <c r="DA36" s="33"/>
      <c r="DB36" s="33"/>
      <c r="DC36" s="33"/>
      <c r="DD36" s="33"/>
      <c r="DE36" s="33"/>
      <c r="DF36" s="33"/>
      <c r="DG36" s="12" t="str">
        <f t="shared" si="16"/>
        <v/>
      </c>
      <c r="DH36" s="13" t="str">
        <f t="shared" si="17"/>
        <v/>
      </c>
      <c r="DJ36" s="33"/>
      <c r="DL36" s="33"/>
      <c r="DN36" s="33"/>
      <c r="DP36" s="33"/>
      <c r="DR36" s="33"/>
      <c r="DS36" s="11" t="str">
        <f t="shared" si="18"/>
        <v/>
      </c>
      <c r="DT36" s="33"/>
      <c r="DU36" s="33"/>
      <c r="DV36" s="33"/>
      <c r="DW36" s="33"/>
      <c r="DX36" s="33"/>
      <c r="DY36" s="33"/>
      <c r="DZ36" s="33"/>
      <c r="EA36" s="33"/>
      <c r="EB36" s="12" t="str">
        <f t="shared" si="19"/>
        <v/>
      </c>
      <c r="EC36" s="13" t="str">
        <f t="shared" si="20"/>
        <v/>
      </c>
      <c r="EE36" s="33"/>
      <c r="EG36" s="33"/>
      <c r="EI36" s="33"/>
      <c r="EK36" s="33"/>
      <c r="EM36" s="33"/>
      <c r="EN36" s="11" t="str">
        <f t="shared" si="21"/>
        <v/>
      </c>
      <c r="EO36" s="33"/>
      <c r="EP36" s="33"/>
      <c r="EQ36" s="33"/>
      <c r="ER36" s="33"/>
      <c r="ES36" s="33"/>
      <c r="ET36" s="33"/>
      <c r="EU36" s="33"/>
      <c r="EV36" s="33"/>
      <c r="EW36" s="12" t="str">
        <f t="shared" si="22"/>
        <v/>
      </c>
      <c r="EX36" s="13" t="str">
        <f t="shared" si="23"/>
        <v/>
      </c>
      <c r="EZ36" s="33"/>
      <c r="FB36" s="33"/>
      <c r="FD36" s="33"/>
      <c r="FF36" s="33"/>
      <c r="FH36" s="33"/>
      <c r="FI36" s="11" t="str">
        <f t="shared" si="24"/>
        <v/>
      </c>
      <c r="FJ36" s="33"/>
      <c r="FK36" s="33"/>
      <c r="FL36" s="33"/>
      <c r="FM36" s="33"/>
      <c r="FN36" s="33"/>
      <c r="FO36" s="33"/>
      <c r="FP36" s="33"/>
      <c r="FQ36" s="33"/>
      <c r="FR36" s="12" t="str">
        <f t="shared" si="25"/>
        <v/>
      </c>
      <c r="FS36" s="13" t="str">
        <f t="shared" si="26"/>
        <v/>
      </c>
      <c r="FU36" s="33"/>
      <c r="FW36" s="33"/>
      <c r="FY36" s="33"/>
      <c r="GA36" s="33"/>
      <c r="GC36" s="33"/>
      <c r="GD36" s="11" t="str">
        <f t="shared" si="27"/>
        <v/>
      </c>
      <c r="GE36" s="33"/>
      <c r="GF36" s="33"/>
      <c r="GG36" s="33"/>
      <c r="GH36" s="33"/>
      <c r="GI36" s="33"/>
      <c r="GJ36" s="33"/>
      <c r="GK36" s="33"/>
      <c r="GL36" s="33"/>
      <c r="GM36" s="12" t="str">
        <f t="shared" si="28"/>
        <v/>
      </c>
      <c r="GN36" s="13" t="str">
        <f t="shared" si="29"/>
        <v/>
      </c>
      <c r="GP36" s="33"/>
      <c r="GR36" s="33"/>
      <c r="GT36" s="33"/>
      <c r="GV36" s="33"/>
      <c r="GX36" s="33"/>
      <c r="GY36" s="11" t="str">
        <f t="shared" si="30"/>
        <v/>
      </c>
      <c r="GZ36" s="33"/>
      <c r="HA36" s="33"/>
      <c r="HB36" s="33"/>
      <c r="HC36" s="33"/>
      <c r="HD36" s="33"/>
      <c r="HE36" s="33"/>
      <c r="HF36" s="33"/>
      <c r="HG36" s="33"/>
      <c r="HH36" s="12" t="str">
        <f t="shared" si="31"/>
        <v/>
      </c>
      <c r="HI36" s="13" t="str">
        <f t="shared" si="32"/>
        <v/>
      </c>
      <c r="HK36" s="33"/>
      <c r="HM36" s="33"/>
      <c r="HO36" s="33"/>
      <c r="HQ36" s="33"/>
      <c r="HS36" s="33"/>
      <c r="HT36" s="11" t="str">
        <f t="shared" si="33"/>
        <v/>
      </c>
      <c r="HU36" s="33"/>
      <c r="HV36" s="33"/>
      <c r="HW36" s="33"/>
      <c r="HX36" s="33"/>
      <c r="HY36" s="33"/>
      <c r="HZ36" s="33"/>
      <c r="IA36" s="33"/>
      <c r="IB36" s="33"/>
      <c r="IC36" s="12" t="str">
        <f t="shared" si="34"/>
        <v/>
      </c>
      <c r="ID36" s="13" t="str">
        <f t="shared" si="35"/>
        <v/>
      </c>
      <c r="IF36" s="33"/>
      <c r="IH36" s="33"/>
      <c r="IJ36" s="33"/>
      <c r="IL36" s="33"/>
      <c r="IN36" s="33"/>
      <c r="IO36" s="11" t="str">
        <f t="shared" si="36"/>
        <v/>
      </c>
      <c r="IP36" s="33"/>
      <c r="IQ36" s="33"/>
      <c r="IR36" s="33"/>
      <c r="IS36" s="33"/>
      <c r="IT36" s="33"/>
      <c r="IU36" s="33"/>
      <c r="IV36" s="33"/>
      <c r="IW36" s="33"/>
      <c r="IX36" s="12" t="str">
        <f t="shared" si="37"/>
        <v/>
      </c>
      <c r="IY36" s="13" t="str">
        <f t="shared" si="38"/>
        <v/>
      </c>
      <c r="JA36" s="33"/>
      <c r="JC36" s="33"/>
      <c r="JE36" s="33"/>
      <c r="JG36" s="33"/>
      <c r="JI36" s="33"/>
      <c r="JJ36" s="11" t="str">
        <f t="shared" si="39"/>
        <v/>
      </c>
      <c r="JK36" s="33"/>
      <c r="JL36" s="33"/>
      <c r="JM36" s="33"/>
      <c r="JN36" s="33"/>
      <c r="JO36" s="33"/>
      <c r="JP36" s="33"/>
      <c r="JQ36" s="33"/>
      <c r="JR36" s="33"/>
      <c r="JS36" s="12" t="str">
        <f t="shared" si="40"/>
        <v/>
      </c>
      <c r="JT36" s="13" t="str">
        <f t="shared" si="41"/>
        <v/>
      </c>
      <c r="JU36" s="3"/>
      <c r="JV36" s="34"/>
      <c r="JW36" s="3"/>
      <c r="JX36" s="34"/>
      <c r="JY36" s="3"/>
      <c r="JZ36" s="34"/>
      <c r="KA36" s="3"/>
      <c r="KB36" s="34"/>
      <c r="KC36" s="3"/>
      <c r="KD36" s="34"/>
      <c r="KE36" s="5" t="str">
        <f t="shared" si="42"/>
        <v/>
      </c>
      <c r="KF36" s="34"/>
      <c r="KG36" s="34"/>
      <c r="KH36" s="34"/>
      <c r="KI36" s="34"/>
      <c r="KJ36" s="34"/>
      <c r="KK36" s="34"/>
      <c r="KL36" s="34"/>
      <c r="KM36" s="34"/>
      <c r="KN36" s="14" t="str">
        <f t="shared" si="43"/>
        <v/>
      </c>
      <c r="KO36" s="15" t="str">
        <f t="shared" si="44"/>
        <v/>
      </c>
    </row>
    <row r="37" spans="1:301" x14ac:dyDescent="0.3">
      <c r="A37" s="3">
        <v>29</v>
      </c>
      <c r="B37" s="4" t="s">
        <v>74</v>
      </c>
      <c r="C37" s="3">
        <v>41</v>
      </c>
      <c r="D37" s="3" t="s">
        <v>75</v>
      </c>
      <c r="E37" s="5" t="str">
        <f t="shared" si="0"/>
        <v/>
      </c>
      <c r="F37" s="10" t="str">
        <f t="shared" si="1"/>
        <v/>
      </c>
      <c r="G37" s="5" t="str">
        <f t="shared" si="2"/>
        <v/>
      </c>
      <c r="I37" s="33"/>
      <c r="K37" s="33"/>
      <c r="M37" s="33"/>
      <c r="O37" s="33"/>
      <c r="Q37" s="33"/>
      <c r="R37" s="11" t="str">
        <f t="shared" si="3"/>
        <v/>
      </c>
      <c r="S37" s="33"/>
      <c r="T37" s="33"/>
      <c r="U37" s="33"/>
      <c r="V37" s="33"/>
      <c r="W37" s="33"/>
      <c r="X37" s="33"/>
      <c r="Y37" s="33"/>
      <c r="Z37" s="33"/>
      <c r="AA37" s="12" t="str">
        <f t="shared" si="4"/>
        <v/>
      </c>
      <c r="AB37" s="13" t="str">
        <f t="shared" si="5"/>
        <v/>
      </c>
      <c r="AD37" s="33"/>
      <c r="AF37" s="33"/>
      <c r="AH37" s="33"/>
      <c r="AJ37" s="33"/>
      <c r="AL37" s="33"/>
      <c r="AM37" s="11" t="str">
        <f t="shared" si="6"/>
        <v/>
      </c>
      <c r="AN37" s="33"/>
      <c r="AO37" s="33"/>
      <c r="AP37" s="33"/>
      <c r="AQ37" s="33"/>
      <c r="AR37" s="33"/>
      <c r="AS37" s="33"/>
      <c r="AT37" s="33"/>
      <c r="AU37" s="33"/>
      <c r="AV37" s="12" t="str">
        <f t="shared" si="7"/>
        <v/>
      </c>
      <c r="AW37" s="13" t="str">
        <f t="shared" si="8"/>
        <v/>
      </c>
      <c r="AY37" s="33"/>
      <c r="BA37" s="33"/>
      <c r="BC37" s="33"/>
      <c r="BE37" s="33"/>
      <c r="BG37" s="33"/>
      <c r="BH37" s="11" t="str">
        <f t="shared" si="9"/>
        <v/>
      </c>
      <c r="BI37" s="33"/>
      <c r="BJ37" s="33"/>
      <c r="BK37" s="33"/>
      <c r="BL37" s="33"/>
      <c r="BM37" s="33"/>
      <c r="BN37" s="33"/>
      <c r="BO37" s="33"/>
      <c r="BP37" s="33"/>
      <c r="BQ37" s="12" t="str">
        <f t="shared" si="10"/>
        <v/>
      </c>
      <c r="BR37" s="13" t="str">
        <f t="shared" si="11"/>
        <v/>
      </c>
      <c r="BT37" s="33"/>
      <c r="BV37" s="33"/>
      <c r="BX37" s="33"/>
      <c r="BZ37" s="33"/>
      <c r="CB37" s="33"/>
      <c r="CC37" s="11" t="str">
        <f t="shared" si="12"/>
        <v/>
      </c>
      <c r="CD37" s="33"/>
      <c r="CE37" s="33"/>
      <c r="CF37" s="33"/>
      <c r="CG37" s="33"/>
      <c r="CH37" s="33"/>
      <c r="CI37" s="33"/>
      <c r="CJ37" s="33"/>
      <c r="CK37" s="33"/>
      <c r="CL37" s="12" t="str">
        <f t="shared" si="13"/>
        <v/>
      </c>
      <c r="CM37" s="13" t="str">
        <f t="shared" si="14"/>
        <v/>
      </c>
      <c r="CO37" s="33"/>
      <c r="CQ37" s="33"/>
      <c r="CS37" s="33"/>
      <c r="CU37" s="33"/>
      <c r="CW37" s="33"/>
      <c r="CX37" s="11" t="str">
        <f t="shared" si="15"/>
        <v/>
      </c>
      <c r="CY37" s="33"/>
      <c r="CZ37" s="33"/>
      <c r="DA37" s="33"/>
      <c r="DB37" s="33"/>
      <c r="DC37" s="33"/>
      <c r="DD37" s="33"/>
      <c r="DE37" s="33"/>
      <c r="DF37" s="33"/>
      <c r="DG37" s="12" t="str">
        <f t="shared" si="16"/>
        <v/>
      </c>
      <c r="DH37" s="13" t="str">
        <f t="shared" si="17"/>
        <v/>
      </c>
      <c r="DJ37" s="33"/>
      <c r="DL37" s="33"/>
      <c r="DN37" s="33"/>
      <c r="DP37" s="33"/>
      <c r="DR37" s="33"/>
      <c r="DS37" s="11" t="str">
        <f t="shared" si="18"/>
        <v/>
      </c>
      <c r="DT37" s="33"/>
      <c r="DU37" s="33"/>
      <c r="DV37" s="33"/>
      <c r="DW37" s="33"/>
      <c r="DX37" s="33"/>
      <c r="DY37" s="33"/>
      <c r="DZ37" s="33"/>
      <c r="EA37" s="33"/>
      <c r="EB37" s="12" t="str">
        <f t="shared" si="19"/>
        <v/>
      </c>
      <c r="EC37" s="13" t="str">
        <f t="shared" si="20"/>
        <v/>
      </c>
      <c r="EE37" s="33"/>
      <c r="EG37" s="33"/>
      <c r="EI37" s="33"/>
      <c r="EK37" s="33"/>
      <c r="EM37" s="33"/>
      <c r="EN37" s="11" t="str">
        <f t="shared" si="21"/>
        <v/>
      </c>
      <c r="EO37" s="33"/>
      <c r="EP37" s="33"/>
      <c r="EQ37" s="33"/>
      <c r="ER37" s="33"/>
      <c r="ES37" s="33"/>
      <c r="ET37" s="33"/>
      <c r="EU37" s="33"/>
      <c r="EV37" s="33"/>
      <c r="EW37" s="12" t="str">
        <f t="shared" si="22"/>
        <v/>
      </c>
      <c r="EX37" s="13" t="str">
        <f t="shared" si="23"/>
        <v/>
      </c>
      <c r="EZ37" s="33"/>
      <c r="FB37" s="33"/>
      <c r="FD37" s="33"/>
      <c r="FF37" s="33"/>
      <c r="FH37" s="33"/>
      <c r="FI37" s="11" t="str">
        <f t="shared" si="24"/>
        <v/>
      </c>
      <c r="FJ37" s="33"/>
      <c r="FK37" s="33"/>
      <c r="FL37" s="33"/>
      <c r="FM37" s="33"/>
      <c r="FN37" s="33"/>
      <c r="FO37" s="33"/>
      <c r="FP37" s="33"/>
      <c r="FQ37" s="33"/>
      <c r="FR37" s="12" t="str">
        <f t="shared" si="25"/>
        <v/>
      </c>
      <c r="FS37" s="13" t="str">
        <f t="shared" si="26"/>
        <v/>
      </c>
      <c r="FU37" s="33"/>
      <c r="FW37" s="33"/>
      <c r="FY37" s="33"/>
      <c r="GA37" s="33"/>
      <c r="GC37" s="33"/>
      <c r="GD37" s="11" t="str">
        <f t="shared" si="27"/>
        <v/>
      </c>
      <c r="GE37" s="33"/>
      <c r="GF37" s="33"/>
      <c r="GG37" s="33"/>
      <c r="GH37" s="33"/>
      <c r="GI37" s="33"/>
      <c r="GJ37" s="33"/>
      <c r="GK37" s="33"/>
      <c r="GL37" s="33"/>
      <c r="GM37" s="12" t="str">
        <f t="shared" si="28"/>
        <v/>
      </c>
      <c r="GN37" s="13" t="str">
        <f t="shared" si="29"/>
        <v/>
      </c>
      <c r="GP37" s="33"/>
      <c r="GR37" s="33"/>
      <c r="GT37" s="33"/>
      <c r="GV37" s="33"/>
      <c r="GX37" s="33"/>
      <c r="GY37" s="11" t="str">
        <f t="shared" si="30"/>
        <v/>
      </c>
      <c r="GZ37" s="33"/>
      <c r="HA37" s="33"/>
      <c r="HB37" s="33"/>
      <c r="HC37" s="33"/>
      <c r="HD37" s="33"/>
      <c r="HE37" s="33"/>
      <c r="HF37" s="33"/>
      <c r="HG37" s="33"/>
      <c r="HH37" s="12" t="str">
        <f t="shared" si="31"/>
        <v/>
      </c>
      <c r="HI37" s="13" t="str">
        <f t="shared" si="32"/>
        <v/>
      </c>
      <c r="HK37" s="33"/>
      <c r="HM37" s="33"/>
      <c r="HO37" s="33"/>
      <c r="HQ37" s="33"/>
      <c r="HS37" s="33"/>
      <c r="HT37" s="11" t="str">
        <f t="shared" si="33"/>
        <v/>
      </c>
      <c r="HU37" s="33"/>
      <c r="HV37" s="33"/>
      <c r="HW37" s="33"/>
      <c r="HX37" s="33"/>
      <c r="HY37" s="33"/>
      <c r="HZ37" s="33"/>
      <c r="IA37" s="33"/>
      <c r="IB37" s="33"/>
      <c r="IC37" s="12" t="str">
        <f t="shared" si="34"/>
        <v/>
      </c>
      <c r="ID37" s="13" t="str">
        <f t="shared" si="35"/>
        <v/>
      </c>
      <c r="IF37" s="33"/>
      <c r="IH37" s="33"/>
      <c r="IJ37" s="33"/>
      <c r="IL37" s="33"/>
      <c r="IN37" s="33"/>
      <c r="IO37" s="11" t="str">
        <f t="shared" si="36"/>
        <v/>
      </c>
      <c r="IP37" s="33"/>
      <c r="IQ37" s="33"/>
      <c r="IR37" s="33"/>
      <c r="IS37" s="33"/>
      <c r="IT37" s="33"/>
      <c r="IU37" s="33"/>
      <c r="IV37" s="33"/>
      <c r="IW37" s="33"/>
      <c r="IX37" s="12" t="str">
        <f t="shared" si="37"/>
        <v/>
      </c>
      <c r="IY37" s="13" t="str">
        <f t="shared" si="38"/>
        <v/>
      </c>
      <c r="JA37" s="33"/>
      <c r="JC37" s="33"/>
      <c r="JE37" s="33"/>
      <c r="JG37" s="33"/>
      <c r="JI37" s="33"/>
      <c r="JJ37" s="11" t="str">
        <f t="shared" si="39"/>
        <v/>
      </c>
      <c r="JK37" s="33"/>
      <c r="JL37" s="33"/>
      <c r="JM37" s="33"/>
      <c r="JN37" s="33"/>
      <c r="JO37" s="33"/>
      <c r="JP37" s="33"/>
      <c r="JQ37" s="33"/>
      <c r="JR37" s="33"/>
      <c r="JS37" s="12" t="str">
        <f t="shared" si="40"/>
        <v/>
      </c>
      <c r="JT37" s="13" t="str">
        <f t="shared" si="41"/>
        <v/>
      </c>
      <c r="JU37" s="3"/>
      <c r="JV37" s="34"/>
      <c r="JW37" s="3"/>
      <c r="JX37" s="34"/>
      <c r="JY37" s="3"/>
      <c r="JZ37" s="34"/>
      <c r="KA37" s="3"/>
      <c r="KB37" s="34"/>
      <c r="KC37" s="3"/>
      <c r="KD37" s="34"/>
      <c r="KE37" s="5" t="str">
        <f t="shared" si="42"/>
        <v/>
      </c>
      <c r="KF37" s="34"/>
      <c r="KG37" s="34"/>
      <c r="KH37" s="34"/>
      <c r="KI37" s="34"/>
      <c r="KJ37" s="34"/>
      <c r="KK37" s="34"/>
      <c r="KL37" s="34"/>
      <c r="KM37" s="34"/>
      <c r="KN37" s="14" t="str">
        <f t="shared" si="43"/>
        <v/>
      </c>
      <c r="KO37" s="15" t="str">
        <f t="shared" si="44"/>
        <v/>
      </c>
    </row>
    <row r="38" spans="1:301" x14ac:dyDescent="0.3">
      <c r="A38" s="3">
        <v>30</v>
      </c>
      <c r="B38" s="4" t="s">
        <v>76</v>
      </c>
      <c r="C38" s="3">
        <v>42</v>
      </c>
      <c r="D38" s="3" t="s">
        <v>77</v>
      </c>
      <c r="E38" s="5" t="str">
        <f t="shared" si="0"/>
        <v/>
      </c>
      <c r="F38" s="10" t="str">
        <f t="shared" si="1"/>
        <v/>
      </c>
      <c r="G38" s="5" t="str">
        <f t="shared" si="2"/>
        <v/>
      </c>
      <c r="I38" s="33"/>
      <c r="K38" s="33"/>
      <c r="M38" s="33"/>
      <c r="O38" s="33"/>
      <c r="Q38" s="33"/>
      <c r="R38" s="11" t="str">
        <f t="shared" si="3"/>
        <v/>
      </c>
      <c r="S38" s="33"/>
      <c r="T38" s="33"/>
      <c r="U38" s="33"/>
      <c r="V38" s="33"/>
      <c r="W38" s="33"/>
      <c r="X38" s="33"/>
      <c r="Y38" s="33"/>
      <c r="Z38" s="33"/>
      <c r="AA38" s="12" t="str">
        <f t="shared" si="4"/>
        <v/>
      </c>
      <c r="AB38" s="13" t="str">
        <f t="shared" si="5"/>
        <v/>
      </c>
      <c r="AD38" s="33"/>
      <c r="AF38" s="33"/>
      <c r="AH38" s="33"/>
      <c r="AJ38" s="33"/>
      <c r="AL38" s="33"/>
      <c r="AM38" s="11" t="str">
        <f t="shared" si="6"/>
        <v/>
      </c>
      <c r="AN38" s="33"/>
      <c r="AO38" s="33"/>
      <c r="AP38" s="33"/>
      <c r="AQ38" s="33"/>
      <c r="AR38" s="33"/>
      <c r="AS38" s="33"/>
      <c r="AT38" s="33"/>
      <c r="AU38" s="33"/>
      <c r="AV38" s="12" t="str">
        <f t="shared" si="7"/>
        <v/>
      </c>
      <c r="AW38" s="13" t="str">
        <f t="shared" si="8"/>
        <v/>
      </c>
      <c r="AY38" s="33"/>
      <c r="BA38" s="33"/>
      <c r="BC38" s="33"/>
      <c r="BE38" s="33"/>
      <c r="BG38" s="33"/>
      <c r="BH38" s="11" t="str">
        <f t="shared" si="9"/>
        <v/>
      </c>
      <c r="BI38" s="33"/>
      <c r="BJ38" s="33"/>
      <c r="BK38" s="33"/>
      <c r="BL38" s="33"/>
      <c r="BM38" s="33"/>
      <c r="BN38" s="33"/>
      <c r="BO38" s="33"/>
      <c r="BP38" s="33"/>
      <c r="BQ38" s="12" t="str">
        <f t="shared" si="10"/>
        <v/>
      </c>
      <c r="BR38" s="13" t="str">
        <f t="shared" si="11"/>
        <v/>
      </c>
      <c r="BT38" s="33"/>
      <c r="BV38" s="33"/>
      <c r="BX38" s="33"/>
      <c r="BZ38" s="33"/>
      <c r="CB38" s="33"/>
      <c r="CC38" s="11" t="str">
        <f t="shared" si="12"/>
        <v/>
      </c>
      <c r="CD38" s="33"/>
      <c r="CE38" s="33"/>
      <c r="CF38" s="33"/>
      <c r="CG38" s="33"/>
      <c r="CH38" s="33"/>
      <c r="CI38" s="33"/>
      <c r="CJ38" s="33"/>
      <c r="CK38" s="33"/>
      <c r="CL38" s="12" t="str">
        <f t="shared" si="13"/>
        <v/>
      </c>
      <c r="CM38" s="13" t="str">
        <f t="shared" si="14"/>
        <v/>
      </c>
      <c r="CO38" s="33"/>
      <c r="CQ38" s="33"/>
      <c r="CS38" s="33"/>
      <c r="CU38" s="33"/>
      <c r="CW38" s="33"/>
      <c r="CX38" s="11" t="str">
        <f t="shared" si="15"/>
        <v/>
      </c>
      <c r="CY38" s="33"/>
      <c r="CZ38" s="33"/>
      <c r="DA38" s="33"/>
      <c r="DB38" s="33"/>
      <c r="DC38" s="33"/>
      <c r="DD38" s="33"/>
      <c r="DE38" s="33"/>
      <c r="DF38" s="33"/>
      <c r="DG38" s="12" t="str">
        <f t="shared" si="16"/>
        <v/>
      </c>
      <c r="DH38" s="13" t="str">
        <f t="shared" si="17"/>
        <v/>
      </c>
      <c r="DJ38" s="33"/>
      <c r="DL38" s="33"/>
      <c r="DN38" s="33"/>
      <c r="DP38" s="33"/>
      <c r="DR38" s="33"/>
      <c r="DS38" s="11" t="str">
        <f t="shared" si="18"/>
        <v/>
      </c>
      <c r="DT38" s="33"/>
      <c r="DU38" s="33"/>
      <c r="DV38" s="33"/>
      <c r="DW38" s="33"/>
      <c r="DX38" s="33"/>
      <c r="DY38" s="33"/>
      <c r="DZ38" s="33"/>
      <c r="EA38" s="33"/>
      <c r="EB38" s="12" t="str">
        <f t="shared" si="19"/>
        <v/>
      </c>
      <c r="EC38" s="13" t="str">
        <f t="shared" si="20"/>
        <v/>
      </c>
      <c r="EE38" s="33"/>
      <c r="EG38" s="33"/>
      <c r="EI38" s="33"/>
      <c r="EK38" s="33"/>
      <c r="EM38" s="33"/>
      <c r="EN38" s="11" t="str">
        <f t="shared" si="21"/>
        <v/>
      </c>
      <c r="EO38" s="33"/>
      <c r="EP38" s="33"/>
      <c r="EQ38" s="33"/>
      <c r="ER38" s="33"/>
      <c r="ES38" s="33"/>
      <c r="ET38" s="33"/>
      <c r="EU38" s="33"/>
      <c r="EV38" s="33"/>
      <c r="EW38" s="12" t="str">
        <f t="shared" si="22"/>
        <v/>
      </c>
      <c r="EX38" s="13" t="str">
        <f t="shared" si="23"/>
        <v/>
      </c>
      <c r="EZ38" s="33"/>
      <c r="FB38" s="33"/>
      <c r="FD38" s="33"/>
      <c r="FF38" s="33"/>
      <c r="FH38" s="33"/>
      <c r="FI38" s="11" t="str">
        <f t="shared" si="24"/>
        <v/>
      </c>
      <c r="FJ38" s="33"/>
      <c r="FK38" s="33"/>
      <c r="FL38" s="33"/>
      <c r="FM38" s="33"/>
      <c r="FN38" s="33"/>
      <c r="FO38" s="33"/>
      <c r="FP38" s="33"/>
      <c r="FQ38" s="33"/>
      <c r="FR38" s="12" t="str">
        <f t="shared" si="25"/>
        <v/>
      </c>
      <c r="FS38" s="13" t="str">
        <f t="shared" si="26"/>
        <v/>
      </c>
      <c r="FU38" s="33"/>
      <c r="FW38" s="33"/>
      <c r="FY38" s="33"/>
      <c r="GA38" s="33"/>
      <c r="GC38" s="33"/>
      <c r="GD38" s="11" t="str">
        <f t="shared" si="27"/>
        <v/>
      </c>
      <c r="GE38" s="33"/>
      <c r="GF38" s="33"/>
      <c r="GG38" s="33"/>
      <c r="GH38" s="33"/>
      <c r="GI38" s="33"/>
      <c r="GJ38" s="33"/>
      <c r="GK38" s="33"/>
      <c r="GL38" s="33"/>
      <c r="GM38" s="12" t="str">
        <f t="shared" si="28"/>
        <v/>
      </c>
      <c r="GN38" s="13" t="str">
        <f t="shared" si="29"/>
        <v/>
      </c>
      <c r="GP38" s="33"/>
      <c r="GR38" s="33"/>
      <c r="GT38" s="33"/>
      <c r="GV38" s="33"/>
      <c r="GX38" s="33"/>
      <c r="GY38" s="11" t="str">
        <f t="shared" si="30"/>
        <v/>
      </c>
      <c r="GZ38" s="33"/>
      <c r="HA38" s="33"/>
      <c r="HB38" s="33"/>
      <c r="HC38" s="33"/>
      <c r="HD38" s="33"/>
      <c r="HE38" s="33"/>
      <c r="HF38" s="33"/>
      <c r="HG38" s="33"/>
      <c r="HH38" s="12" t="str">
        <f t="shared" si="31"/>
        <v/>
      </c>
      <c r="HI38" s="13" t="str">
        <f t="shared" si="32"/>
        <v/>
      </c>
      <c r="HK38" s="33"/>
      <c r="HM38" s="33"/>
      <c r="HO38" s="33"/>
      <c r="HQ38" s="33"/>
      <c r="HS38" s="33"/>
      <c r="HT38" s="11" t="str">
        <f t="shared" si="33"/>
        <v/>
      </c>
      <c r="HU38" s="33"/>
      <c r="HV38" s="33"/>
      <c r="HW38" s="33"/>
      <c r="HX38" s="33"/>
      <c r="HY38" s="33"/>
      <c r="HZ38" s="33"/>
      <c r="IA38" s="33"/>
      <c r="IB38" s="33"/>
      <c r="IC38" s="12" t="str">
        <f t="shared" si="34"/>
        <v/>
      </c>
      <c r="ID38" s="13" t="str">
        <f t="shared" si="35"/>
        <v/>
      </c>
      <c r="IF38" s="33"/>
      <c r="IH38" s="33"/>
      <c r="IJ38" s="33"/>
      <c r="IL38" s="33"/>
      <c r="IN38" s="33"/>
      <c r="IO38" s="11" t="str">
        <f t="shared" si="36"/>
        <v/>
      </c>
      <c r="IP38" s="33"/>
      <c r="IQ38" s="33"/>
      <c r="IR38" s="33"/>
      <c r="IS38" s="33"/>
      <c r="IT38" s="33"/>
      <c r="IU38" s="33"/>
      <c r="IV38" s="33"/>
      <c r="IW38" s="33"/>
      <c r="IX38" s="12" t="str">
        <f t="shared" si="37"/>
        <v/>
      </c>
      <c r="IY38" s="13" t="str">
        <f t="shared" si="38"/>
        <v/>
      </c>
      <c r="JA38" s="33"/>
      <c r="JC38" s="33"/>
      <c r="JE38" s="33"/>
      <c r="JG38" s="33"/>
      <c r="JI38" s="33"/>
      <c r="JJ38" s="11" t="str">
        <f t="shared" si="39"/>
        <v/>
      </c>
      <c r="JK38" s="33"/>
      <c r="JL38" s="33"/>
      <c r="JM38" s="33"/>
      <c r="JN38" s="33"/>
      <c r="JO38" s="33"/>
      <c r="JP38" s="33"/>
      <c r="JQ38" s="33"/>
      <c r="JR38" s="33"/>
      <c r="JS38" s="12" t="str">
        <f t="shared" si="40"/>
        <v/>
      </c>
      <c r="JT38" s="13" t="str">
        <f t="shared" si="41"/>
        <v/>
      </c>
      <c r="JU38" s="3"/>
      <c r="JV38" s="34"/>
      <c r="JW38" s="3"/>
      <c r="JX38" s="34"/>
      <c r="JY38" s="3"/>
      <c r="JZ38" s="34"/>
      <c r="KA38" s="3"/>
      <c r="KB38" s="34"/>
      <c r="KC38" s="3"/>
      <c r="KD38" s="34"/>
      <c r="KE38" s="5" t="str">
        <f t="shared" si="42"/>
        <v/>
      </c>
      <c r="KF38" s="34"/>
      <c r="KG38" s="34"/>
      <c r="KH38" s="34"/>
      <c r="KI38" s="34"/>
      <c r="KJ38" s="34"/>
      <c r="KK38" s="34"/>
      <c r="KL38" s="34"/>
      <c r="KM38" s="34"/>
      <c r="KN38" s="14" t="str">
        <f t="shared" si="43"/>
        <v/>
      </c>
      <c r="KO38" s="15" t="str">
        <f t="shared" si="44"/>
        <v/>
      </c>
    </row>
    <row r="39" spans="1:301" x14ac:dyDescent="0.3">
      <c r="A39" s="3">
        <v>31</v>
      </c>
      <c r="B39" s="4" t="s">
        <v>78</v>
      </c>
      <c r="C39" s="3">
        <v>43</v>
      </c>
      <c r="D39" s="3" t="s">
        <v>79</v>
      </c>
      <c r="E39" s="5" t="str">
        <f t="shared" si="0"/>
        <v/>
      </c>
      <c r="F39" s="10" t="str">
        <f t="shared" si="1"/>
        <v/>
      </c>
      <c r="G39" s="5" t="str">
        <f t="shared" si="2"/>
        <v/>
      </c>
      <c r="I39" s="33"/>
      <c r="K39" s="33"/>
      <c r="M39" s="33"/>
      <c r="O39" s="33"/>
      <c r="Q39" s="33"/>
      <c r="R39" s="11" t="str">
        <f t="shared" si="3"/>
        <v/>
      </c>
      <c r="S39" s="33"/>
      <c r="T39" s="33"/>
      <c r="U39" s="33"/>
      <c r="V39" s="33"/>
      <c r="W39" s="33"/>
      <c r="X39" s="33"/>
      <c r="Y39" s="33"/>
      <c r="Z39" s="33"/>
      <c r="AA39" s="12" t="str">
        <f t="shared" si="4"/>
        <v/>
      </c>
      <c r="AB39" s="13" t="str">
        <f t="shared" si="5"/>
        <v/>
      </c>
      <c r="AD39" s="33"/>
      <c r="AF39" s="33"/>
      <c r="AH39" s="33"/>
      <c r="AJ39" s="33"/>
      <c r="AL39" s="33"/>
      <c r="AM39" s="11" t="str">
        <f t="shared" si="6"/>
        <v/>
      </c>
      <c r="AN39" s="33"/>
      <c r="AO39" s="33"/>
      <c r="AP39" s="33"/>
      <c r="AQ39" s="33"/>
      <c r="AR39" s="33"/>
      <c r="AS39" s="33"/>
      <c r="AT39" s="33"/>
      <c r="AU39" s="33"/>
      <c r="AV39" s="12" t="str">
        <f t="shared" si="7"/>
        <v/>
      </c>
      <c r="AW39" s="13" t="str">
        <f t="shared" si="8"/>
        <v/>
      </c>
      <c r="AY39" s="33"/>
      <c r="BA39" s="33"/>
      <c r="BC39" s="33"/>
      <c r="BE39" s="33"/>
      <c r="BG39" s="33"/>
      <c r="BH39" s="11" t="str">
        <f t="shared" si="9"/>
        <v/>
      </c>
      <c r="BI39" s="33"/>
      <c r="BJ39" s="33"/>
      <c r="BK39" s="33"/>
      <c r="BL39" s="33"/>
      <c r="BM39" s="33"/>
      <c r="BN39" s="33"/>
      <c r="BO39" s="33"/>
      <c r="BP39" s="33"/>
      <c r="BQ39" s="12" t="str">
        <f t="shared" si="10"/>
        <v/>
      </c>
      <c r="BR39" s="13" t="str">
        <f t="shared" si="11"/>
        <v/>
      </c>
      <c r="BT39" s="33"/>
      <c r="BV39" s="33"/>
      <c r="BX39" s="33"/>
      <c r="BZ39" s="33"/>
      <c r="CB39" s="33"/>
      <c r="CC39" s="11" t="str">
        <f t="shared" si="12"/>
        <v/>
      </c>
      <c r="CD39" s="33"/>
      <c r="CE39" s="33"/>
      <c r="CF39" s="33"/>
      <c r="CG39" s="33"/>
      <c r="CH39" s="33"/>
      <c r="CI39" s="33"/>
      <c r="CJ39" s="33"/>
      <c r="CK39" s="33"/>
      <c r="CL39" s="12" t="str">
        <f t="shared" si="13"/>
        <v/>
      </c>
      <c r="CM39" s="13" t="str">
        <f t="shared" si="14"/>
        <v/>
      </c>
      <c r="CO39" s="33"/>
      <c r="CQ39" s="33"/>
      <c r="CS39" s="33"/>
      <c r="CU39" s="33"/>
      <c r="CW39" s="33"/>
      <c r="CX39" s="11" t="str">
        <f t="shared" si="15"/>
        <v/>
      </c>
      <c r="CY39" s="33"/>
      <c r="CZ39" s="33"/>
      <c r="DA39" s="33"/>
      <c r="DB39" s="33"/>
      <c r="DC39" s="33"/>
      <c r="DD39" s="33"/>
      <c r="DE39" s="33"/>
      <c r="DF39" s="33"/>
      <c r="DG39" s="12" t="str">
        <f t="shared" si="16"/>
        <v/>
      </c>
      <c r="DH39" s="13" t="str">
        <f t="shared" si="17"/>
        <v/>
      </c>
      <c r="DJ39" s="33"/>
      <c r="DL39" s="33"/>
      <c r="DN39" s="33"/>
      <c r="DP39" s="33"/>
      <c r="DR39" s="33"/>
      <c r="DS39" s="11" t="str">
        <f t="shared" si="18"/>
        <v/>
      </c>
      <c r="DT39" s="33"/>
      <c r="DU39" s="33"/>
      <c r="DV39" s="33"/>
      <c r="DW39" s="33"/>
      <c r="DX39" s="33"/>
      <c r="DY39" s="33"/>
      <c r="DZ39" s="33"/>
      <c r="EA39" s="33"/>
      <c r="EB39" s="12" t="str">
        <f t="shared" si="19"/>
        <v/>
      </c>
      <c r="EC39" s="13" t="str">
        <f t="shared" si="20"/>
        <v/>
      </c>
      <c r="EE39" s="33"/>
      <c r="EG39" s="33"/>
      <c r="EI39" s="33"/>
      <c r="EK39" s="33"/>
      <c r="EM39" s="33"/>
      <c r="EN39" s="11" t="str">
        <f t="shared" si="21"/>
        <v/>
      </c>
      <c r="EO39" s="33"/>
      <c r="EP39" s="33"/>
      <c r="EQ39" s="33"/>
      <c r="ER39" s="33"/>
      <c r="ES39" s="33"/>
      <c r="ET39" s="33"/>
      <c r="EU39" s="33"/>
      <c r="EV39" s="33"/>
      <c r="EW39" s="12" t="str">
        <f t="shared" si="22"/>
        <v/>
      </c>
      <c r="EX39" s="13" t="str">
        <f t="shared" si="23"/>
        <v/>
      </c>
      <c r="EZ39" s="33"/>
      <c r="FB39" s="33"/>
      <c r="FD39" s="33"/>
      <c r="FF39" s="33"/>
      <c r="FH39" s="33"/>
      <c r="FI39" s="11" t="str">
        <f t="shared" si="24"/>
        <v/>
      </c>
      <c r="FJ39" s="33"/>
      <c r="FK39" s="33"/>
      <c r="FL39" s="33"/>
      <c r="FM39" s="33"/>
      <c r="FN39" s="33"/>
      <c r="FO39" s="33"/>
      <c r="FP39" s="33"/>
      <c r="FQ39" s="33"/>
      <c r="FR39" s="12" t="str">
        <f t="shared" si="25"/>
        <v/>
      </c>
      <c r="FS39" s="13" t="str">
        <f t="shared" si="26"/>
        <v/>
      </c>
      <c r="FU39" s="33"/>
      <c r="FW39" s="33"/>
      <c r="FY39" s="33"/>
      <c r="GA39" s="33"/>
      <c r="GC39" s="33"/>
      <c r="GD39" s="11" t="str">
        <f t="shared" si="27"/>
        <v/>
      </c>
      <c r="GE39" s="33"/>
      <c r="GF39" s="33"/>
      <c r="GG39" s="33"/>
      <c r="GH39" s="33"/>
      <c r="GI39" s="33"/>
      <c r="GJ39" s="33"/>
      <c r="GK39" s="33"/>
      <c r="GL39" s="33"/>
      <c r="GM39" s="12" t="str">
        <f t="shared" si="28"/>
        <v/>
      </c>
      <c r="GN39" s="13" t="str">
        <f t="shared" si="29"/>
        <v/>
      </c>
      <c r="GP39" s="33"/>
      <c r="GR39" s="33"/>
      <c r="GT39" s="33"/>
      <c r="GV39" s="33"/>
      <c r="GX39" s="33"/>
      <c r="GY39" s="11" t="str">
        <f t="shared" si="30"/>
        <v/>
      </c>
      <c r="GZ39" s="33"/>
      <c r="HA39" s="33"/>
      <c r="HB39" s="33"/>
      <c r="HC39" s="33"/>
      <c r="HD39" s="33"/>
      <c r="HE39" s="33"/>
      <c r="HF39" s="33"/>
      <c r="HG39" s="33"/>
      <c r="HH39" s="12" t="str">
        <f t="shared" si="31"/>
        <v/>
      </c>
      <c r="HI39" s="13" t="str">
        <f t="shared" si="32"/>
        <v/>
      </c>
      <c r="HK39" s="33"/>
      <c r="HM39" s="33"/>
      <c r="HO39" s="33"/>
      <c r="HQ39" s="33"/>
      <c r="HS39" s="33"/>
      <c r="HT39" s="11" t="str">
        <f t="shared" si="33"/>
        <v/>
      </c>
      <c r="HU39" s="33"/>
      <c r="HV39" s="33"/>
      <c r="HW39" s="33"/>
      <c r="HX39" s="33"/>
      <c r="HY39" s="33"/>
      <c r="HZ39" s="33"/>
      <c r="IA39" s="33"/>
      <c r="IB39" s="33"/>
      <c r="IC39" s="12" t="str">
        <f t="shared" si="34"/>
        <v/>
      </c>
      <c r="ID39" s="13" t="str">
        <f t="shared" si="35"/>
        <v/>
      </c>
      <c r="IF39" s="33"/>
      <c r="IH39" s="33"/>
      <c r="IJ39" s="33"/>
      <c r="IL39" s="33"/>
      <c r="IN39" s="33"/>
      <c r="IO39" s="11" t="str">
        <f t="shared" si="36"/>
        <v/>
      </c>
      <c r="IP39" s="33"/>
      <c r="IQ39" s="33"/>
      <c r="IR39" s="33"/>
      <c r="IS39" s="33"/>
      <c r="IT39" s="33"/>
      <c r="IU39" s="33"/>
      <c r="IV39" s="33"/>
      <c r="IW39" s="33"/>
      <c r="IX39" s="12" t="str">
        <f t="shared" si="37"/>
        <v/>
      </c>
      <c r="IY39" s="13" t="str">
        <f t="shared" si="38"/>
        <v/>
      </c>
      <c r="JA39" s="33"/>
      <c r="JC39" s="33"/>
      <c r="JE39" s="33"/>
      <c r="JG39" s="33"/>
      <c r="JI39" s="33"/>
      <c r="JJ39" s="11" t="str">
        <f t="shared" si="39"/>
        <v/>
      </c>
      <c r="JK39" s="33"/>
      <c r="JL39" s="33"/>
      <c r="JM39" s="33"/>
      <c r="JN39" s="33"/>
      <c r="JO39" s="33"/>
      <c r="JP39" s="33"/>
      <c r="JQ39" s="33"/>
      <c r="JR39" s="33"/>
      <c r="JS39" s="12" t="str">
        <f t="shared" si="40"/>
        <v/>
      </c>
      <c r="JT39" s="13" t="str">
        <f t="shared" si="41"/>
        <v/>
      </c>
      <c r="JU39" s="3"/>
      <c r="JV39" s="34"/>
      <c r="JW39" s="3"/>
      <c r="JX39" s="34"/>
      <c r="JY39" s="3"/>
      <c r="JZ39" s="34"/>
      <c r="KA39" s="3"/>
      <c r="KB39" s="34"/>
      <c r="KC39" s="3"/>
      <c r="KD39" s="34"/>
      <c r="KE39" s="5" t="str">
        <f t="shared" si="42"/>
        <v/>
      </c>
      <c r="KF39" s="34"/>
      <c r="KG39" s="34"/>
      <c r="KH39" s="34"/>
      <c r="KI39" s="34"/>
      <c r="KJ39" s="34"/>
      <c r="KK39" s="34"/>
      <c r="KL39" s="34"/>
      <c r="KM39" s="34"/>
      <c r="KN39" s="14" t="str">
        <f t="shared" si="43"/>
        <v/>
      </c>
      <c r="KO39" s="15" t="str">
        <f t="shared" si="44"/>
        <v/>
      </c>
    </row>
    <row r="40" spans="1:301" x14ac:dyDescent="0.3">
      <c r="A40" s="3">
        <v>32</v>
      </c>
      <c r="B40" s="4" t="s">
        <v>80</v>
      </c>
      <c r="C40" s="3">
        <v>44</v>
      </c>
      <c r="D40" s="3" t="s">
        <v>81</v>
      </c>
      <c r="E40" s="5" t="str">
        <f t="shared" si="0"/>
        <v/>
      </c>
      <c r="F40" s="10" t="str">
        <f t="shared" si="1"/>
        <v/>
      </c>
      <c r="G40" s="5" t="str">
        <f t="shared" si="2"/>
        <v/>
      </c>
      <c r="I40" s="33"/>
      <c r="K40" s="33"/>
      <c r="M40" s="33"/>
      <c r="O40" s="33"/>
      <c r="Q40" s="33"/>
      <c r="R40" s="11" t="str">
        <f t="shared" si="3"/>
        <v/>
      </c>
      <c r="S40" s="33"/>
      <c r="T40" s="33"/>
      <c r="U40" s="33"/>
      <c r="V40" s="33"/>
      <c r="W40" s="33"/>
      <c r="X40" s="33"/>
      <c r="Y40" s="33"/>
      <c r="Z40" s="33"/>
      <c r="AA40" s="12" t="str">
        <f t="shared" si="4"/>
        <v/>
      </c>
      <c r="AB40" s="13" t="str">
        <f t="shared" si="5"/>
        <v/>
      </c>
      <c r="AD40" s="33"/>
      <c r="AF40" s="33"/>
      <c r="AH40" s="33"/>
      <c r="AJ40" s="33"/>
      <c r="AL40" s="33"/>
      <c r="AM40" s="11" t="str">
        <f t="shared" si="6"/>
        <v/>
      </c>
      <c r="AN40" s="33"/>
      <c r="AO40" s="33"/>
      <c r="AP40" s="33"/>
      <c r="AQ40" s="33"/>
      <c r="AR40" s="33"/>
      <c r="AS40" s="33"/>
      <c r="AT40" s="33"/>
      <c r="AU40" s="33"/>
      <c r="AV40" s="12" t="str">
        <f t="shared" si="7"/>
        <v/>
      </c>
      <c r="AW40" s="13" t="str">
        <f t="shared" si="8"/>
        <v/>
      </c>
      <c r="AY40" s="33"/>
      <c r="BA40" s="33"/>
      <c r="BC40" s="33"/>
      <c r="BE40" s="33"/>
      <c r="BG40" s="33"/>
      <c r="BH40" s="11" t="str">
        <f t="shared" si="9"/>
        <v/>
      </c>
      <c r="BI40" s="33"/>
      <c r="BJ40" s="33"/>
      <c r="BK40" s="33"/>
      <c r="BL40" s="33"/>
      <c r="BM40" s="33"/>
      <c r="BN40" s="33"/>
      <c r="BO40" s="33"/>
      <c r="BP40" s="33"/>
      <c r="BQ40" s="12" t="str">
        <f t="shared" si="10"/>
        <v/>
      </c>
      <c r="BR40" s="13" t="str">
        <f t="shared" si="11"/>
        <v/>
      </c>
      <c r="BT40" s="33"/>
      <c r="BV40" s="33"/>
      <c r="BX40" s="33"/>
      <c r="BZ40" s="33"/>
      <c r="CB40" s="33"/>
      <c r="CC40" s="11" t="str">
        <f t="shared" si="12"/>
        <v/>
      </c>
      <c r="CD40" s="33"/>
      <c r="CE40" s="33"/>
      <c r="CF40" s="33"/>
      <c r="CG40" s="33"/>
      <c r="CH40" s="33"/>
      <c r="CI40" s="33"/>
      <c r="CJ40" s="33"/>
      <c r="CK40" s="33"/>
      <c r="CL40" s="12" t="str">
        <f t="shared" si="13"/>
        <v/>
      </c>
      <c r="CM40" s="13" t="str">
        <f t="shared" si="14"/>
        <v/>
      </c>
      <c r="CO40" s="33"/>
      <c r="CQ40" s="33"/>
      <c r="CS40" s="33"/>
      <c r="CU40" s="33"/>
      <c r="CW40" s="33"/>
      <c r="CX40" s="11" t="str">
        <f t="shared" si="15"/>
        <v/>
      </c>
      <c r="CY40" s="33"/>
      <c r="CZ40" s="33"/>
      <c r="DA40" s="33"/>
      <c r="DB40" s="33"/>
      <c r="DC40" s="33"/>
      <c r="DD40" s="33"/>
      <c r="DE40" s="33"/>
      <c r="DF40" s="33"/>
      <c r="DG40" s="12" t="str">
        <f t="shared" si="16"/>
        <v/>
      </c>
      <c r="DH40" s="13" t="str">
        <f t="shared" si="17"/>
        <v/>
      </c>
      <c r="DJ40" s="33"/>
      <c r="DL40" s="33"/>
      <c r="DN40" s="33"/>
      <c r="DP40" s="33"/>
      <c r="DR40" s="33"/>
      <c r="DS40" s="11" t="str">
        <f t="shared" si="18"/>
        <v/>
      </c>
      <c r="DT40" s="33"/>
      <c r="DU40" s="33"/>
      <c r="DV40" s="33"/>
      <c r="DW40" s="33"/>
      <c r="DX40" s="33"/>
      <c r="DY40" s="33"/>
      <c r="DZ40" s="33"/>
      <c r="EA40" s="33"/>
      <c r="EB40" s="12" t="str">
        <f t="shared" si="19"/>
        <v/>
      </c>
      <c r="EC40" s="13" t="str">
        <f t="shared" si="20"/>
        <v/>
      </c>
      <c r="EE40" s="33"/>
      <c r="EG40" s="33"/>
      <c r="EI40" s="33"/>
      <c r="EK40" s="33"/>
      <c r="EM40" s="33"/>
      <c r="EN40" s="11" t="str">
        <f t="shared" si="21"/>
        <v/>
      </c>
      <c r="EO40" s="33"/>
      <c r="EP40" s="33"/>
      <c r="EQ40" s="33"/>
      <c r="ER40" s="33"/>
      <c r="ES40" s="33"/>
      <c r="ET40" s="33"/>
      <c r="EU40" s="33"/>
      <c r="EV40" s="33"/>
      <c r="EW40" s="12" t="str">
        <f t="shared" si="22"/>
        <v/>
      </c>
      <c r="EX40" s="13" t="str">
        <f t="shared" si="23"/>
        <v/>
      </c>
      <c r="EZ40" s="33"/>
      <c r="FB40" s="33"/>
      <c r="FD40" s="33"/>
      <c r="FF40" s="33"/>
      <c r="FH40" s="33"/>
      <c r="FI40" s="11" t="str">
        <f t="shared" si="24"/>
        <v/>
      </c>
      <c r="FJ40" s="33"/>
      <c r="FK40" s="33"/>
      <c r="FL40" s="33"/>
      <c r="FM40" s="33"/>
      <c r="FN40" s="33"/>
      <c r="FO40" s="33"/>
      <c r="FP40" s="33"/>
      <c r="FQ40" s="33"/>
      <c r="FR40" s="12" t="str">
        <f t="shared" si="25"/>
        <v/>
      </c>
      <c r="FS40" s="13" t="str">
        <f t="shared" si="26"/>
        <v/>
      </c>
      <c r="FU40" s="33"/>
      <c r="FW40" s="33"/>
      <c r="FY40" s="33"/>
      <c r="GA40" s="33"/>
      <c r="GC40" s="33"/>
      <c r="GD40" s="11" t="str">
        <f t="shared" si="27"/>
        <v/>
      </c>
      <c r="GE40" s="33"/>
      <c r="GF40" s="33"/>
      <c r="GG40" s="33"/>
      <c r="GH40" s="33"/>
      <c r="GI40" s="33"/>
      <c r="GJ40" s="33"/>
      <c r="GK40" s="33"/>
      <c r="GL40" s="33"/>
      <c r="GM40" s="12" t="str">
        <f t="shared" si="28"/>
        <v/>
      </c>
      <c r="GN40" s="13" t="str">
        <f t="shared" si="29"/>
        <v/>
      </c>
      <c r="GP40" s="33"/>
      <c r="GR40" s="33"/>
      <c r="GT40" s="33"/>
      <c r="GV40" s="33"/>
      <c r="GX40" s="33"/>
      <c r="GY40" s="11" t="str">
        <f t="shared" si="30"/>
        <v/>
      </c>
      <c r="GZ40" s="33"/>
      <c r="HA40" s="33"/>
      <c r="HB40" s="33"/>
      <c r="HC40" s="33"/>
      <c r="HD40" s="33"/>
      <c r="HE40" s="33"/>
      <c r="HF40" s="33"/>
      <c r="HG40" s="33"/>
      <c r="HH40" s="12" t="str">
        <f t="shared" si="31"/>
        <v/>
      </c>
      <c r="HI40" s="13" t="str">
        <f t="shared" si="32"/>
        <v/>
      </c>
      <c r="HK40" s="33"/>
      <c r="HM40" s="33"/>
      <c r="HO40" s="33"/>
      <c r="HQ40" s="33"/>
      <c r="HS40" s="33"/>
      <c r="HT40" s="11" t="str">
        <f t="shared" si="33"/>
        <v/>
      </c>
      <c r="HU40" s="33"/>
      <c r="HV40" s="33"/>
      <c r="HW40" s="33"/>
      <c r="HX40" s="33"/>
      <c r="HY40" s="33"/>
      <c r="HZ40" s="33"/>
      <c r="IA40" s="33"/>
      <c r="IB40" s="33"/>
      <c r="IC40" s="12" t="str">
        <f t="shared" si="34"/>
        <v/>
      </c>
      <c r="ID40" s="13" t="str">
        <f t="shared" si="35"/>
        <v/>
      </c>
      <c r="IF40" s="33"/>
      <c r="IH40" s="33"/>
      <c r="IJ40" s="33"/>
      <c r="IL40" s="33"/>
      <c r="IN40" s="33"/>
      <c r="IO40" s="11" t="str">
        <f t="shared" si="36"/>
        <v/>
      </c>
      <c r="IP40" s="33"/>
      <c r="IQ40" s="33"/>
      <c r="IR40" s="33"/>
      <c r="IS40" s="33"/>
      <c r="IT40" s="33"/>
      <c r="IU40" s="33"/>
      <c r="IV40" s="33"/>
      <c r="IW40" s="33"/>
      <c r="IX40" s="12" t="str">
        <f t="shared" si="37"/>
        <v/>
      </c>
      <c r="IY40" s="13" t="str">
        <f t="shared" si="38"/>
        <v/>
      </c>
      <c r="JA40" s="33"/>
      <c r="JC40" s="33"/>
      <c r="JE40" s="33"/>
      <c r="JG40" s="33"/>
      <c r="JI40" s="33"/>
      <c r="JJ40" s="11" t="str">
        <f t="shared" si="39"/>
        <v/>
      </c>
      <c r="JK40" s="33"/>
      <c r="JL40" s="33"/>
      <c r="JM40" s="33"/>
      <c r="JN40" s="33"/>
      <c r="JO40" s="33"/>
      <c r="JP40" s="33"/>
      <c r="JQ40" s="33"/>
      <c r="JR40" s="33"/>
      <c r="JS40" s="12" t="str">
        <f t="shared" si="40"/>
        <v/>
      </c>
      <c r="JT40" s="13" t="str">
        <f t="shared" si="41"/>
        <v/>
      </c>
      <c r="JU40" s="3"/>
      <c r="JV40" s="34"/>
      <c r="JW40" s="3"/>
      <c r="JX40" s="34"/>
      <c r="JY40" s="3"/>
      <c r="JZ40" s="34"/>
      <c r="KA40" s="3"/>
      <c r="KB40" s="34"/>
      <c r="KC40" s="3"/>
      <c r="KD40" s="34"/>
      <c r="KE40" s="5" t="str">
        <f t="shared" si="42"/>
        <v/>
      </c>
      <c r="KF40" s="34"/>
      <c r="KG40" s="34"/>
      <c r="KH40" s="34"/>
      <c r="KI40" s="34"/>
      <c r="KJ40" s="34"/>
      <c r="KK40" s="34"/>
      <c r="KL40" s="34"/>
      <c r="KM40" s="34"/>
      <c r="KN40" s="14" t="str">
        <f t="shared" si="43"/>
        <v/>
      </c>
      <c r="KO40" s="15" t="str">
        <f t="shared" si="44"/>
        <v/>
      </c>
    </row>
  </sheetData>
  <mergeCells count="23">
    <mergeCell ref="JU6:KO6"/>
    <mergeCell ref="AC6:AW6"/>
    <mergeCell ref="A2:K2"/>
    <mergeCell ref="IE6:IY6"/>
    <mergeCell ref="ED6:EX6"/>
    <mergeCell ref="GO6:HI6"/>
    <mergeCell ref="AX6:BR6"/>
    <mergeCell ref="C6:C7"/>
    <mergeCell ref="CN6:DH6"/>
    <mergeCell ref="D6:D7"/>
    <mergeCell ref="F6:F7"/>
    <mergeCell ref="H6:AB6"/>
    <mergeCell ref="HJ6:ID6"/>
    <mergeCell ref="IZ6:JT6"/>
    <mergeCell ref="A6:A7"/>
    <mergeCell ref="A1:K1"/>
    <mergeCell ref="EY6:FS6"/>
    <mergeCell ref="DI6:EC6"/>
    <mergeCell ref="FT6:GN6"/>
    <mergeCell ref="G6:G7"/>
    <mergeCell ref="E6:E7"/>
    <mergeCell ref="BS6:CM6"/>
    <mergeCell ref="B6:B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C40"/>
  <sheetViews>
    <sheetView workbookViewId="0">
      <pane xSplit="4" ySplit="8" topLeftCell="E9" activePane="bottomRight" state="frozen"/>
      <selection pane="topRight"/>
      <selection pane="bottomLeft"/>
      <selection pane="bottomRight" activeCell="A2" sqref="A2:K2"/>
    </sheetView>
  </sheetViews>
  <sheetFormatPr defaultRowHeight="14.4" x14ac:dyDescent="0.3"/>
  <cols>
    <col min="1" max="1" width="6" style="36" customWidth="1"/>
    <col min="2" max="2" width="32" style="36" customWidth="1"/>
    <col min="3" max="4" width="12" style="36" customWidth="1"/>
    <col min="5" max="7" width="16" style="36" customWidth="1"/>
    <col min="8" max="8" width="8.44140625" style="36" customWidth="1"/>
    <col min="9" max="9" width="9.44140625" style="36" customWidth="1"/>
    <col min="10" max="10" width="8" style="36" customWidth="1"/>
    <col min="11" max="11" width="9.44140625" style="36" customWidth="1"/>
    <col min="12" max="12" width="8" style="36" customWidth="1"/>
    <col min="13" max="13" width="9.44140625" style="36" customWidth="1"/>
    <col min="14" max="14" width="8" style="36" customWidth="1"/>
    <col min="15" max="15" width="9.44140625" style="36" customWidth="1"/>
    <col min="16" max="16" width="8" style="36" customWidth="1"/>
    <col min="17" max="17" width="9.44140625" style="36" customWidth="1"/>
    <col min="18" max="18" width="19" style="36" customWidth="1"/>
    <col min="19" max="26" width="9.44140625" style="36" customWidth="1"/>
    <col min="27" max="28" width="19" style="36" customWidth="1"/>
    <col min="29" max="29" width="10.6640625" style="36" customWidth="1"/>
    <col min="30" max="30" width="9.44140625" style="36" customWidth="1"/>
    <col min="31" max="31" width="8" style="36" customWidth="1"/>
    <col min="32" max="32" width="9.44140625" style="36" customWidth="1"/>
    <col min="33" max="33" width="8" style="36" customWidth="1"/>
    <col min="34" max="34" width="9.44140625" style="36" customWidth="1"/>
    <col min="35" max="35" width="8" style="36" customWidth="1"/>
    <col min="36" max="36" width="9.44140625" style="36" customWidth="1"/>
    <col min="37" max="37" width="8" style="36" customWidth="1"/>
    <col min="38" max="38" width="9.44140625" style="36" customWidth="1"/>
    <col min="39" max="39" width="19" style="36" customWidth="1"/>
    <col min="40" max="47" width="9.44140625" style="36" customWidth="1"/>
    <col min="48" max="49" width="19" style="36" customWidth="1"/>
    <col min="50" max="50" width="10.21875" style="36" customWidth="1"/>
    <col min="51" max="51" width="9.44140625" style="36" customWidth="1"/>
    <col min="52" max="52" width="8" style="36" customWidth="1"/>
    <col min="53" max="53" width="9.44140625" style="36" customWidth="1"/>
    <col min="54" max="54" width="8" style="36" customWidth="1"/>
    <col min="55" max="55" width="9.44140625" style="36" customWidth="1"/>
    <col min="56" max="56" width="8" style="36" customWidth="1"/>
    <col min="57" max="57" width="9.44140625" style="36" customWidth="1"/>
    <col min="58" max="58" width="8" style="36" customWidth="1"/>
    <col min="59" max="59" width="9.44140625" style="36" customWidth="1"/>
    <col min="60" max="60" width="19" style="36" customWidth="1"/>
    <col min="61" max="68" width="9.44140625" style="36" customWidth="1"/>
    <col min="69" max="70" width="19" style="36" customWidth="1"/>
    <col min="71" max="71" width="8.5546875" style="36" customWidth="1"/>
    <col min="72" max="72" width="9.44140625" style="36" customWidth="1"/>
    <col min="73" max="73" width="8" style="36" customWidth="1"/>
    <col min="74" max="74" width="9.44140625" style="36" customWidth="1"/>
    <col min="75" max="75" width="8" style="36" customWidth="1"/>
    <col min="76" max="76" width="9.44140625" style="36" customWidth="1"/>
    <col min="77" max="77" width="8" style="36" customWidth="1"/>
    <col min="78" max="78" width="9.44140625" style="36" customWidth="1"/>
    <col min="79" max="79" width="8" style="36" customWidth="1"/>
    <col min="80" max="80" width="9.44140625" style="36" customWidth="1"/>
    <col min="81" max="81" width="19" style="36" customWidth="1"/>
    <col min="82" max="89" width="9.44140625" style="36" customWidth="1"/>
    <col min="90" max="91" width="19" style="36" customWidth="1"/>
    <col min="92" max="92" width="8.88671875" style="36" customWidth="1"/>
    <col min="93" max="93" width="9.44140625" style="36" customWidth="1"/>
    <col min="94" max="94" width="8" style="36" customWidth="1"/>
    <col min="95" max="95" width="9.44140625" style="36" customWidth="1"/>
    <col min="96" max="96" width="8" style="36" customWidth="1"/>
    <col min="97" max="97" width="9.44140625" style="36" customWidth="1"/>
    <col min="98" max="98" width="8" style="36" customWidth="1"/>
    <col min="99" max="99" width="9.44140625" style="36" customWidth="1"/>
    <col min="100" max="100" width="8" style="36" customWidth="1"/>
    <col min="101" max="101" width="9.44140625" style="36" customWidth="1"/>
    <col min="102" max="102" width="19" style="36" customWidth="1"/>
    <col min="103" max="110" width="9.44140625" style="36" customWidth="1"/>
    <col min="111" max="112" width="19" style="36" customWidth="1"/>
    <col min="113" max="114" width="9.44140625" style="36" customWidth="1"/>
    <col min="115" max="115" width="8" style="36" customWidth="1"/>
    <col min="116" max="116" width="9.44140625" style="36" customWidth="1"/>
    <col min="117" max="117" width="8" style="36" customWidth="1"/>
    <col min="118" max="118" width="9.44140625" style="36" customWidth="1"/>
    <col min="119" max="119" width="8" style="36" customWidth="1"/>
    <col min="120" max="120" width="9.44140625" style="36" customWidth="1"/>
    <col min="121" max="121" width="8" style="36" customWidth="1"/>
    <col min="122" max="122" width="9.44140625" style="36" customWidth="1"/>
    <col min="123" max="123" width="19" style="36" customWidth="1"/>
    <col min="124" max="131" width="9.44140625" style="36" customWidth="1"/>
    <col min="132" max="133" width="19" style="36" customWidth="1"/>
  </cols>
  <sheetData>
    <row r="1" spans="1:133" ht="19.8" customHeight="1" x14ac:dyDescent="0.3">
      <c r="A1" s="48" t="s">
        <v>123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spans="1:133" x14ac:dyDescent="0.3">
      <c r="A2" s="46" t="s">
        <v>124</v>
      </c>
      <c r="B2" s="47"/>
      <c r="C2" s="47"/>
      <c r="D2" s="47"/>
      <c r="E2" s="47"/>
      <c r="F2" s="47"/>
      <c r="G2" s="47"/>
      <c r="H2" s="47"/>
      <c r="I2" s="47"/>
      <c r="J2" s="47"/>
      <c r="K2" s="47"/>
    </row>
    <row r="6" spans="1:133" x14ac:dyDescent="0.3">
      <c r="A6" s="52" t="s">
        <v>6</v>
      </c>
      <c r="B6" s="52" t="s">
        <v>7</v>
      </c>
      <c r="C6" s="52" t="s">
        <v>8</v>
      </c>
      <c r="D6" s="52" t="s">
        <v>84</v>
      </c>
      <c r="E6" s="52" t="s">
        <v>85</v>
      </c>
      <c r="F6" s="52" t="s">
        <v>86</v>
      </c>
      <c r="G6" s="52" t="s">
        <v>87</v>
      </c>
      <c r="H6" s="49" t="s">
        <v>125</v>
      </c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1"/>
      <c r="AC6" s="49" t="s">
        <v>126</v>
      </c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1"/>
      <c r="AX6" s="49" t="s">
        <v>127</v>
      </c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1"/>
      <c r="BS6" s="49" t="s">
        <v>128</v>
      </c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1"/>
      <c r="CN6" s="49" t="s">
        <v>129</v>
      </c>
      <c r="CO6" s="50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50"/>
      <c r="DD6" s="50"/>
      <c r="DE6" s="50"/>
      <c r="DF6" s="50"/>
      <c r="DG6" s="50"/>
      <c r="DH6" s="51"/>
      <c r="DI6" s="49" t="s">
        <v>130</v>
      </c>
      <c r="DJ6" s="50"/>
      <c r="DK6" s="50"/>
      <c r="DL6" s="50"/>
      <c r="DM6" s="50"/>
      <c r="DN6" s="50"/>
      <c r="DO6" s="50"/>
      <c r="DP6" s="50"/>
      <c r="DQ6" s="50"/>
      <c r="DR6" s="50"/>
      <c r="DS6" s="50"/>
      <c r="DT6" s="50"/>
      <c r="DU6" s="50"/>
      <c r="DV6" s="50"/>
      <c r="DW6" s="50"/>
      <c r="DX6" s="50"/>
      <c r="DY6" s="50"/>
      <c r="DZ6" s="50"/>
      <c r="EA6" s="50"/>
      <c r="EB6" s="50"/>
      <c r="EC6" s="51"/>
    </row>
    <row r="7" spans="1:133" x14ac:dyDescent="0.3">
      <c r="A7" s="53"/>
      <c r="B7" s="53"/>
      <c r="C7" s="53"/>
      <c r="D7" s="53"/>
      <c r="E7" s="53"/>
      <c r="F7" s="53"/>
      <c r="G7" s="53"/>
      <c r="H7" s="6" t="s">
        <v>102</v>
      </c>
      <c r="I7" s="7" t="s">
        <v>103</v>
      </c>
      <c r="J7" s="6" t="s">
        <v>104</v>
      </c>
      <c r="K7" s="7" t="s">
        <v>105</v>
      </c>
      <c r="L7" s="6" t="s">
        <v>106</v>
      </c>
      <c r="M7" s="7" t="s">
        <v>107</v>
      </c>
      <c r="N7" s="6" t="s">
        <v>108</v>
      </c>
      <c r="O7" s="7" t="s">
        <v>109</v>
      </c>
      <c r="P7" s="6" t="s">
        <v>110</v>
      </c>
      <c r="Q7" s="7" t="s">
        <v>111</v>
      </c>
      <c r="R7" s="8" t="s">
        <v>112</v>
      </c>
      <c r="S7" s="7" t="s">
        <v>113</v>
      </c>
      <c r="T7" s="7" t="s">
        <v>114</v>
      </c>
      <c r="U7" s="7" t="s">
        <v>115</v>
      </c>
      <c r="V7" s="7" t="s">
        <v>116</v>
      </c>
      <c r="W7" s="7" t="s">
        <v>117</v>
      </c>
      <c r="X7" s="7" t="s">
        <v>118</v>
      </c>
      <c r="Y7" s="7" t="s">
        <v>119</v>
      </c>
      <c r="Z7" s="7" t="s">
        <v>120</v>
      </c>
      <c r="AA7" s="8" t="s">
        <v>121</v>
      </c>
      <c r="AB7" s="9" t="s">
        <v>122</v>
      </c>
      <c r="AC7" s="6" t="s">
        <v>102</v>
      </c>
      <c r="AD7" s="7" t="s">
        <v>103</v>
      </c>
      <c r="AE7" s="6" t="s">
        <v>104</v>
      </c>
      <c r="AF7" s="7" t="s">
        <v>105</v>
      </c>
      <c r="AG7" s="6" t="s">
        <v>106</v>
      </c>
      <c r="AH7" s="7" t="s">
        <v>107</v>
      </c>
      <c r="AI7" s="6" t="s">
        <v>108</v>
      </c>
      <c r="AJ7" s="7" t="s">
        <v>109</v>
      </c>
      <c r="AK7" s="6" t="s">
        <v>110</v>
      </c>
      <c r="AL7" s="7" t="s">
        <v>111</v>
      </c>
      <c r="AM7" s="8" t="s">
        <v>112</v>
      </c>
      <c r="AN7" s="7" t="s">
        <v>113</v>
      </c>
      <c r="AO7" s="7" t="s">
        <v>114</v>
      </c>
      <c r="AP7" s="7" t="s">
        <v>115</v>
      </c>
      <c r="AQ7" s="7" t="s">
        <v>116</v>
      </c>
      <c r="AR7" s="7" t="s">
        <v>117</v>
      </c>
      <c r="AS7" s="7" t="s">
        <v>118</v>
      </c>
      <c r="AT7" s="7" t="s">
        <v>119</v>
      </c>
      <c r="AU7" s="7" t="s">
        <v>120</v>
      </c>
      <c r="AV7" s="8" t="s">
        <v>121</v>
      </c>
      <c r="AW7" s="9" t="s">
        <v>122</v>
      </c>
      <c r="AX7" s="6" t="s">
        <v>102</v>
      </c>
      <c r="AY7" s="7" t="s">
        <v>103</v>
      </c>
      <c r="AZ7" s="6" t="s">
        <v>104</v>
      </c>
      <c r="BA7" s="7" t="s">
        <v>105</v>
      </c>
      <c r="BB7" s="6" t="s">
        <v>106</v>
      </c>
      <c r="BC7" s="7" t="s">
        <v>107</v>
      </c>
      <c r="BD7" s="6" t="s">
        <v>108</v>
      </c>
      <c r="BE7" s="7" t="s">
        <v>109</v>
      </c>
      <c r="BF7" s="6" t="s">
        <v>110</v>
      </c>
      <c r="BG7" s="7" t="s">
        <v>111</v>
      </c>
      <c r="BH7" s="8" t="s">
        <v>112</v>
      </c>
      <c r="BI7" s="7" t="s">
        <v>113</v>
      </c>
      <c r="BJ7" s="7" t="s">
        <v>114</v>
      </c>
      <c r="BK7" s="7" t="s">
        <v>115</v>
      </c>
      <c r="BL7" s="7" t="s">
        <v>116</v>
      </c>
      <c r="BM7" s="7" t="s">
        <v>117</v>
      </c>
      <c r="BN7" s="7" t="s">
        <v>118</v>
      </c>
      <c r="BO7" s="7" t="s">
        <v>119</v>
      </c>
      <c r="BP7" s="7" t="s">
        <v>120</v>
      </c>
      <c r="BQ7" s="8" t="s">
        <v>121</v>
      </c>
      <c r="BR7" s="9" t="s">
        <v>122</v>
      </c>
      <c r="BS7" s="6" t="s">
        <v>102</v>
      </c>
      <c r="BT7" s="7" t="s">
        <v>103</v>
      </c>
      <c r="BU7" s="6" t="s">
        <v>104</v>
      </c>
      <c r="BV7" s="7" t="s">
        <v>105</v>
      </c>
      <c r="BW7" s="6" t="s">
        <v>106</v>
      </c>
      <c r="BX7" s="7" t="s">
        <v>107</v>
      </c>
      <c r="BY7" s="6" t="s">
        <v>108</v>
      </c>
      <c r="BZ7" s="7" t="s">
        <v>109</v>
      </c>
      <c r="CA7" s="6" t="s">
        <v>110</v>
      </c>
      <c r="CB7" s="7" t="s">
        <v>111</v>
      </c>
      <c r="CC7" s="8" t="s">
        <v>112</v>
      </c>
      <c r="CD7" s="7" t="s">
        <v>113</v>
      </c>
      <c r="CE7" s="7" t="s">
        <v>114</v>
      </c>
      <c r="CF7" s="7" t="s">
        <v>115</v>
      </c>
      <c r="CG7" s="7" t="s">
        <v>116</v>
      </c>
      <c r="CH7" s="7" t="s">
        <v>117</v>
      </c>
      <c r="CI7" s="7" t="s">
        <v>118</v>
      </c>
      <c r="CJ7" s="7" t="s">
        <v>119</v>
      </c>
      <c r="CK7" s="7" t="s">
        <v>120</v>
      </c>
      <c r="CL7" s="8" t="s">
        <v>121</v>
      </c>
      <c r="CM7" s="9" t="s">
        <v>122</v>
      </c>
      <c r="CN7" s="6" t="s">
        <v>102</v>
      </c>
      <c r="CO7" s="7" t="s">
        <v>103</v>
      </c>
      <c r="CP7" s="6" t="s">
        <v>104</v>
      </c>
      <c r="CQ7" s="7" t="s">
        <v>105</v>
      </c>
      <c r="CR7" s="6" t="s">
        <v>106</v>
      </c>
      <c r="CS7" s="7" t="s">
        <v>107</v>
      </c>
      <c r="CT7" s="6" t="s">
        <v>108</v>
      </c>
      <c r="CU7" s="7" t="s">
        <v>109</v>
      </c>
      <c r="CV7" s="6" t="s">
        <v>110</v>
      </c>
      <c r="CW7" s="7" t="s">
        <v>111</v>
      </c>
      <c r="CX7" s="8" t="s">
        <v>112</v>
      </c>
      <c r="CY7" s="7" t="s">
        <v>113</v>
      </c>
      <c r="CZ7" s="7" t="s">
        <v>114</v>
      </c>
      <c r="DA7" s="7" t="s">
        <v>115</v>
      </c>
      <c r="DB7" s="7" t="s">
        <v>116</v>
      </c>
      <c r="DC7" s="7" t="s">
        <v>117</v>
      </c>
      <c r="DD7" s="7" t="s">
        <v>118</v>
      </c>
      <c r="DE7" s="7" t="s">
        <v>119</v>
      </c>
      <c r="DF7" s="7" t="s">
        <v>120</v>
      </c>
      <c r="DG7" s="8" t="s">
        <v>121</v>
      </c>
      <c r="DH7" s="9" t="s">
        <v>122</v>
      </c>
      <c r="DI7" s="6" t="s">
        <v>102</v>
      </c>
      <c r="DJ7" s="7" t="s">
        <v>103</v>
      </c>
      <c r="DK7" s="6" t="s">
        <v>104</v>
      </c>
      <c r="DL7" s="7" t="s">
        <v>105</v>
      </c>
      <c r="DM7" s="6" t="s">
        <v>106</v>
      </c>
      <c r="DN7" s="7" t="s">
        <v>107</v>
      </c>
      <c r="DO7" s="6" t="s">
        <v>108</v>
      </c>
      <c r="DP7" s="7" t="s">
        <v>109</v>
      </c>
      <c r="DQ7" s="6" t="s">
        <v>110</v>
      </c>
      <c r="DR7" s="7" t="s">
        <v>111</v>
      </c>
      <c r="DS7" s="8" t="s">
        <v>112</v>
      </c>
      <c r="DT7" s="7" t="s">
        <v>113</v>
      </c>
      <c r="DU7" s="7" t="s">
        <v>114</v>
      </c>
      <c r="DV7" s="7" t="s">
        <v>115</v>
      </c>
      <c r="DW7" s="7" t="s">
        <v>116</v>
      </c>
      <c r="DX7" s="7" t="s">
        <v>117</v>
      </c>
      <c r="DY7" s="7" t="s">
        <v>118</v>
      </c>
      <c r="DZ7" s="7" t="s">
        <v>119</v>
      </c>
      <c r="EA7" s="7" t="s">
        <v>120</v>
      </c>
      <c r="EB7" s="8" t="s">
        <v>121</v>
      </c>
      <c r="EC7" s="9" t="s">
        <v>122</v>
      </c>
    </row>
    <row r="8" spans="1:133" x14ac:dyDescent="0.3">
      <c r="I8" s="33"/>
      <c r="K8" s="33"/>
      <c r="M8" s="33"/>
      <c r="O8" s="33"/>
      <c r="Q8" s="33"/>
      <c r="S8" s="33"/>
      <c r="T8" s="33"/>
      <c r="U8" s="33"/>
      <c r="V8" s="33"/>
      <c r="W8" s="33"/>
      <c r="X8" s="33"/>
      <c r="Y8" s="33"/>
      <c r="Z8" s="33"/>
      <c r="AD8" s="33"/>
      <c r="AF8" s="33"/>
      <c r="AH8" s="33"/>
      <c r="AJ8" s="33"/>
      <c r="AL8" s="33"/>
      <c r="AN8" s="33"/>
      <c r="AO8" s="33"/>
      <c r="AP8" s="33"/>
      <c r="AQ8" s="33"/>
      <c r="AR8" s="33"/>
      <c r="AS8" s="33"/>
      <c r="AT8" s="33"/>
      <c r="AU8" s="33"/>
      <c r="AY8" s="33"/>
      <c r="BA8" s="33"/>
      <c r="BC8" s="33"/>
      <c r="BE8" s="33"/>
      <c r="BG8" s="33"/>
      <c r="BI8" s="33"/>
      <c r="BJ8" s="33"/>
      <c r="BK8" s="33"/>
      <c r="BL8" s="33"/>
      <c r="BM8" s="33"/>
      <c r="BN8" s="33"/>
      <c r="BO8" s="33"/>
      <c r="BP8" s="33"/>
      <c r="BT8" s="33"/>
      <c r="BV8" s="33"/>
      <c r="BX8" s="33"/>
      <c r="BZ8" s="33"/>
      <c r="CB8" s="33"/>
      <c r="CD8" s="33"/>
      <c r="CE8" s="33"/>
      <c r="CF8" s="33"/>
      <c r="CG8" s="33"/>
      <c r="CH8" s="33"/>
      <c r="CI8" s="33"/>
      <c r="CJ8" s="33"/>
      <c r="CK8" s="33"/>
      <c r="CO8" s="33"/>
      <c r="CQ8" s="33"/>
      <c r="CS8" s="33"/>
      <c r="CU8" s="33"/>
      <c r="CW8" s="33"/>
      <c r="CY8" s="33"/>
      <c r="CZ8" s="33"/>
      <c r="DA8" s="33"/>
      <c r="DB8" s="33"/>
      <c r="DC8" s="33"/>
      <c r="DD8" s="33"/>
      <c r="DE8" s="33"/>
      <c r="DF8" s="33"/>
      <c r="DJ8" s="33"/>
      <c r="DL8" s="33"/>
      <c r="DN8" s="33"/>
      <c r="DP8" s="33"/>
      <c r="DR8" s="33"/>
      <c r="DT8" s="33"/>
      <c r="DU8" s="33"/>
      <c r="DV8" s="33"/>
      <c r="DW8" s="33"/>
      <c r="DX8" s="33"/>
      <c r="DY8" s="33"/>
      <c r="DZ8" s="33"/>
      <c r="EA8" s="33"/>
    </row>
    <row r="9" spans="1:133" x14ac:dyDescent="0.3">
      <c r="A9" s="3">
        <v>1</v>
      </c>
      <c r="B9" s="4" t="s">
        <v>18</v>
      </c>
      <c r="C9" s="3">
        <v>13</v>
      </c>
      <c r="D9" s="3" t="s">
        <v>19</v>
      </c>
      <c r="E9" s="5" t="str">
        <f t="shared" ref="E9:E40" si="0">IFERROR(ROUND(AVERAGE(R9,AM9,BH9,CC9,CX9,DS9), 2), "")</f>
        <v/>
      </c>
      <c r="F9" s="10" t="str">
        <f t="shared" ref="F9:F40" si="1">IF(SUM(AB9,AW9,BR9,CM9,DH9,EC9)=0, "", SUM(AB9,AW9,BR9,CM9,DH9,EC9))</f>
        <v/>
      </c>
      <c r="G9" s="5" t="str">
        <f t="shared" ref="G9:G40" si="2">IF(SUM(AA9,AV9,BQ9,CL9,DG9,EB9)=0, "", SUM(AA9,AV9,BQ9,CL9,DG9,EB9))</f>
        <v/>
      </c>
      <c r="I9" s="33"/>
      <c r="K9" s="33"/>
      <c r="M9" s="33"/>
      <c r="O9" s="33"/>
      <c r="Q9" s="33"/>
      <c r="R9" s="11" t="str">
        <f t="shared" ref="R9:R40" si="3">IFERROR(ROUND(AVERAGE(H9,J9,L9,N9,P9), 2), "")</f>
        <v/>
      </c>
      <c r="S9" s="33"/>
      <c r="T9" s="33"/>
      <c r="U9" s="33"/>
      <c r="V9" s="33"/>
      <c r="W9" s="33"/>
      <c r="X9" s="33"/>
      <c r="Y9" s="33"/>
      <c r="Z9" s="33"/>
      <c r="AA9" s="12" t="str">
        <f t="shared" ref="AA9:AA40" si="4">IF(COUNTA(S9:Z9)=0, "", SUMPRODUCT(--ISNUMBER(SEARCH("m", S9:Z9))))</f>
        <v/>
      </c>
      <c r="AB9" s="13" t="str">
        <f t="shared" ref="AB9:AB40" si="5">IF(COUNTA(S9:Z9)=0, "", COUNTA(S9:Z9) - SUMPRODUCT(--ISNUMBER(SEARCH("m", S9:Z9))))</f>
        <v/>
      </c>
      <c r="AD9" s="33"/>
      <c r="AF9" s="33"/>
      <c r="AH9" s="33"/>
      <c r="AJ9" s="33"/>
      <c r="AL9" s="33"/>
      <c r="AM9" s="11" t="str">
        <f t="shared" ref="AM9:AM40" si="6">IFERROR(ROUND(AVERAGE(AC9,AE9,AG9,AI9,AK9), 2), "")</f>
        <v/>
      </c>
      <c r="AN9" s="33"/>
      <c r="AO9" s="33"/>
      <c r="AP9" s="33"/>
      <c r="AQ9" s="33"/>
      <c r="AR9" s="33"/>
      <c r="AS9" s="33"/>
      <c r="AT9" s="33"/>
      <c r="AU9" s="33"/>
      <c r="AV9" s="12" t="str">
        <f t="shared" ref="AV9:AV40" si="7">IF(COUNTA(AN9:AU9)=0, "", SUMPRODUCT(--ISNUMBER(SEARCH("m", AN9:AU9))))</f>
        <v/>
      </c>
      <c r="AW9" s="13" t="str">
        <f t="shared" ref="AW9:AW40" si="8">IF(COUNTA(AN9:AU9)=0, "", COUNTA(AN9:AU9) - SUMPRODUCT(--ISNUMBER(SEARCH("m", AN9:AU9))))</f>
        <v/>
      </c>
      <c r="AY9" s="33"/>
      <c r="BA9" s="33"/>
      <c r="BC9" s="33"/>
      <c r="BE9" s="33"/>
      <c r="BG9" s="33"/>
      <c r="BH9" s="11" t="str">
        <f t="shared" ref="BH9:BH40" si="9">IFERROR(ROUND(AVERAGE(AX9,AZ9,BB9,BD9,BF9), 2), "")</f>
        <v/>
      </c>
      <c r="BI9" s="33"/>
      <c r="BJ9" s="33"/>
      <c r="BK9" s="33"/>
      <c r="BL9" s="33"/>
      <c r="BM9" s="33"/>
      <c r="BN9" s="33"/>
      <c r="BO9" s="33"/>
      <c r="BP9" s="33"/>
      <c r="BQ9" s="12" t="str">
        <f t="shared" ref="BQ9:BQ40" si="10">IF(COUNTA(BI9:BP9)=0, "", SUMPRODUCT(--ISNUMBER(SEARCH("m", BI9:BP9))))</f>
        <v/>
      </c>
      <c r="BR9" s="13" t="str">
        <f t="shared" ref="BR9:BR40" si="11">IF(COUNTA(BI9:BP9)=0, "", COUNTA(BI9:BP9) - SUMPRODUCT(--ISNUMBER(SEARCH("m", BI9:BP9))))</f>
        <v/>
      </c>
      <c r="BT9" s="33"/>
      <c r="BV9" s="33"/>
      <c r="BX9" s="33"/>
      <c r="BZ9" s="33"/>
      <c r="CB9" s="33"/>
      <c r="CC9" s="11" t="str">
        <f t="shared" ref="CC9:CC40" si="12">IFERROR(ROUND(AVERAGE(BS9,BU9,BW9,BY9,CA9), 2), "")</f>
        <v/>
      </c>
      <c r="CD9" s="33"/>
      <c r="CE9" s="33"/>
      <c r="CF9" s="33"/>
      <c r="CG9" s="33"/>
      <c r="CH9" s="33"/>
      <c r="CI9" s="33"/>
      <c r="CJ9" s="33"/>
      <c r="CK9" s="33"/>
      <c r="CL9" s="12" t="str">
        <f t="shared" ref="CL9:CL40" si="13">IF(COUNTA(CD9:CK9)=0, "", SUMPRODUCT(--ISNUMBER(SEARCH("m", CD9:CK9))))</f>
        <v/>
      </c>
      <c r="CM9" s="13" t="str">
        <f t="shared" ref="CM9:CM40" si="14">IF(COUNTA(CD9:CK9)=0, "", COUNTA(CD9:CK9) - SUMPRODUCT(--ISNUMBER(SEARCH("m", CD9:CK9))))</f>
        <v/>
      </c>
      <c r="CO9" s="33"/>
      <c r="CQ9" s="33"/>
      <c r="CS9" s="33"/>
      <c r="CU9" s="33"/>
      <c r="CW9" s="33"/>
      <c r="CX9" s="11" t="str">
        <f t="shared" ref="CX9:CX40" si="15">IFERROR(ROUND(AVERAGE(CN9,CP9,CR9,CT9,CV9), 2), "")</f>
        <v/>
      </c>
      <c r="CY9" s="33"/>
      <c r="CZ9" s="33"/>
      <c r="DA9" s="33"/>
      <c r="DB9" s="33"/>
      <c r="DC9" s="33"/>
      <c r="DD9" s="33"/>
      <c r="DE9" s="33"/>
      <c r="DF9" s="33"/>
      <c r="DG9" s="12" t="str">
        <f t="shared" ref="DG9:DG40" si="16">IF(COUNTA(CY9:DF9)=0, "", SUMPRODUCT(--ISNUMBER(SEARCH("m", CY9:DF9))))</f>
        <v/>
      </c>
      <c r="DH9" s="13" t="str">
        <f t="shared" ref="DH9:DH40" si="17">IF(COUNTA(CY9:DF9)=0, "", COUNTA(CY9:DF9) - SUMPRODUCT(--ISNUMBER(SEARCH("m", CY9:DF9))))</f>
        <v/>
      </c>
      <c r="DI9" s="3"/>
      <c r="DJ9" s="34"/>
      <c r="DK9" s="3"/>
      <c r="DL9" s="34"/>
      <c r="DM9" s="3"/>
      <c r="DN9" s="34"/>
      <c r="DO9" s="3"/>
      <c r="DP9" s="34"/>
      <c r="DQ9" s="3"/>
      <c r="DR9" s="34"/>
      <c r="DS9" s="5" t="str">
        <f t="shared" ref="DS9:DS40" si="18">IFERROR(ROUND(AVERAGE(DI9,DK9,DM9,DO9,DQ9), 2), "")</f>
        <v/>
      </c>
      <c r="DT9" s="34"/>
      <c r="DU9" s="34"/>
      <c r="DV9" s="34"/>
      <c r="DW9" s="34"/>
      <c r="DX9" s="34"/>
      <c r="DY9" s="34"/>
      <c r="DZ9" s="34"/>
      <c r="EA9" s="34"/>
      <c r="EB9" s="14" t="str">
        <f t="shared" ref="EB9:EB40" si="19">IF(COUNTA(DT9:EA9)=0, "", SUMPRODUCT(--ISNUMBER(SEARCH("m", DT9:EA9))))</f>
        <v/>
      </c>
      <c r="EC9" s="15" t="str">
        <f t="shared" ref="EC9:EC40" si="20">IF(COUNTA(DT9:EA9)=0, "", COUNTA(DT9:EA9) - SUMPRODUCT(--ISNUMBER(SEARCH("m", DT9:EA9))))</f>
        <v/>
      </c>
    </row>
    <row r="10" spans="1:133" x14ac:dyDescent="0.3">
      <c r="A10" s="3">
        <v>2</v>
      </c>
      <c r="B10" s="4" t="s">
        <v>20</v>
      </c>
      <c r="C10" s="3">
        <v>14</v>
      </c>
      <c r="D10" s="3" t="s">
        <v>21</v>
      </c>
      <c r="E10" s="5" t="str">
        <f t="shared" si="0"/>
        <v/>
      </c>
      <c r="F10" s="10" t="str">
        <f t="shared" si="1"/>
        <v/>
      </c>
      <c r="G10" s="5" t="str">
        <f t="shared" si="2"/>
        <v/>
      </c>
      <c r="I10" s="33"/>
      <c r="K10" s="33"/>
      <c r="M10" s="33"/>
      <c r="O10" s="33"/>
      <c r="Q10" s="33"/>
      <c r="R10" s="11" t="str">
        <f t="shared" si="3"/>
        <v/>
      </c>
      <c r="S10" s="33"/>
      <c r="T10" s="33"/>
      <c r="U10" s="33"/>
      <c r="V10" s="33"/>
      <c r="W10" s="33"/>
      <c r="X10" s="33"/>
      <c r="Y10" s="33"/>
      <c r="Z10" s="33"/>
      <c r="AA10" s="12" t="str">
        <f t="shared" si="4"/>
        <v/>
      </c>
      <c r="AB10" s="13" t="str">
        <f t="shared" si="5"/>
        <v/>
      </c>
      <c r="AD10" s="33"/>
      <c r="AF10" s="33"/>
      <c r="AH10" s="33"/>
      <c r="AJ10" s="33"/>
      <c r="AL10" s="33"/>
      <c r="AM10" s="11" t="str">
        <f t="shared" si="6"/>
        <v/>
      </c>
      <c r="AN10" s="33"/>
      <c r="AO10" s="33"/>
      <c r="AP10" s="33"/>
      <c r="AQ10" s="33"/>
      <c r="AR10" s="33"/>
      <c r="AS10" s="33"/>
      <c r="AT10" s="33"/>
      <c r="AU10" s="33"/>
      <c r="AV10" s="12" t="str">
        <f t="shared" si="7"/>
        <v/>
      </c>
      <c r="AW10" s="13" t="str">
        <f t="shared" si="8"/>
        <v/>
      </c>
      <c r="AY10" s="33"/>
      <c r="BA10" s="33"/>
      <c r="BC10" s="33"/>
      <c r="BE10" s="33"/>
      <c r="BG10" s="33"/>
      <c r="BH10" s="11" t="str">
        <f t="shared" si="9"/>
        <v/>
      </c>
      <c r="BI10" s="33"/>
      <c r="BJ10" s="33"/>
      <c r="BK10" s="33"/>
      <c r="BL10" s="33"/>
      <c r="BM10" s="33"/>
      <c r="BN10" s="33"/>
      <c r="BO10" s="33"/>
      <c r="BP10" s="33"/>
      <c r="BQ10" s="12" t="str">
        <f t="shared" si="10"/>
        <v/>
      </c>
      <c r="BR10" s="13" t="str">
        <f t="shared" si="11"/>
        <v/>
      </c>
      <c r="BT10" s="33"/>
      <c r="BV10" s="33"/>
      <c r="BX10" s="33"/>
      <c r="BZ10" s="33"/>
      <c r="CB10" s="33"/>
      <c r="CC10" s="11" t="str">
        <f t="shared" si="12"/>
        <v/>
      </c>
      <c r="CD10" s="33"/>
      <c r="CE10" s="33"/>
      <c r="CF10" s="33"/>
      <c r="CG10" s="33"/>
      <c r="CH10" s="33"/>
      <c r="CI10" s="33"/>
      <c r="CJ10" s="33"/>
      <c r="CK10" s="33"/>
      <c r="CL10" s="12" t="str">
        <f t="shared" si="13"/>
        <v/>
      </c>
      <c r="CM10" s="13" t="str">
        <f t="shared" si="14"/>
        <v/>
      </c>
      <c r="CO10" s="33"/>
      <c r="CQ10" s="33"/>
      <c r="CS10" s="33"/>
      <c r="CU10" s="33"/>
      <c r="CW10" s="33"/>
      <c r="CX10" s="11" t="str">
        <f t="shared" si="15"/>
        <v/>
      </c>
      <c r="CY10" s="33"/>
      <c r="CZ10" s="33"/>
      <c r="DA10" s="33"/>
      <c r="DB10" s="33"/>
      <c r="DC10" s="33"/>
      <c r="DD10" s="33"/>
      <c r="DE10" s="33"/>
      <c r="DF10" s="33"/>
      <c r="DG10" s="12" t="str">
        <f t="shared" si="16"/>
        <v/>
      </c>
      <c r="DH10" s="13" t="str">
        <f t="shared" si="17"/>
        <v/>
      </c>
      <c r="DI10" s="3"/>
      <c r="DJ10" s="34"/>
      <c r="DK10" s="3"/>
      <c r="DL10" s="34"/>
      <c r="DM10" s="3"/>
      <c r="DN10" s="34"/>
      <c r="DO10" s="3"/>
      <c r="DP10" s="34"/>
      <c r="DQ10" s="3"/>
      <c r="DR10" s="34"/>
      <c r="DS10" s="5" t="str">
        <f t="shared" si="18"/>
        <v/>
      </c>
      <c r="DT10" s="34"/>
      <c r="DU10" s="34"/>
      <c r="DV10" s="34"/>
      <c r="DW10" s="34"/>
      <c r="DX10" s="34"/>
      <c r="DY10" s="34"/>
      <c r="DZ10" s="34"/>
      <c r="EA10" s="34"/>
      <c r="EB10" s="14" t="str">
        <f t="shared" si="19"/>
        <v/>
      </c>
      <c r="EC10" s="15" t="str">
        <f t="shared" si="20"/>
        <v/>
      </c>
    </row>
    <row r="11" spans="1:133" x14ac:dyDescent="0.3">
      <c r="A11" s="3">
        <v>3</v>
      </c>
      <c r="B11" s="4" t="s">
        <v>22</v>
      </c>
      <c r="C11" s="3">
        <v>15</v>
      </c>
      <c r="D11" s="3" t="s">
        <v>23</v>
      </c>
      <c r="E11" s="5" t="str">
        <f t="shared" si="0"/>
        <v/>
      </c>
      <c r="F11" s="10" t="str">
        <f t="shared" si="1"/>
        <v/>
      </c>
      <c r="G11" s="5" t="str">
        <f t="shared" si="2"/>
        <v/>
      </c>
      <c r="I11" s="33"/>
      <c r="K11" s="33"/>
      <c r="M11" s="33"/>
      <c r="O11" s="33"/>
      <c r="Q11" s="33"/>
      <c r="R11" s="11" t="str">
        <f t="shared" si="3"/>
        <v/>
      </c>
      <c r="S11" s="33"/>
      <c r="T11" s="33"/>
      <c r="U11" s="33"/>
      <c r="V11" s="33"/>
      <c r="W11" s="33"/>
      <c r="X11" s="33"/>
      <c r="Y11" s="33"/>
      <c r="Z11" s="33"/>
      <c r="AA11" s="12" t="str">
        <f t="shared" si="4"/>
        <v/>
      </c>
      <c r="AB11" s="13" t="str">
        <f t="shared" si="5"/>
        <v/>
      </c>
      <c r="AD11" s="33"/>
      <c r="AF11" s="33"/>
      <c r="AH11" s="33"/>
      <c r="AJ11" s="33"/>
      <c r="AL11" s="33"/>
      <c r="AM11" s="11" t="str">
        <f t="shared" si="6"/>
        <v/>
      </c>
      <c r="AN11" s="33"/>
      <c r="AO11" s="33"/>
      <c r="AP11" s="33"/>
      <c r="AQ11" s="33"/>
      <c r="AR11" s="33"/>
      <c r="AS11" s="33"/>
      <c r="AT11" s="33"/>
      <c r="AU11" s="33"/>
      <c r="AV11" s="12" t="str">
        <f t="shared" si="7"/>
        <v/>
      </c>
      <c r="AW11" s="13" t="str">
        <f t="shared" si="8"/>
        <v/>
      </c>
      <c r="AY11" s="33"/>
      <c r="BA11" s="33"/>
      <c r="BC11" s="33"/>
      <c r="BE11" s="33"/>
      <c r="BG11" s="33"/>
      <c r="BH11" s="11" t="str">
        <f t="shared" si="9"/>
        <v/>
      </c>
      <c r="BI11" s="33"/>
      <c r="BJ11" s="33"/>
      <c r="BK11" s="33"/>
      <c r="BL11" s="33"/>
      <c r="BM11" s="33"/>
      <c r="BN11" s="33"/>
      <c r="BO11" s="33"/>
      <c r="BP11" s="33"/>
      <c r="BQ11" s="12" t="str">
        <f t="shared" si="10"/>
        <v/>
      </c>
      <c r="BR11" s="13" t="str">
        <f t="shared" si="11"/>
        <v/>
      </c>
      <c r="BT11" s="33"/>
      <c r="BV11" s="33"/>
      <c r="BX11" s="33"/>
      <c r="BZ11" s="33"/>
      <c r="CB11" s="33"/>
      <c r="CC11" s="11" t="str">
        <f t="shared" si="12"/>
        <v/>
      </c>
      <c r="CD11" s="33"/>
      <c r="CE11" s="33"/>
      <c r="CF11" s="33"/>
      <c r="CG11" s="33"/>
      <c r="CH11" s="33"/>
      <c r="CI11" s="33"/>
      <c r="CJ11" s="33"/>
      <c r="CK11" s="33"/>
      <c r="CL11" s="12" t="str">
        <f t="shared" si="13"/>
        <v/>
      </c>
      <c r="CM11" s="13" t="str">
        <f t="shared" si="14"/>
        <v/>
      </c>
      <c r="CO11" s="33"/>
      <c r="CQ11" s="33"/>
      <c r="CS11" s="33"/>
      <c r="CU11" s="33"/>
      <c r="CW11" s="33"/>
      <c r="CX11" s="11" t="str">
        <f t="shared" si="15"/>
        <v/>
      </c>
      <c r="CY11" s="33"/>
      <c r="CZ11" s="33"/>
      <c r="DA11" s="33"/>
      <c r="DB11" s="33"/>
      <c r="DC11" s="33"/>
      <c r="DD11" s="33"/>
      <c r="DE11" s="33"/>
      <c r="DF11" s="33"/>
      <c r="DG11" s="12" t="str">
        <f t="shared" si="16"/>
        <v/>
      </c>
      <c r="DH11" s="13" t="str">
        <f t="shared" si="17"/>
        <v/>
      </c>
      <c r="DI11" s="3"/>
      <c r="DJ11" s="34"/>
      <c r="DK11" s="3"/>
      <c r="DL11" s="34"/>
      <c r="DM11" s="3"/>
      <c r="DN11" s="34"/>
      <c r="DO11" s="3"/>
      <c r="DP11" s="34"/>
      <c r="DQ11" s="3"/>
      <c r="DR11" s="34"/>
      <c r="DS11" s="5" t="str">
        <f t="shared" si="18"/>
        <v/>
      </c>
      <c r="DT11" s="34"/>
      <c r="DU11" s="34"/>
      <c r="DV11" s="34"/>
      <c r="DW11" s="34"/>
      <c r="DX11" s="34"/>
      <c r="DY11" s="34"/>
      <c r="DZ11" s="34"/>
      <c r="EA11" s="34"/>
      <c r="EB11" s="14" t="str">
        <f t="shared" si="19"/>
        <v/>
      </c>
      <c r="EC11" s="15" t="str">
        <f t="shared" si="20"/>
        <v/>
      </c>
    </row>
    <row r="12" spans="1:133" x14ac:dyDescent="0.3">
      <c r="A12" s="3">
        <v>4</v>
      </c>
      <c r="B12" s="4" t="s">
        <v>24</v>
      </c>
      <c r="C12" s="3">
        <v>16</v>
      </c>
      <c r="D12" s="3" t="s">
        <v>25</v>
      </c>
      <c r="E12" s="5" t="str">
        <f t="shared" si="0"/>
        <v/>
      </c>
      <c r="F12" s="10" t="str">
        <f t="shared" si="1"/>
        <v/>
      </c>
      <c r="G12" s="5" t="str">
        <f t="shared" si="2"/>
        <v/>
      </c>
      <c r="I12" s="33"/>
      <c r="K12" s="33"/>
      <c r="M12" s="33"/>
      <c r="O12" s="33"/>
      <c r="Q12" s="33"/>
      <c r="R12" s="11" t="str">
        <f t="shared" si="3"/>
        <v/>
      </c>
      <c r="S12" s="33"/>
      <c r="T12" s="33"/>
      <c r="U12" s="33"/>
      <c r="V12" s="33"/>
      <c r="W12" s="33"/>
      <c r="X12" s="33"/>
      <c r="Y12" s="33"/>
      <c r="Z12" s="33"/>
      <c r="AA12" s="12" t="str">
        <f t="shared" si="4"/>
        <v/>
      </c>
      <c r="AB12" s="13" t="str">
        <f t="shared" si="5"/>
        <v/>
      </c>
      <c r="AD12" s="33"/>
      <c r="AF12" s="33"/>
      <c r="AH12" s="33"/>
      <c r="AJ12" s="33"/>
      <c r="AL12" s="33"/>
      <c r="AM12" s="11" t="str">
        <f t="shared" si="6"/>
        <v/>
      </c>
      <c r="AN12" s="33"/>
      <c r="AO12" s="33"/>
      <c r="AP12" s="33"/>
      <c r="AQ12" s="33"/>
      <c r="AR12" s="33"/>
      <c r="AS12" s="33"/>
      <c r="AT12" s="33"/>
      <c r="AU12" s="33"/>
      <c r="AV12" s="12" t="str">
        <f t="shared" si="7"/>
        <v/>
      </c>
      <c r="AW12" s="13" t="str">
        <f t="shared" si="8"/>
        <v/>
      </c>
      <c r="AY12" s="33"/>
      <c r="BA12" s="33"/>
      <c r="BC12" s="33"/>
      <c r="BE12" s="33"/>
      <c r="BG12" s="33"/>
      <c r="BH12" s="11" t="str">
        <f t="shared" si="9"/>
        <v/>
      </c>
      <c r="BI12" s="33"/>
      <c r="BJ12" s="33"/>
      <c r="BK12" s="33"/>
      <c r="BL12" s="33"/>
      <c r="BM12" s="33"/>
      <c r="BN12" s="33"/>
      <c r="BO12" s="33"/>
      <c r="BP12" s="33"/>
      <c r="BQ12" s="12" t="str">
        <f t="shared" si="10"/>
        <v/>
      </c>
      <c r="BR12" s="13" t="str">
        <f t="shared" si="11"/>
        <v/>
      </c>
      <c r="BT12" s="33"/>
      <c r="BV12" s="33"/>
      <c r="BX12" s="33"/>
      <c r="BZ12" s="33"/>
      <c r="CB12" s="33"/>
      <c r="CC12" s="11" t="str">
        <f t="shared" si="12"/>
        <v/>
      </c>
      <c r="CD12" s="33"/>
      <c r="CE12" s="33"/>
      <c r="CF12" s="33"/>
      <c r="CG12" s="33"/>
      <c r="CH12" s="33"/>
      <c r="CI12" s="33"/>
      <c r="CJ12" s="33"/>
      <c r="CK12" s="33"/>
      <c r="CL12" s="12" t="str">
        <f t="shared" si="13"/>
        <v/>
      </c>
      <c r="CM12" s="13" t="str">
        <f t="shared" si="14"/>
        <v/>
      </c>
      <c r="CO12" s="33"/>
      <c r="CQ12" s="33"/>
      <c r="CS12" s="33"/>
      <c r="CU12" s="33"/>
      <c r="CW12" s="33"/>
      <c r="CX12" s="11" t="str">
        <f t="shared" si="15"/>
        <v/>
      </c>
      <c r="CY12" s="33"/>
      <c r="CZ12" s="33"/>
      <c r="DA12" s="33"/>
      <c r="DB12" s="33"/>
      <c r="DC12" s="33"/>
      <c r="DD12" s="33"/>
      <c r="DE12" s="33"/>
      <c r="DF12" s="33"/>
      <c r="DG12" s="12" t="str">
        <f t="shared" si="16"/>
        <v/>
      </c>
      <c r="DH12" s="13" t="str">
        <f t="shared" si="17"/>
        <v/>
      </c>
      <c r="DI12" s="3"/>
      <c r="DJ12" s="34"/>
      <c r="DK12" s="3"/>
      <c r="DL12" s="34"/>
      <c r="DM12" s="3"/>
      <c r="DN12" s="34"/>
      <c r="DO12" s="3"/>
      <c r="DP12" s="34"/>
      <c r="DQ12" s="3"/>
      <c r="DR12" s="34"/>
      <c r="DS12" s="5" t="str">
        <f t="shared" si="18"/>
        <v/>
      </c>
      <c r="DT12" s="34"/>
      <c r="DU12" s="34"/>
      <c r="DV12" s="34"/>
      <c r="DW12" s="34"/>
      <c r="DX12" s="34"/>
      <c r="DY12" s="34"/>
      <c r="DZ12" s="34"/>
      <c r="EA12" s="34"/>
      <c r="EB12" s="14" t="str">
        <f t="shared" si="19"/>
        <v/>
      </c>
      <c r="EC12" s="15" t="str">
        <f t="shared" si="20"/>
        <v/>
      </c>
    </row>
    <row r="13" spans="1:133" x14ac:dyDescent="0.3">
      <c r="A13" s="3">
        <v>5</v>
      </c>
      <c r="B13" s="4" t="s">
        <v>26</v>
      </c>
      <c r="C13" s="3">
        <v>17</v>
      </c>
      <c r="D13" s="3" t="s">
        <v>27</v>
      </c>
      <c r="E13" s="5" t="str">
        <f t="shared" si="0"/>
        <v/>
      </c>
      <c r="F13" s="10" t="str">
        <f t="shared" si="1"/>
        <v/>
      </c>
      <c r="G13" s="5" t="str">
        <f t="shared" si="2"/>
        <v/>
      </c>
      <c r="I13" s="33"/>
      <c r="K13" s="33"/>
      <c r="M13" s="33"/>
      <c r="O13" s="33"/>
      <c r="Q13" s="33"/>
      <c r="R13" s="11" t="str">
        <f t="shared" si="3"/>
        <v/>
      </c>
      <c r="S13" s="33"/>
      <c r="T13" s="33"/>
      <c r="U13" s="33"/>
      <c r="V13" s="33"/>
      <c r="W13" s="33"/>
      <c r="X13" s="33"/>
      <c r="Y13" s="33"/>
      <c r="Z13" s="33"/>
      <c r="AA13" s="12" t="str">
        <f t="shared" si="4"/>
        <v/>
      </c>
      <c r="AB13" s="13" t="str">
        <f t="shared" si="5"/>
        <v/>
      </c>
      <c r="AD13" s="33"/>
      <c r="AF13" s="33"/>
      <c r="AH13" s="33"/>
      <c r="AJ13" s="33"/>
      <c r="AL13" s="33"/>
      <c r="AM13" s="11" t="str">
        <f t="shared" si="6"/>
        <v/>
      </c>
      <c r="AN13" s="33"/>
      <c r="AO13" s="33"/>
      <c r="AP13" s="33"/>
      <c r="AQ13" s="33"/>
      <c r="AR13" s="33"/>
      <c r="AS13" s="33"/>
      <c r="AT13" s="33"/>
      <c r="AU13" s="33"/>
      <c r="AV13" s="12" t="str">
        <f t="shared" si="7"/>
        <v/>
      </c>
      <c r="AW13" s="13" t="str">
        <f t="shared" si="8"/>
        <v/>
      </c>
      <c r="AY13" s="33"/>
      <c r="BA13" s="33"/>
      <c r="BC13" s="33"/>
      <c r="BE13" s="33"/>
      <c r="BG13" s="33"/>
      <c r="BH13" s="11" t="str">
        <f t="shared" si="9"/>
        <v/>
      </c>
      <c r="BI13" s="33"/>
      <c r="BJ13" s="33"/>
      <c r="BK13" s="33"/>
      <c r="BL13" s="33"/>
      <c r="BM13" s="33"/>
      <c r="BN13" s="33"/>
      <c r="BO13" s="33"/>
      <c r="BP13" s="33"/>
      <c r="BQ13" s="12" t="str">
        <f t="shared" si="10"/>
        <v/>
      </c>
      <c r="BR13" s="13" t="str">
        <f t="shared" si="11"/>
        <v/>
      </c>
      <c r="BT13" s="33"/>
      <c r="BV13" s="33"/>
      <c r="BX13" s="33"/>
      <c r="BZ13" s="33"/>
      <c r="CB13" s="33"/>
      <c r="CC13" s="11" t="str">
        <f t="shared" si="12"/>
        <v/>
      </c>
      <c r="CD13" s="33"/>
      <c r="CE13" s="33"/>
      <c r="CF13" s="33"/>
      <c r="CG13" s="33"/>
      <c r="CH13" s="33"/>
      <c r="CI13" s="33"/>
      <c r="CJ13" s="33"/>
      <c r="CK13" s="33"/>
      <c r="CL13" s="12" t="str">
        <f t="shared" si="13"/>
        <v/>
      </c>
      <c r="CM13" s="13" t="str">
        <f t="shared" si="14"/>
        <v/>
      </c>
      <c r="CO13" s="33"/>
      <c r="CQ13" s="33"/>
      <c r="CS13" s="33"/>
      <c r="CU13" s="33"/>
      <c r="CW13" s="33"/>
      <c r="CX13" s="11" t="str">
        <f t="shared" si="15"/>
        <v/>
      </c>
      <c r="CY13" s="33"/>
      <c r="CZ13" s="33"/>
      <c r="DA13" s="33"/>
      <c r="DB13" s="33"/>
      <c r="DC13" s="33"/>
      <c r="DD13" s="33"/>
      <c r="DE13" s="33"/>
      <c r="DF13" s="33"/>
      <c r="DG13" s="12" t="str">
        <f t="shared" si="16"/>
        <v/>
      </c>
      <c r="DH13" s="13" t="str">
        <f t="shared" si="17"/>
        <v/>
      </c>
      <c r="DI13" s="3"/>
      <c r="DJ13" s="34"/>
      <c r="DK13" s="3"/>
      <c r="DL13" s="34"/>
      <c r="DM13" s="3"/>
      <c r="DN13" s="34"/>
      <c r="DO13" s="3"/>
      <c r="DP13" s="34"/>
      <c r="DQ13" s="3"/>
      <c r="DR13" s="34"/>
      <c r="DS13" s="5" t="str">
        <f t="shared" si="18"/>
        <v/>
      </c>
      <c r="DT13" s="34"/>
      <c r="DU13" s="34"/>
      <c r="DV13" s="34"/>
      <c r="DW13" s="34"/>
      <c r="DX13" s="34"/>
      <c r="DY13" s="34"/>
      <c r="DZ13" s="34"/>
      <c r="EA13" s="34"/>
      <c r="EB13" s="14" t="str">
        <f t="shared" si="19"/>
        <v/>
      </c>
      <c r="EC13" s="15" t="str">
        <f t="shared" si="20"/>
        <v/>
      </c>
    </row>
    <row r="14" spans="1:133" x14ac:dyDescent="0.3">
      <c r="A14" s="3">
        <v>6</v>
      </c>
      <c r="B14" s="4" t="s">
        <v>28</v>
      </c>
      <c r="C14" s="3">
        <v>18</v>
      </c>
      <c r="D14" s="3" t="s">
        <v>29</v>
      </c>
      <c r="E14" s="5" t="str">
        <f t="shared" si="0"/>
        <v/>
      </c>
      <c r="F14" s="10" t="str">
        <f t="shared" si="1"/>
        <v/>
      </c>
      <c r="G14" s="5" t="str">
        <f t="shared" si="2"/>
        <v/>
      </c>
      <c r="I14" s="33"/>
      <c r="K14" s="33"/>
      <c r="M14" s="33"/>
      <c r="O14" s="33"/>
      <c r="Q14" s="33"/>
      <c r="R14" s="11" t="str">
        <f t="shared" si="3"/>
        <v/>
      </c>
      <c r="S14" s="33"/>
      <c r="T14" s="33"/>
      <c r="U14" s="33"/>
      <c r="V14" s="33"/>
      <c r="W14" s="33"/>
      <c r="X14" s="33"/>
      <c r="Y14" s="33"/>
      <c r="Z14" s="33"/>
      <c r="AA14" s="12" t="str">
        <f t="shared" si="4"/>
        <v/>
      </c>
      <c r="AB14" s="13" t="str">
        <f t="shared" si="5"/>
        <v/>
      </c>
      <c r="AD14" s="33"/>
      <c r="AF14" s="33"/>
      <c r="AH14" s="33"/>
      <c r="AJ14" s="33"/>
      <c r="AL14" s="33"/>
      <c r="AM14" s="11" t="str">
        <f t="shared" si="6"/>
        <v/>
      </c>
      <c r="AN14" s="33"/>
      <c r="AO14" s="33"/>
      <c r="AP14" s="33"/>
      <c r="AQ14" s="33"/>
      <c r="AR14" s="33"/>
      <c r="AS14" s="33"/>
      <c r="AT14" s="33"/>
      <c r="AU14" s="33"/>
      <c r="AV14" s="12" t="str">
        <f t="shared" si="7"/>
        <v/>
      </c>
      <c r="AW14" s="13" t="str">
        <f t="shared" si="8"/>
        <v/>
      </c>
      <c r="AY14" s="33"/>
      <c r="BA14" s="33"/>
      <c r="BC14" s="33"/>
      <c r="BE14" s="33"/>
      <c r="BG14" s="33"/>
      <c r="BH14" s="11" t="str">
        <f t="shared" si="9"/>
        <v/>
      </c>
      <c r="BI14" s="33"/>
      <c r="BJ14" s="33"/>
      <c r="BK14" s="33"/>
      <c r="BL14" s="33"/>
      <c r="BM14" s="33"/>
      <c r="BN14" s="33"/>
      <c r="BO14" s="33"/>
      <c r="BP14" s="33"/>
      <c r="BQ14" s="12" t="str">
        <f t="shared" si="10"/>
        <v/>
      </c>
      <c r="BR14" s="13" t="str">
        <f t="shared" si="11"/>
        <v/>
      </c>
      <c r="BT14" s="33"/>
      <c r="BV14" s="33"/>
      <c r="BX14" s="33"/>
      <c r="BZ14" s="33"/>
      <c r="CB14" s="33"/>
      <c r="CC14" s="11" t="str">
        <f t="shared" si="12"/>
        <v/>
      </c>
      <c r="CD14" s="33"/>
      <c r="CE14" s="33"/>
      <c r="CF14" s="33"/>
      <c r="CG14" s="33"/>
      <c r="CH14" s="33"/>
      <c r="CI14" s="33"/>
      <c r="CJ14" s="33"/>
      <c r="CK14" s="33"/>
      <c r="CL14" s="12" t="str">
        <f t="shared" si="13"/>
        <v/>
      </c>
      <c r="CM14" s="13" t="str">
        <f t="shared" si="14"/>
        <v/>
      </c>
      <c r="CO14" s="33"/>
      <c r="CQ14" s="33"/>
      <c r="CS14" s="33"/>
      <c r="CU14" s="33"/>
      <c r="CW14" s="33"/>
      <c r="CX14" s="11" t="str">
        <f t="shared" si="15"/>
        <v/>
      </c>
      <c r="CY14" s="33"/>
      <c r="CZ14" s="33"/>
      <c r="DA14" s="33"/>
      <c r="DB14" s="33"/>
      <c r="DC14" s="33"/>
      <c r="DD14" s="33"/>
      <c r="DE14" s="33"/>
      <c r="DF14" s="33"/>
      <c r="DG14" s="12" t="str">
        <f t="shared" si="16"/>
        <v/>
      </c>
      <c r="DH14" s="13" t="str">
        <f t="shared" si="17"/>
        <v/>
      </c>
      <c r="DI14" s="3"/>
      <c r="DJ14" s="34"/>
      <c r="DK14" s="3"/>
      <c r="DL14" s="34"/>
      <c r="DM14" s="3"/>
      <c r="DN14" s="34"/>
      <c r="DO14" s="3"/>
      <c r="DP14" s="34"/>
      <c r="DQ14" s="3"/>
      <c r="DR14" s="34"/>
      <c r="DS14" s="5" t="str">
        <f t="shared" si="18"/>
        <v/>
      </c>
      <c r="DT14" s="34"/>
      <c r="DU14" s="34"/>
      <c r="DV14" s="34"/>
      <c r="DW14" s="34"/>
      <c r="DX14" s="34"/>
      <c r="DY14" s="34"/>
      <c r="DZ14" s="34"/>
      <c r="EA14" s="34"/>
      <c r="EB14" s="14" t="str">
        <f t="shared" si="19"/>
        <v/>
      </c>
      <c r="EC14" s="15" t="str">
        <f t="shared" si="20"/>
        <v/>
      </c>
    </row>
    <row r="15" spans="1:133" x14ac:dyDescent="0.3">
      <c r="A15" s="3">
        <v>7</v>
      </c>
      <c r="B15" s="4" t="s">
        <v>30</v>
      </c>
      <c r="C15" s="3">
        <v>19</v>
      </c>
      <c r="D15" s="3" t="s">
        <v>31</v>
      </c>
      <c r="E15" s="5" t="str">
        <f t="shared" si="0"/>
        <v/>
      </c>
      <c r="F15" s="10" t="str">
        <f t="shared" si="1"/>
        <v/>
      </c>
      <c r="G15" s="5" t="str">
        <f t="shared" si="2"/>
        <v/>
      </c>
      <c r="I15" s="33"/>
      <c r="K15" s="33"/>
      <c r="M15" s="33"/>
      <c r="O15" s="33"/>
      <c r="Q15" s="33"/>
      <c r="R15" s="11" t="str">
        <f t="shared" si="3"/>
        <v/>
      </c>
      <c r="S15" s="33"/>
      <c r="T15" s="33"/>
      <c r="U15" s="33"/>
      <c r="V15" s="33"/>
      <c r="W15" s="33"/>
      <c r="X15" s="33"/>
      <c r="Y15" s="33"/>
      <c r="Z15" s="33"/>
      <c r="AA15" s="12" t="str">
        <f t="shared" si="4"/>
        <v/>
      </c>
      <c r="AB15" s="13" t="str">
        <f t="shared" si="5"/>
        <v/>
      </c>
      <c r="AD15" s="33"/>
      <c r="AF15" s="33"/>
      <c r="AH15" s="33"/>
      <c r="AJ15" s="33"/>
      <c r="AL15" s="33"/>
      <c r="AM15" s="11" t="str">
        <f t="shared" si="6"/>
        <v/>
      </c>
      <c r="AN15" s="33"/>
      <c r="AO15" s="33"/>
      <c r="AP15" s="33"/>
      <c r="AQ15" s="33"/>
      <c r="AR15" s="33"/>
      <c r="AS15" s="33"/>
      <c r="AT15" s="33"/>
      <c r="AU15" s="33"/>
      <c r="AV15" s="12" t="str">
        <f t="shared" si="7"/>
        <v/>
      </c>
      <c r="AW15" s="13" t="str">
        <f t="shared" si="8"/>
        <v/>
      </c>
      <c r="AY15" s="33"/>
      <c r="BA15" s="33"/>
      <c r="BC15" s="33"/>
      <c r="BE15" s="33"/>
      <c r="BG15" s="33"/>
      <c r="BH15" s="11" t="str">
        <f t="shared" si="9"/>
        <v/>
      </c>
      <c r="BI15" s="33"/>
      <c r="BJ15" s="33"/>
      <c r="BK15" s="33"/>
      <c r="BL15" s="33"/>
      <c r="BM15" s="33"/>
      <c r="BN15" s="33"/>
      <c r="BO15" s="33"/>
      <c r="BP15" s="33"/>
      <c r="BQ15" s="12" t="str">
        <f t="shared" si="10"/>
        <v/>
      </c>
      <c r="BR15" s="13" t="str">
        <f t="shared" si="11"/>
        <v/>
      </c>
      <c r="BT15" s="33"/>
      <c r="BV15" s="33"/>
      <c r="BX15" s="33"/>
      <c r="BZ15" s="33"/>
      <c r="CB15" s="33"/>
      <c r="CC15" s="11" t="str">
        <f t="shared" si="12"/>
        <v/>
      </c>
      <c r="CD15" s="33"/>
      <c r="CE15" s="33"/>
      <c r="CF15" s="33"/>
      <c r="CG15" s="33"/>
      <c r="CH15" s="33"/>
      <c r="CI15" s="33"/>
      <c r="CJ15" s="33"/>
      <c r="CK15" s="33"/>
      <c r="CL15" s="12" t="str">
        <f t="shared" si="13"/>
        <v/>
      </c>
      <c r="CM15" s="13" t="str">
        <f t="shared" si="14"/>
        <v/>
      </c>
      <c r="CO15" s="33"/>
      <c r="CQ15" s="33"/>
      <c r="CS15" s="33"/>
      <c r="CU15" s="33"/>
      <c r="CW15" s="33"/>
      <c r="CX15" s="11" t="str">
        <f t="shared" si="15"/>
        <v/>
      </c>
      <c r="CY15" s="33"/>
      <c r="CZ15" s="33"/>
      <c r="DA15" s="33"/>
      <c r="DB15" s="33"/>
      <c r="DC15" s="33"/>
      <c r="DD15" s="33"/>
      <c r="DE15" s="33"/>
      <c r="DF15" s="33"/>
      <c r="DG15" s="12" t="str">
        <f t="shared" si="16"/>
        <v/>
      </c>
      <c r="DH15" s="13" t="str">
        <f t="shared" si="17"/>
        <v/>
      </c>
      <c r="DI15" s="3"/>
      <c r="DJ15" s="34"/>
      <c r="DK15" s="3"/>
      <c r="DL15" s="34"/>
      <c r="DM15" s="3"/>
      <c r="DN15" s="34"/>
      <c r="DO15" s="3"/>
      <c r="DP15" s="34"/>
      <c r="DQ15" s="3"/>
      <c r="DR15" s="34"/>
      <c r="DS15" s="5" t="str">
        <f t="shared" si="18"/>
        <v/>
      </c>
      <c r="DT15" s="34"/>
      <c r="DU15" s="34"/>
      <c r="DV15" s="34"/>
      <c r="DW15" s="34"/>
      <c r="DX15" s="34"/>
      <c r="DY15" s="34"/>
      <c r="DZ15" s="34"/>
      <c r="EA15" s="34"/>
      <c r="EB15" s="14" t="str">
        <f t="shared" si="19"/>
        <v/>
      </c>
      <c r="EC15" s="15" t="str">
        <f t="shared" si="20"/>
        <v/>
      </c>
    </row>
    <row r="16" spans="1:133" x14ac:dyDescent="0.3">
      <c r="A16" s="3">
        <v>8</v>
      </c>
      <c r="B16" s="4" t="s">
        <v>32</v>
      </c>
      <c r="C16" s="3">
        <v>20</v>
      </c>
      <c r="D16" s="3" t="s">
        <v>33</v>
      </c>
      <c r="E16" s="5" t="str">
        <f t="shared" si="0"/>
        <v/>
      </c>
      <c r="F16" s="10" t="str">
        <f t="shared" si="1"/>
        <v/>
      </c>
      <c r="G16" s="5" t="str">
        <f t="shared" si="2"/>
        <v/>
      </c>
      <c r="I16" s="33"/>
      <c r="K16" s="33"/>
      <c r="M16" s="33"/>
      <c r="O16" s="33"/>
      <c r="Q16" s="33"/>
      <c r="R16" s="11" t="str">
        <f t="shared" si="3"/>
        <v/>
      </c>
      <c r="S16" s="33"/>
      <c r="T16" s="33"/>
      <c r="U16" s="33"/>
      <c r="V16" s="33"/>
      <c r="W16" s="33"/>
      <c r="X16" s="33"/>
      <c r="Y16" s="33"/>
      <c r="Z16" s="33"/>
      <c r="AA16" s="12" t="str">
        <f t="shared" si="4"/>
        <v/>
      </c>
      <c r="AB16" s="13" t="str">
        <f t="shared" si="5"/>
        <v/>
      </c>
      <c r="AD16" s="33"/>
      <c r="AF16" s="33"/>
      <c r="AH16" s="33"/>
      <c r="AJ16" s="33"/>
      <c r="AL16" s="33"/>
      <c r="AM16" s="11" t="str">
        <f t="shared" si="6"/>
        <v/>
      </c>
      <c r="AN16" s="33"/>
      <c r="AO16" s="33"/>
      <c r="AP16" s="33"/>
      <c r="AQ16" s="33"/>
      <c r="AR16" s="33"/>
      <c r="AS16" s="33"/>
      <c r="AT16" s="33"/>
      <c r="AU16" s="33"/>
      <c r="AV16" s="12" t="str">
        <f t="shared" si="7"/>
        <v/>
      </c>
      <c r="AW16" s="13" t="str">
        <f t="shared" si="8"/>
        <v/>
      </c>
      <c r="AY16" s="33"/>
      <c r="BA16" s="33"/>
      <c r="BC16" s="33"/>
      <c r="BE16" s="33"/>
      <c r="BG16" s="33"/>
      <c r="BH16" s="11" t="str">
        <f t="shared" si="9"/>
        <v/>
      </c>
      <c r="BI16" s="33"/>
      <c r="BJ16" s="33"/>
      <c r="BK16" s="33"/>
      <c r="BL16" s="33"/>
      <c r="BM16" s="33"/>
      <c r="BN16" s="33"/>
      <c r="BO16" s="33"/>
      <c r="BP16" s="33"/>
      <c r="BQ16" s="12" t="str">
        <f t="shared" si="10"/>
        <v/>
      </c>
      <c r="BR16" s="13" t="str">
        <f t="shared" si="11"/>
        <v/>
      </c>
      <c r="BT16" s="33"/>
      <c r="BV16" s="33"/>
      <c r="BX16" s="33"/>
      <c r="BZ16" s="33"/>
      <c r="CB16" s="33"/>
      <c r="CC16" s="11" t="str">
        <f t="shared" si="12"/>
        <v/>
      </c>
      <c r="CD16" s="33"/>
      <c r="CE16" s="33"/>
      <c r="CF16" s="33"/>
      <c r="CG16" s="33"/>
      <c r="CH16" s="33"/>
      <c r="CI16" s="33"/>
      <c r="CJ16" s="33"/>
      <c r="CK16" s="33"/>
      <c r="CL16" s="12" t="str">
        <f t="shared" si="13"/>
        <v/>
      </c>
      <c r="CM16" s="13" t="str">
        <f t="shared" si="14"/>
        <v/>
      </c>
      <c r="CO16" s="33"/>
      <c r="CQ16" s="33"/>
      <c r="CS16" s="33"/>
      <c r="CU16" s="33"/>
      <c r="CW16" s="33"/>
      <c r="CX16" s="11" t="str">
        <f t="shared" si="15"/>
        <v/>
      </c>
      <c r="CY16" s="33"/>
      <c r="CZ16" s="33"/>
      <c r="DA16" s="33"/>
      <c r="DB16" s="33"/>
      <c r="DC16" s="33"/>
      <c r="DD16" s="33"/>
      <c r="DE16" s="33"/>
      <c r="DF16" s="33"/>
      <c r="DG16" s="12" t="str">
        <f t="shared" si="16"/>
        <v/>
      </c>
      <c r="DH16" s="13" t="str">
        <f t="shared" si="17"/>
        <v/>
      </c>
      <c r="DI16" s="3"/>
      <c r="DJ16" s="34"/>
      <c r="DK16" s="3"/>
      <c r="DL16" s="34"/>
      <c r="DM16" s="3"/>
      <c r="DN16" s="34"/>
      <c r="DO16" s="3"/>
      <c r="DP16" s="34"/>
      <c r="DQ16" s="3"/>
      <c r="DR16" s="34"/>
      <c r="DS16" s="5" t="str">
        <f t="shared" si="18"/>
        <v/>
      </c>
      <c r="DT16" s="34"/>
      <c r="DU16" s="34"/>
      <c r="DV16" s="34"/>
      <c r="DW16" s="34"/>
      <c r="DX16" s="34"/>
      <c r="DY16" s="34"/>
      <c r="DZ16" s="34"/>
      <c r="EA16" s="34"/>
      <c r="EB16" s="14" t="str">
        <f t="shared" si="19"/>
        <v/>
      </c>
      <c r="EC16" s="15" t="str">
        <f t="shared" si="20"/>
        <v/>
      </c>
    </row>
    <row r="17" spans="1:133" x14ac:dyDescent="0.3">
      <c r="A17" s="3">
        <v>9</v>
      </c>
      <c r="B17" s="4" t="s">
        <v>34</v>
      </c>
      <c r="C17" s="3">
        <v>21</v>
      </c>
      <c r="D17" s="3" t="s">
        <v>35</v>
      </c>
      <c r="E17" s="5" t="str">
        <f t="shared" si="0"/>
        <v/>
      </c>
      <c r="F17" s="10" t="str">
        <f t="shared" si="1"/>
        <v/>
      </c>
      <c r="G17" s="5" t="str">
        <f t="shared" si="2"/>
        <v/>
      </c>
      <c r="I17" s="33"/>
      <c r="K17" s="33"/>
      <c r="M17" s="33"/>
      <c r="O17" s="33"/>
      <c r="Q17" s="33"/>
      <c r="R17" s="11" t="str">
        <f t="shared" si="3"/>
        <v/>
      </c>
      <c r="S17" s="33"/>
      <c r="T17" s="33"/>
      <c r="U17" s="33"/>
      <c r="V17" s="33"/>
      <c r="W17" s="33"/>
      <c r="X17" s="33"/>
      <c r="Y17" s="33"/>
      <c r="Z17" s="33"/>
      <c r="AA17" s="12" t="str">
        <f t="shared" si="4"/>
        <v/>
      </c>
      <c r="AB17" s="13" t="str">
        <f t="shared" si="5"/>
        <v/>
      </c>
      <c r="AD17" s="33"/>
      <c r="AF17" s="33"/>
      <c r="AH17" s="33"/>
      <c r="AJ17" s="33"/>
      <c r="AL17" s="33"/>
      <c r="AM17" s="11" t="str">
        <f t="shared" si="6"/>
        <v/>
      </c>
      <c r="AN17" s="33"/>
      <c r="AO17" s="33"/>
      <c r="AP17" s="33"/>
      <c r="AQ17" s="33"/>
      <c r="AR17" s="33"/>
      <c r="AS17" s="33"/>
      <c r="AT17" s="33"/>
      <c r="AU17" s="33"/>
      <c r="AV17" s="12" t="str">
        <f t="shared" si="7"/>
        <v/>
      </c>
      <c r="AW17" s="13" t="str">
        <f t="shared" si="8"/>
        <v/>
      </c>
      <c r="AY17" s="33"/>
      <c r="BA17" s="33"/>
      <c r="BC17" s="33"/>
      <c r="BE17" s="33"/>
      <c r="BG17" s="33"/>
      <c r="BH17" s="11" t="str">
        <f t="shared" si="9"/>
        <v/>
      </c>
      <c r="BI17" s="33"/>
      <c r="BJ17" s="33"/>
      <c r="BK17" s="33"/>
      <c r="BL17" s="33"/>
      <c r="BM17" s="33"/>
      <c r="BN17" s="33"/>
      <c r="BO17" s="33"/>
      <c r="BP17" s="33"/>
      <c r="BQ17" s="12" t="str">
        <f t="shared" si="10"/>
        <v/>
      </c>
      <c r="BR17" s="13" t="str">
        <f t="shared" si="11"/>
        <v/>
      </c>
      <c r="BT17" s="33"/>
      <c r="BV17" s="33"/>
      <c r="BX17" s="33"/>
      <c r="BZ17" s="33"/>
      <c r="CB17" s="33"/>
      <c r="CC17" s="11" t="str">
        <f t="shared" si="12"/>
        <v/>
      </c>
      <c r="CD17" s="33"/>
      <c r="CE17" s="33"/>
      <c r="CF17" s="33"/>
      <c r="CG17" s="33"/>
      <c r="CH17" s="33"/>
      <c r="CI17" s="33"/>
      <c r="CJ17" s="33"/>
      <c r="CK17" s="33"/>
      <c r="CL17" s="12" t="str">
        <f t="shared" si="13"/>
        <v/>
      </c>
      <c r="CM17" s="13" t="str">
        <f t="shared" si="14"/>
        <v/>
      </c>
      <c r="CO17" s="33"/>
      <c r="CQ17" s="33"/>
      <c r="CS17" s="33"/>
      <c r="CU17" s="33"/>
      <c r="CW17" s="33"/>
      <c r="CX17" s="11" t="str">
        <f t="shared" si="15"/>
        <v/>
      </c>
      <c r="CY17" s="33"/>
      <c r="CZ17" s="33"/>
      <c r="DA17" s="33"/>
      <c r="DB17" s="33"/>
      <c r="DC17" s="33"/>
      <c r="DD17" s="33"/>
      <c r="DE17" s="33"/>
      <c r="DF17" s="33"/>
      <c r="DG17" s="12" t="str">
        <f t="shared" si="16"/>
        <v/>
      </c>
      <c r="DH17" s="13" t="str">
        <f t="shared" si="17"/>
        <v/>
      </c>
      <c r="DI17" s="3"/>
      <c r="DJ17" s="34"/>
      <c r="DK17" s="3"/>
      <c r="DL17" s="34"/>
      <c r="DM17" s="3"/>
      <c r="DN17" s="34"/>
      <c r="DO17" s="3"/>
      <c r="DP17" s="34"/>
      <c r="DQ17" s="3"/>
      <c r="DR17" s="34"/>
      <c r="DS17" s="5" t="str">
        <f t="shared" si="18"/>
        <v/>
      </c>
      <c r="DT17" s="34"/>
      <c r="DU17" s="34"/>
      <c r="DV17" s="34"/>
      <c r="DW17" s="34"/>
      <c r="DX17" s="34"/>
      <c r="DY17" s="34"/>
      <c r="DZ17" s="34"/>
      <c r="EA17" s="34"/>
      <c r="EB17" s="14" t="str">
        <f t="shared" si="19"/>
        <v/>
      </c>
      <c r="EC17" s="15" t="str">
        <f t="shared" si="20"/>
        <v/>
      </c>
    </row>
    <row r="18" spans="1:133" x14ac:dyDescent="0.3">
      <c r="A18" s="3">
        <v>10</v>
      </c>
      <c r="B18" s="4" t="s">
        <v>36</v>
      </c>
      <c r="C18" s="3">
        <v>22</v>
      </c>
      <c r="D18" s="3" t="s">
        <v>37</v>
      </c>
      <c r="E18" s="5" t="str">
        <f t="shared" si="0"/>
        <v/>
      </c>
      <c r="F18" s="10" t="str">
        <f t="shared" si="1"/>
        <v/>
      </c>
      <c r="G18" s="5" t="str">
        <f t="shared" si="2"/>
        <v/>
      </c>
      <c r="I18" s="33"/>
      <c r="K18" s="33"/>
      <c r="M18" s="33"/>
      <c r="O18" s="33"/>
      <c r="Q18" s="33"/>
      <c r="R18" s="11" t="str">
        <f t="shared" si="3"/>
        <v/>
      </c>
      <c r="S18" s="33"/>
      <c r="T18" s="33"/>
      <c r="U18" s="33"/>
      <c r="V18" s="33"/>
      <c r="W18" s="33"/>
      <c r="X18" s="33"/>
      <c r="Y18" s="33"/>
      <c r="Z18" s="33"/>
      <c r="AA18" s="12" t="str">
        <f t="shared" si="4"/>
        <v/>
      </c>
      <c r="AB18" s="13" t="str">
        <f t="shared" si="5"/>
        <v/>
      </c>
      <c r="AD18" s="33"/>
      <c r="AF18" s="33"/>
      <c r="AH18" s="33"/>
      <c r="AJ18" s="33"/>
      <c r="AL18" s="33"/>
      <c r="AM18" s="11" t="str">
        <f t="shared" si="6"/>
        <v/>
      </c>
      <c r="AN18" s="33"/>
      <c r="AO18" s="33"/>
      <c r="AP18" s="33"/>
      <c r="AQ18" s="33"/>
      <c r="AR18" s="33"/>
      <c r="AS18" s="33"/>
      <c r="AT18" s="33"/>
      <c r="AU18" s="33"/>
      <c r="AV18" s="12" t="str">
        <f t="shared" si="7"/>
        <v/>
      </c>
      <c r="AW18" s="13" t="str">
        <f t="shared" si="8"/>
        <v/>
      </c>
      <c r="AY18" s="33"/>
      <c r="BA18" s="33"/>
      <c r="BC18" s="33"/>
      <c r="BE18" s="33"/>
      <c r="BG18" s="33"/>
      <c r="BH18" s="11" t="str">
        <f t="shared" si="9"/>
        <v/>
      </c>
      <c r="BI18" s="33"/>
      <c r="BJ18" s="33"/>
      <c r="BK18" s="33"/>
      <c r="BL18" s="33"/>
      <c r="BM18" s="33"/>
      <c r="BN18" s="33"/>
      <c r="BO18" s="33"/>
      <c r="BP18" s="33"/>
      <c r="BQ18" s="12" t="str">
        <f t="shared" si="10"/>
        <v/>
      </c>
      <c r="BR18" s="13" t="str">
        <f t="shared" si="11"/>
        <v/>
      </c>
      <c r="BT18" s="33"/>
      <c r="BV18" s="33"/>
      <c r="BX18" s="33"/>
      <c r="BZ18" s="33"/>
      <c r="CB18" s="33"/>
      <c r="CC18" s="11" t="str">
        <f t="shared" si="12"/>
        <v/>
      </c>
      <c r="CD18" s="33"/>
      <c r="CE18" s="33"/>
      <c r="CF18" s="33"/>
      <c r="CG18" s="33"/>
      <c r="CH18" s="33"/>
      <c r="CI18" s="33"/>
      <c r="CJ18" s="33"/>
      <c r="CK18" s="33"/>
      <c r="CL18" s="12" t="str">
        <f t="shared" si="13"/>
        <v/>
      </c>
      <c r="CM18" s="13" t="str">
        <f t="shared" si="14"/>
        <v/>
      </c>
      <c r="CO18" s="33"/>
      <c r="CQ18" s="33"/>
      <c r="CS18" s="33"/>
      <c r="CU18" s="33"/>
      <c r="CW18" s="33"/>
      <c r="CX18" s="11" t="str">
        <f t="shared" si="15"/>
        <v/>
      </c>
      <c r="CY18" s="33"/>
      <c r="CZ18" s="33"/>
      <c r="DA18" s="33"/>
      <c r="DB18" s="33"/>
      <c r="DC18" s="33"/>
      <c r="DD18" s="33"/>
      <c r="DE18" s="33"/>
      <c r="DF18" s="33"/>
      <c r="DG18" s="12" t="str">
        <f t="shared" si="16"/>
        <v/>
      </c>
      <c r="DH18" s="13" t="str">
        <f t="shared" si="17"/>
        <v/>
      </c>
      <c r="DI18" s="3"/>
      <c r="DJ18" s="34"/>
      <c r="DK18" s="3"/>
      <c r="DL18" s="34"/>
      <c r="DM18" s="3"/>
      <c r="DN18" s="34"/>
      <c r="DO18" s="3"/>
      <c r="DP18" s="34"/>
      <c r="DQ18" s="3"/>
      <c r="DR18" s="34"/>
      <c r="DS18" s="5" t="str">
        <f t="shared" si="18"/>
        <v/>
      </c>
      <c r="DT18" s="34"/>
      <c r="DU18" s="34"/>
      <c r="DV18" s="34"/>
      <c r="DW18" s="34"/>
      <c r="DX18" s="34"/>
      <c r="DY18" s="34"/>
      <c r="DZ18" s="34"/>
      <c r="EA18" s="34"/>
      <c r="EB18" s="14" t="str">
        <f t="shared" si="19"/>
        <v/>
      </c>
      <c r="EC18" s="15" t="str">
        <f t="shared" si="20"/>
        <v/>
      </c>
    </row>
    <row r="19" spans="1:133" x14ac:dyDescent="0.3">
      <c r="A19" s="3">
        <v>11</v>
      </c>
      <c r="B19" s="4" t="s">
        <v>38</v>
      </c>
      <c r="C19" s="3">
        <v>23</v>
      </c>
      <c r="D19" s="3" t="s">
        <v>39</v>
      </c>
      <c r="E19" s="5" t="str">
        <f t="shared" si="0"/>
        <v/>
      </c>
      <c r="F19" s="10" t="str">
        <f t="shared" si="1"/>
        <v/>
      </c>
      <c r="G19" s="5" t="str">
        <f t="shared" si="2"/>
        <v/>
      </c>
      <c r="I19" s="33"/>
      <c r="K19" s="33"/>
      <c r="M19" s="33"/>
      <c r="O19" s="33"/>
      <c r="Q19" s="33"/>
      <c r="R19" s="11" t="str">
        <f t="shared" si="3"/>
        <v/>
      </c>
      <c r="S19" s="33"/>
      <c r="T19" s="33"/>
      <c r="U19" s="33"/>
      <c r="V19" s="33"/>
      <c r="W19" s="33"/>
      <c r="X19" s="33"/>
      <c r="Y19" s="33"/>
      <c r="Z19" s="33"/>
      <c r="AA19" s="12" t="str">
        <f t="shared" si="4"/>
        <v/>
      </c>
      <c r="AB19" s="13" t="str">
        <f t="shared" si="5"/>
        <v/>
      </c>
      <c r="AD19" s="33"/>
      <c r="AF19" s="33"/>
      <c r="AH19" s="33"/>
      <c r="AJ19" s="33"/>
      <c r="AL19" s="33"/>
      <c r="AM19" s="11" t="str">
        <f t="shared" si="6"/>
        <v/>
      </c>
      <c r="AN19" s="33"/>
      <c r="AO19" s="33"/>
      <c r="AP19" s="33"/>
      <c r="AQ19" s="33"/>
      <c r="AR19" s="33"/>
      <c r="AS19" s="33"/>
      <c r="AT19" s="33"/>
      <c r="AU19" s="33"/>
      <c r="AV19" s="12" t="str">
        <f t="shared" si="7"/>
        <v/>
      </c>
      <c r="AW19" s="13" t="str">
        <f t="shared" si="8"/>
        <v/>
      </c>
      <c r="AY19" s="33"/>
      <c r="BA19" s="33"/>
      <c r="BC19" s="33"/>
      <c r="BE19" s="33"/>
      <c r="BG19" s="33"/>
      <c r="BH19" s="11" t="str">
        <f t="shared" si="9"/>
        <v/>
      </c>
      <c r="BI19" s="33"/>
      <c r="BJ19" s="33"/>
      <c r="BK19" s="33"/>
      <c r="BL19" s="33"/>
      <c r="BM19" s="33"/>
      <c r="BN19" s="33"/>
      <c r="BO19" s="33"/>
      <c r="BP19" s="33"/>
      <c r="BQ19" s="12" t="str">
        <f t="shared" si="10"/>
        <v/>
      </c>
      <c r="BR19" s="13" t="str">
        <f t="shared" si="11"/>
        <v/>
      </c>
      <c r="BT19" s="33"/>
      <c r="BV19" s="33"/>
      <c r="BX19" s="33"/>
      <c r="BZ19" s="33"/>
      <c r="CB19" s="33"/>
      <c r="CC19" s="11" t="str">
        <f t="shared" si="12"/>
        <v/>
      </c>
      <c r="CD19" s="33"/>
      <c r="CE19" s="33"/>
      <c r="CF19" s="33"/>
      <c r="CG19" s="33"/>
      <c r="CH19" s="33"/>
      <c r="CI19" s="33"/>
      <c r="CJ19" s="33"/>
      <c r="CK19" s="33"/>
      <c r="CL19" s="12" t="str">
        <f t="shared" si="13"/>
        <v/>
      </c>
      <c r="CM19" s="13" t="str">
        <f t="shared" si="14"/>
        <v/>
      </c>
      <c r="CO19" s="33"/>
      <c r="CQ19" s="33"/>
      <c r="CS19" s="33"/>
      <c r="CU19" s="33"/>
      <c r="CW19" s="33"/>
      <c r="CX19" s="11" t="str">
        <f t="shared" si="15"/>
        <v/>
      </c>
      <c r="CY19" s="33"/>
      <c r="CZ19" s="33"/>
      <c r="DA19" s="33"/>
      <c r="DB19" s="33"/>
      <c r="DC19" s="33"/>
      <c r="DD19" s="33"/>
      <c r="DE19" s="33"/>
      <c r="DF19" s="33"/>
      <c r="DG19" s="12" t="str">
        <f t="shared" si="16"/>
        <v/>
      </c>
      <c r="DH19" s="13" t="str">
        <f t="shared" si="17"/>
        <v/>
      </c>
      <c r="DI19" s="3"/>
      <c r="DJ19" s="34"/>
      <c r="DK19" s="3"/>
      <c r="DL19" s="34"/>
      <c r="DM19" s="3"/>
      <c r="DN19" s="34"/>
      <c r="DO19" s="3"/>
      <c r="DP19" s="34"/>
      <c r="DQ19" s="3"/>
      <c r="DR19" s="34"/>
      <c r="DS19" s="5" t="str">
        <f t="shared" si="18"/>
        <v/>
      </c>
      <c r="DT19" s="34"/>
      <c r="DU19" s="34"/>
      <c r="DV19" s="34"/>
      <c r="DW19" s="34"/>
      <c r="DX19" s="34"/>
      <c r="DY19" s="34"/>
      <c r="DZ19" s="34"/>
      <c r="EA19" s="34"/>
      <c r="EB19" s="14" t="str">
        <f t="shared" si="19"/>
        <v/>
      </c>
      <c r="EC19" s="15" t="str">
        <f t="shared" si="20"/>
        <v/>
      </c>
    </row>
    <row r="20" spans="1:133" x14ac:dyDescent="0.3">
      <c r="A20" s="3">
        <v>12</v>
      </c>
      <c r="B20" s="4" t="s">
        <v>40</v>
      </c>
      <c r="C20" s="3">
        <v>24</v>
      </c>
      <c r="D20" s="3" t="s">
        <v>41</v>
      </c>
      <c r="E20" s="5" t="str">
        <f t="shared" si="0"/>
        <v/>
      </c>
      <c r="F20" s="10" t="str">
        <f t="shared" si="1"/>
        <v/>
      </c>
      <c r="G20" s="5" t="str">
        <f t="shared" si="2"/>
        <v/>
      </c>
      <c r="I20" s="33"/>
      <c r="K20" s="33"/>
      <c r="M20" s="33"/>
      <c r="O20" s="33"/>
      <c r="Q20" s="33"/>
      <c r="R20" s="11" t="str">
        <f t="shared" si="3"/>
        <v/>
      </c>
      <c r="S20" s="33"/>
      <c r="T20" s="33"/>
      <c r="U20" s="33"/>
      <c r="V20" s="33"/>
      <c r="W20" s="33"/>
      <c r="X20" s="33"/>
      <c r="Y20" s="33"/>
      <c r="Z20" s="33"/>
      <c r="AA20" s="12" t="str">
        <f t="shared" si="4"/>
        <v/>
      </c>
      <c r="AB20" s="13" t="str">
        <f t="shared" si="5"/>
        <v/>
      </c>
      <c r="AD20" s="33"/>
      <c r="AF20" s="33"/>
      <c r="AH20" s="33"/>
      <c r="AJ20" s="33"/>
      <c r="AL20" s="33"/>
      <c r="AM20" s="11" t="str">
        <f t="shared" si="6"/>
        <v/>
      </c>
      <c r="AN20" s="33"/>
      <c r="AO20" s="33"/>
      <c r="AP20" s="33"/>
      <c r="AQ20" s="33"/>
      <c r="AR20" s="33"/>
      <c r="AS20" s="33"/>
      <c r="AT20" s="33"/>
      <c r="AU20" s="33"/>
      <c r="AV20" s="12" t="str">
        <f t="shared" si="7"/>
        <v/>
      </c>
      <c r="AW20" s="13" t="str">
        <f t="shared" si="8"/>
        <v/>
      </c>
      <c r="AY20" s="33"/>
      <c r="BA20" s="33"/>
      <c r="BC20" s="33"/>
      <c r="BE20" s="33"/>
      <c r="BG20" s="33"/>
      <c r="BH20" s="11" t="str">
        <f t="shared" si="9"/>
        <v/>
      </c>
      <c r="BI20" s="33"/>
      <c r="BJ20" s="33"/>
      <c r="BK20" s="33"/>
      <c r="BL20" s="33"/>
      <c r="BM20" s="33"/>
      <c r="BN20" s="33"/>
      <c r="BO20" s="33"/>
      <c r="BP20" s="33"/>
      <c r="BQ20" s="12" t="str">
        <f t="shared" si="10"/>
        <v/>
      </c>
      <c r="BR20" s="13" t="str">
        <f t="shared" si="11"/>
        <v/>
      </c>
      <c r="BT20" s="33"/>
      <c r="BV20" s="33"/>
      <c r="BX20" s="33"/>
      <c r="BZ20" s="33"/>
      <c r="CB20" s="33"/>
      <c r="CC20" s="11" t="str">
        <f t="shared" si="12"/>
        <v/>
      </c>
      <c r="CD20" s="33"/>
      <c r="CE20" s="33"/>
      <c r="CF20" s="33"/>
      <c r="CG20" s="33"/>
      <c r="CH20" s="33"/>
      <c r="CI20" s="33"/>
      <c r="CJ20" s="33"/>
      <c r="CK20" s="33"/>
      <c r="CL20" s="12" t="str">
        <f t="shared" si="13"/>
        <v/>
      </c>
      <c r="CM20" s="13" t="str">
        <f t="shared" si="14"/>
        <v/>
      </c>
      <c r="CO20" s="33"/>
      <c r="CQ20" s="33"/>
      <c r="CS20" s="33"/>
      <c r="CU20" s="33"/>
      <c r="CW20" s="33"/>
      <c r="CX20" s="11" t="str">
        <f t="shared" si="15"/>
        <v/>
      </c>
      <c r="CY20" s="33"/>
      <c r="CZ20" s="33"/>
      <c r="DA20" s="33"/>
      <c r="DB20" s="33"/>
      <c r="DC20" s="33"/>
      <c r="DD20" s="33"/>
      <c r="DE20" s="33"/>
      <c r="DF20" s="33"/>
      <c r="DG20" s="12" t="str">
        <f t="shared" si="16"/>
        <v/>
      </c>
      <c r="DH20" s="13" t="str">
        <f t="shared" si="17"/>
        <v/>
      </c>
      <c r="DI20" s="3"/>
      <c r="DJ20" s="34"/>
      <c r="DK20" s="3"/>
      <c r="DL20" s="34"/>
      <c r="DM20" s="3"/>
      <c r="DN20" s="34"/>
      <c r="DO20" s="3"/>
      <c r="DP20" s="34"/>
      <c r="DQ20" s="3"/>
      <c r="DR20" s="34"/>
      <c r="DS20" s="5" t="str">
        <f t="shared" si="18"/>
        <v/>
      </c>
      <c r="DT20" s="34"/>
      <c r="DU20" s="34"/>
      <c r="DV20" s="34"/>
      <c r="DW20" s="34"/>
      <c r="DX20" s="34"/>
      <c r="DY20" s="34"/>
      <c r="DZ20" s="34"/>
      <c r="EA20" s="34"/>
      <c r="EB20" s="14" t="str">
        <f t="shared" si="19"/>
        <v/>
      </c>
      <c r="EC20" s="15" t="str">
        <f t="shared" si="20"/>
        <v/>
      </c>
    </row>
    <row r="21" spans="1:133" x14ac:dyDescent="0.3">
      <c r="A21" s="3">
        <v>13</v>
      </c>
      <c r="B21" s="4" t="s">
        <v>42</v>
      </c>
      <c r="C21" s="3">
        <v>25</v>
      </c>
      <c r="D21" s="3" t="s">
        <v>43</v>
      </c>
      <c r="E21" s="5" t="str">
        <f t="shared" si="0"/>
        <v/>
      </c>
      <c r="F21" s="10" t="str">
        <f t="shared" si="1"/>
        <v/>
      </c>
      <c r="G21" s="5" t="str">
        <f t="shared" si="2"/>
        <v/>
      </c>
      <c r="I21" s="33"/>
      <c r="K21" s="33"/>
      <c r="M21" s="33"/>
      <c r="O21" s="33"/>
      <c r="Q21" s="33"/>
      <c r="R21" s="11" t="str">
        <f t="shared" si="3"/>
        <v/>
      </c>
      <c r="S21" s="33"/>
      <c r="T21" s="33"/>
      <c r="U21" s="33"/>
      <c r="V21" s="33"/>
      <c r="W21" s="33"/>
      <c r="X21" s="33"/>
      <c r="Y21" s="33"/>
      <c r="Z21" s="33"/>
      <c r="AA21" s="12" t="str">
        <f t="shared" si="4"/>
        <v/>
      </c>
      <c r="AB21" s="13" t="str">
        <f t="shared" si="5"/>
        <v/>
      </c>
      <c r="AD21" s="33"/>
      <c r="AF21" s="33"/>
      <c r="AH21" s="33"/>
      <c r="AJ21" s="33"/>
      <c r="AL21" s="33"/>
      <c r="AM21" s="11" t="str">
        <f t="shared" si="6"/>
        <v/>
      </c>
      <c r="AN21" s="33"/>
      <c r="AO21" s="33"/>
      <c r="AP21" s="33"/>
      <c r="AQ21" s="33"/>
      <c r="AR21" s="33"/>
      <c r="AS21" s="33"/>
      <c r="AT21" s="33"/>
      <c r="AU21" s="33"/>
      <c r="AV21" s="12" t="str">
        <f t="shared" si="7"/>
        <v/>
      </c>
      <c r="AW21" s="13" t="str">
        <f t="shared" si="8"/>
        <v/>
      </c>
      <c r="AY21" s="33"/>
      <c r="BA21" s="33"/>
      <c r="BC21" s="33"/>
      <c r="BE21" s="33"/>
      <c r="BG21" s="33"/>
      <c r="BH21" s="11" t="str">
        <f t="shared" si="9"/>
        <v/>
      </c>
      <c r="BI21" s="33"/>
      <c r="BJ21" s="33"/>
      <c r="BK21" s="33"/>
      <c r="BL21" s="33"/>
      <c r="BM21" s="33"/>
      <c r="BN21" s="33"/>
      <c r="BO21" s="33"/>
      <c r="BP21" s="33"/>
      <c r="BQ21" s="12" t="str">
        <f t="shared" si="10"/>
        <v/>
      </c>
      <c r="BR21" s="13" t="str">
        <f t="shared" si="11"/>
        <v/>
      </c>
      <c r="BT21" s="33"/>
      <c r="BV21" s="33"/>
      <c r="BX21" s="33"/>
      <c r="BZ21" s="33"/>
      <c r="CB21" s="33"/>
      <c r="CC21" s="11" t="str">
        <f t="shared" si="12"/>
        <v/>
      </c>
      <c r="CD21" s="33"/>
      <c r="CE21" s="33"/>
      <c r="CF21" s="33"/>
      <c r="CG21" s="33"/>
      <c r="CH21" s="33"/>
      <c r="CI21" s="33"/>
      <c r="CJ21" s="33"/>
      <c r="CK21" s="33"/>
      <c r="CL21" s="12" t="str">
        <f t="shared" si="13"/>
        <v/>
      </c>
      <c r="CM21" s="13" t="str">
        <f t="shared" si="14"/>
        <v/>
      </c>
      <c r="CO21" s="33"/>
      <c r="CQ21" s="33"/>
      <c r="CS21" s="33"/>
      <c r="CU21" s="33"/>
      <c r="CW21" s="33"/>
      <c r="CX21" s="11" t="str">
        <f t="shared" si="15"/>
        <v/>
      </c>
      <c r="CY21" s="33"/>
      <c r="CZ21" s="33"/>
      <c r="DA21" s="33"/>
      <c r="DB21" s="33"/>
      <c r="DC21" s="33"/>
      <c r="DD21" s="33"/>
      <c r="DE21" s="33"/>
      <c r="DF21" s="33"/>
      <c r="DG21" s="12" t="str">
        <f t="shared" si="16"/>
        <v/>
      </c>
      <c r="DH21" s="13" t="str">
        <f t="shared" si="17"/>
        <v/>
      </c>
      <c r="DI21" s="3"/>
      <c r="DJ21" s="34"/>
      <c r="DK21" s="3"/>
      <c r="DL21" s="34"/>
      <c r="DM21" s="3"/>
      <c r="DN21" s="34"/>
      <c r="DO21" s="3"/>
      <c r="DP21" s="34"/>
      <c r="DQ21" s="3"/>
      <c r="DR21" s="34"/>
      <c r="DS21" s="5" t="str">
        <f t="shared" si="18"/>
        <v/>
      </c>
      <c r="DT21" s="34"/>
      <c r="DU21" s="34"/>
      <c r="DV21" s="34"/>
      <c r="DW21" s="34"/>
      <c r="DX21" s="34"/>
      <c r="DY21" s="34"/>
      <c r="DZ21" s="34"/>
      <c r="EA21" s="34"/>
      <c r="EB21" s="14" t="str">
        <f t="shared" si="19"/>
        <v/>
      </c>
      <c r="EC21" s="15" t="str">
        <f t="shared" si="20"/>
        <v/>
      </c>
    </row>
    <row r="22" spans="1:133" x14ac:dyDescent="0.3">
      <c r="A22" s="3">
        <v>14</v>
      </c>
      <c r="B22" s="4" t="s">
        <v>44</v>
      </c>
      <c r="C22" s="3">
        <v>26</v>
      </c>
      <c r="D22" s="3" t="s">
        <v>45</v>
      </c>
      <c r="E22" s="5" t="str">
        <f t="shared" si="0"/>
        <v/>
      </c>
      <c r="F22" s="10" t="str">
        <f t="shared" si="1"/>
        <v/>
      </c>
      <c r="G22" s="5" t="str">
        <f t="shared" si="2"/>
        <v/>
      </c>
      <c r="I22" s="33"/>
      <c r="K22" s="33"/>
      <c r="M22" s="33"/>
      <c r="O22" s="33"/>
      <c r="Q22" s="33"/>
      <c r="R22" s="11" t="str">
        <f t="shared" si="3"/>
        <v/>
      </c>
      <c r="S22" s="33"/>
      <c r="T22" s="33"/>
      <c r="U22" s="33"/>
      <c r="V22" s="33"/>
      <c r="W22" s="33"/>
      <c r="X22" s="33"/>
      <c r="Y22" s="33"/>
      <c r="Z22" s="33"/>
      <c r="AA22" s="12" t="str">
        <f t="shared" si="4"/>
        <v/>
      </c>
      <c r="AB22" s="13" t="str">
        <f t="shared" si="5"/>
        <v/>
      </c>
      <c r="AD22" s="33"/>
      <c r="AF22" s="33"/>
      <c r="AH22" s="33"/>
      <c r="AJ22" s="33"/>
      <c r="AL22" s="33"/>
      <c r="AM22" s="11" t="str">
        <f t="shared" si="6"/>
        <v/>
      </c>
      <c r="AN22" s="33"/>
      <c r="AO22" s="33"/>
      <c r="AP22" s="33"/>
      <c r="AQ22" s="33"/>
      <c r="AR22" s="33"/>
      <c r="AS22" s="33"/>
      <c r="AT22" s="33"/>
      <c r="AU22" s="33"/>
      <c r="AV22" s="12" t="str">
        <f t="shared" si="7"/>
        <v/>
      </c>
      <c r="AW22" s="13" t="str">
        <f t="shared" si="8"/>
        <v/>
      </c>
      <c r="AY22" s="33"/>
      <c r="BA22" s="33"/>
      <c r="BC22" s="33"/>
      <c r="BE22" s="33"/>
      <c r="BG22" s="33"/>
      <c r="BH22" s="11" t="str">
        <f t="shared" si="9"/>
        <v/>
      </c>
      <c r="BI22" s="33"/>
      <c r="BJ22" s="33"/>
      <c r="BK22" s="33"/>
      <c r="BL22" s="33"/>
      <c r="BM22" s="33"/>
      <c r="BN22" s="33"/>
      <c r="BO22" s="33"/>
      <c r="BP22" s="33"/>
      <c r="BQ22" s="12" t="str">
        <f t="shared" si="10"/>
        <v/>
      </c>
      <c r="BR22" s="13" t="str">
        <f t="shared" si="11"/>
        <v/>
      </c>
      <c r="BT22" s="33"/>
      <c r="BV22" s="33"/>
      <c r="BX22" s="33"/>
      <c r="BZ22" s="33"/>
      <c r="CB22" s="33"/>
      <c r="CC22" s="11" t="str">
        <f t="shared" si="12"/>
        <v/>
      </c>
      <c r="CD22" s="33"/>
      <c r="CE22" s="33"/>
      <c r="CF22" s="33"/>
      <c r="CG22" s="33"/>
      <c r="CH22" s="33"/>
      <c r="CI22" s="33"/>
      <c r="CJ22" s="33"/>
      <c r="CK22" s="33"/>
      <c r="CL22" s="12" t="str">
        <f t="shared" si="13"/>
        <v/>
      </c>
      <c r="CM22" s="13" t="str">
        <f t="shared" si="14"/>
        <v/>
      </c>
      <c r="CO22" s="33"/>
      <c r="CQ22" s="33"/>
      <c r="CS22" s="33"/>
      <c r="CU22" s="33"/>
      <c r="CW22" s="33"/>
      <c r="CX22" s="11" t="str">
        <f t="shared" si="15"/>
        <v/>
      </c>
      <c r="CY22" s="33"/>
      <c r="CZ22" s="33"/>
      <c r="DA22" s="33"/>
      <c r="DB22" s="33"/>
      <c r="DC22" s="33"/>
      <c r="DD22" s="33"/>
      <c r="DE22" s="33"/>
      <c r="DF22" s="33"/>
      <c r="DG22" s="12" t="str">
        <f t="shared" si="16"/>
        <v/>
      </c>
      <c r="DH22" s="13" t="str">
        <f t="shared" si="17"/>
        <v/>
      </c>
      <c r="DI22" s="3"/>
      <c r="DJ22" s="34"/>
      <c r="DK22" s="3"/>
      <c r="DL22" s="34"/>
      <c r="DM22" s="3"/>
      <c r="DN22" s="34"/>
      <c r="DO22" s="3"/>
      <c r="DP22" s="34"/>
      <c r="DQ22" s="3"/>
      <c r="DR22" s="34"/>
      <c r="DS22" s="5" t="str">
        <f t="shared" si="18"/>
        <v/>
      </c>
      <c r="DT22" s="34"/>
      <c r="DU22" s="34"/>
      <c r="DV22" s="34"/>
      <c r="DW22" s="34"/>
      <c r="DX22" s="34"/>
      <c r="DY22" s="34"/>
      <c r="DZ22" s="34"/>
      <c r="EA22" s="34"/>
      <c r="EB22" s="14" t="str">
        <f t="shared" si="19"/>
        <v/>
      </c>
      <c r="EC22" s="15" t="str">
        <f t="shared" si="20"/>
        <v/>
      </c>
    </row>
    <row r="23" spans="1:133" x14ac:dyDescent="0.3">
      <c r="A23" s="3">
        <v>15</v>
      </c>
      <c r="B23" s="4" t="s">
        <v>46</v>
      </c>
      <c r="C23" s="3">
        <v>27</v>
      </c>
      <c r="D23" s="3" t="s">
        <v>47</v>
      </c>
      <c r="E23" s="5" t="str">
        <f t="shared" si="0"/>
        <v/>
      </c>
      <c r="F23" s="10" t="str">
        <f t="shared" si="1"/>
        <v/>
      </c>
      <c r="G23" s="5" t="str">
        <f t="shared" si="2"/>
        <v/>
      </c>
      <c r="I23" s="33"/>
      <c r="K23" s="33"/>
      <c r="M23" s="33"/>
      <c r="O23" s="33"/>
      <c r="Q23" s="33"/>
      <c r="R23" s="11" t="str">
        <f t="shared" si="3"/>
        <v/>
      </c>
      <c r="S23" s="33"/>
      <c r="T23" s="33"/>
      <c r="U23" s="33"/>
      <c r="V23" s="33"/>
      <c r="W23" s="33"/>
      <c r="X23" s="33"/>
      <c r="Y23" s="33"/>
      <c r="Z23" s="33"/>
      <c r="AA23" s="12" t="str">
        <f t="shared" si="4"/>
        <v/>
      </c>
      <c r="AB23" s="13" t="str">
        <f t="shared" si="5"/>
        <v/>
      </c>
      <c r="AD23" s="33"/>
      <c r="AF23" s="33"/>
      <c r="AH23" s="33"/>
      <c r="AJ23" s="33"/>
      <c r="AL23" s="33"/>
      <c r="AM23" s="11" t="str">
        <f t="shared" si="6"/>
        <v/>
      </c>
      <c r="AN23" s="33"/>
      <c r="AO23" s="33"/>
      <c r="AP23" s="33"/>
      <c r="AQ23" s="33"/>
      <c r="AR23" s="33"/>
      <c r="AS23" s="33"/>
      <c r="AT23" s="33"/>
      <c r="AU23" s="33"/>
      <c r="AV23" s="12" t="str">
        <f t="shared" si="7"/>
        <v/>
      </c>
      <c r="AW23" s="13" t="str">
        <f t="shared" si="8"/>
        <v/>
      </c>
      <c r="AY23" s="33"/>
      <c r="BA23" s="33"/>
      <c r="BC23" s="33"/>
      <c r="BE23" s="33"/>
      <c r="BG23" s="33"/>
      <c r="BH23" s="11" t="str">
        <f t="shared" si="9"/>
        <v/>
      </c>
      <c r="BI23" s="33"/>
      <c r="BJ23" s="33"/>
      <c r="BK23" s="33"/>
      <c r="BL23" s="33"/>
      <c r="BM23" s="33"/>
      <c r="BN23" s="33"/>
      <c r="BO23" s="33"/>
      <c r="BP23" s="33"/>
      <c r="BQ23" s="12" t="str">
        <f t="shared" si="10"/>
        <v/>
      </c>
      <c r="BR23" s="13" t="str">
        <f t="shared" si="11"/>
        <v/>
      </c>
      <c r="BT23" s="33"/>
      <c r="BV23" s="33"/>
      <c r="BX23" s="33"/>
      <c r="BZ23" s="33"/>
      <c r="CB23" s="33"/>
      <c r="CC23" s="11" t="str">
        <f t="shared" si="12"/>
        <v/>
      </c>
      <c r="CD23" s="33"/>
      <c r="CE23" s="33"/>
      <c r="CF23" s="33"/>
      <c r="CG23" s="33"/>
      <c r="CH23" s="33"/>
      <c r="CI23" s="33"/>
      <c r="CJ23" s="33"/>
      <c r="CK23" s="33"/>
      <c r="CL23" s="12" t="str">
        <f t="shared" si="13"/>
        <v/>
      </c>
      <c r="CM23" s="13" t="str">
        <f t="shared" si="14"/>
        <v/>
      </c>
      <c r="CO23" s="33"/>
      <c r="CQ23" s="33"/>
      <c r="CS23" s="33"/>
      <c r="CU23" s="33"/>
      <c r="CW23" s="33"/>
      <c r="CX23" s="11" t="str">
        <f t="shared" si="15"/>
        <v/>
      </c>
      <c r="CY23" s="33"/>
      <c r="CZ23" s="33"/>
      <c r="DA23" s="33"/>
      <c r="DB23" s="33"/>
      <c r="DC23" s="33"/>
      <c r="DD23" s="33"/>
      <c r="DE23" s="33"/>
      <c r="DF23" s="33"/>
      <c r="DG23" s="12" t="str">
        <f t="shared" si="16"/>
        <v/>
      </c>
      <c r="DH23" s="13" t="str">
        <f t="shared" si="17"/>
        <v/>
      </c>
      <c r="DI23" s="3"/>
      <c r="DJ23" s="34"/>
      <c r="DK23" s="3"/>
      <c r="DL23" s="34"/>
      <c r="DM23" s="3"/>
      <c r="DN23" s="34"/>
      <c r="DO23" s="3"/>
      <c r="DP23" s="34"/>
      <c r="DQ23" s="3"/>
      <c r="DR23" s="34"/>
      <c r="DS23" s="5" t="str">
        <f t="shared" si="18"/>
        <v/>
      </c>
      <c r="DT23" s="34"/>
      <c r="DU23" s="34"/>
      <c r="DV23" s="34"/>
      <c r="DW23" s="34"/>
      <c r="DX23" s="34"/>
      <c r="DY23" s="34"/>
      <c r="DZ23" s="34"/>
      <c r="EA23" s="34"/>
      <c r="EB23" s="14" t="str">
        <f t="shared" si="19"/>
        <v/>
      </c>
      <c r="EC23" s="15" t="str">
        <f t="shared" si="20"/>
        <v/>
      </c>
    </row>
    <row r="24" spans="1:133" x14ac:dyDescent="0.3">
      <c r="A24" s="3">
        <v>16</v>
      </c>
      <c r="B24" s="4" t="s">
        <v>48</v>
      </c>
      <c r="C24" s="3">
        <v>28</v>
      </c>
      <c r="D24" s="3" t="s">
        <v>49</v>
      </c>
      <c r="E24" s="5" t="str">
        <f t="shared" si="0"/>
        <v/>
      </c>
      <c r="F24" s="10" t="str">
        <f t="shared" si="1"/>
        <v/>
      </c>
      <c r="G24" s="5" t="str">
        <f t="shared" si="2"/>
        <v/>
      </c>
      <c r="I24" s="33"/>
      <c r="K24" s="33"/>
      <c r="M24" s="33"/>
      <c r="O24" s="33"/>
      <c r="Q24" s="33"/>
      <c r="R24" s="11" t="str">
        <f t="shared" si="3"/>
        <v/>
      </c>
      <c r="S24" s="33"/>
      <c r="T24" s="33"/>
      <c r="U24" s="33"/>
      <c r="V24" s="33"/>
      <c r="W24" s="33"/>
      <c r="X24" s="33"/>
      <c r="Y24" s="33"/>
      <c r="Z24" s="33"/>
      <c r="AA24" s="12" t="str">
        <f t="shared" si="4"/>
        <v/>
      </c>
      <c r="AB24" s="13" t="str">
        <f t="shared" si="5"/>
        <v/>
      </c>
      <c r="AD24" s="33"/>
      <c r="AF24" s="33"/>
      <c r="AH24" s="33"/>
      <c r="AJ24" s="33"/>
      <c r="AL24" s="33"/>
      <c r="AM24" s="11" t="str">
        <f t="shared" si="6"/>
        <v/>
      </c>
      <c r="AN24" s="33"/>
      <c r="AO24" s="33"/>
      <c r="AP24" s="33"/>
      <c r="AQ24" s="33"/>
      <c r="AR24" s="33"/>
      <c r="AS24" s="33"/>
      <c r="AT24" s="33"/>
      <c r="AU24" s="33"/>
      <c r="AV24" s="12" t="str">
        <f t="shared" si="7"/>
        <v/>
      </c>
      <c r="AW24" s="13" t="str">
        <f t="shared" si="8"/>
        <v/>
      </c>
      <c r="AY24" s="33"/>
      <c r="BA24" s="33"/>
      <c r="BC24" s="33"/>
      <c r="BE24" s="33"/>
      <c r="BG24" s="33"/>
      <c r="BH24" s="11" t="str">
        <f t="shared" si="9"/>
        <v/>
      </c>
      <c r="BI24" s="33"/>
      <c r="BJ24" s="33"/>
      <c r="BK24" s="33"/>
      <c r="BL24" s="33"/>
      <c r="BM24" s="33"/>
      <c r="BN24" s="33"/>
      <c r="BO24" s="33"/>
      <c r="BP24" s="33"/>
      <c r="BQ24" s="12" t="str">
        <f t="shared" si="10"/>
        <v/>
      </c>
      <c r="BR24" s="13" t="str">
        <f t="shared" si="11"/>
        <v/>
      </c>
      <c r="BT24" s="33"/>
      <c r="BV24" s="33"/>
      <c r="BX24" s="33"/>
      <c r="BZ24" s="33"/>
      <c r="CB24" s="33"/>
      <c r="CC24" s="11" t="str">
        <f t="shared" si="12"/>
        <v/>
      </c>
      <c r="CD24" s="33"/>
      <c r="CE24" s="33"/>
      <c r="CF24" s="33"/>
      <c r="CG24" s="33"/>
      <c r="CH24" s="33"/>
      <c r="CI24" s="33"/>
      <c r="CJ24" s="33"/>
      <c r="CK24" s="33"/>
      <c r="CL24" s="12" t="str">
        <f t="shared" si="13"/>
        <v/>
      </c>
      <c r="CM24" s="13" t="str">
        <f t="shared" si="14"/>
        <v/>
      </c>
      <c r="CO24" s="33"/>
      <c r="CQ24" s="33"/>
      <c r="CS24" s="33"/>
      <c r="CU24" s="33"/>
      <c r="CW24" s="33"/>
      <c r="CX24" s="11" t="str">
        <f t="shared" si="15"/>
        <v/>
      </c>
      <c r="CY24" s="33"/>
      <c r="CZ24" s="33"/>
      <c r="DA24" s="33"/>
      <c r="DB24" s="33"/>
      <c r="DC24" s="33"/>
      <c r="DD24" s="33"/>
      <c r="DE24" s="33"/>
      <c r="DF24" s="33"/>
      <c r="DG24" s="12" t="str">
        <f t="shared" si="16"/>
        <v/>
      </c>
      <c r="DH24" s="13" t="str">
        <f t="shared" si="17"/>
        <v/>
      </c>
      <c r="DI24" s="3"/>
      <c r="DJ24" s="34"/>
      <c r="DK24" s="3"/>
      <c r="DL24" s="34"/>
      <c r="DM24" s="3"/>
      <c r="DN24" s="34"/>
      <c r="DO24" s="3"/>
      <c r="DP24" s="34"/>
      <c r="DQ24" s="3"/>
      <c r="DR24" s="34"/>
      <c r="DS24" s="5" t="str">
        <f t="shared" si="18"/>
        <v/>
      </c>
      <c r="DT24" s="34"/>
      <c r="DU24" s="34"/>
      <c r="DV24" s="34"/>
      <c r="DW24" s="34"/>
      <c r="DX24" s="34"/>
      <c r="DY24" s="34"/>
      <c r="DZ24" s="34"/>
      <c r="EA24" s="34"/>
      <c r="EB24" s="14" t="str">
        <f t="shared" si="19"/>
        <v/>
      </c>
      <c r="EC24" s="15" t="str">
        <f t="shared" si="20"/>
        <v/>
      </c>
    </row>
    <row r="25" spans="1:133" x14ac:dyDescent="0.3">
      <c r="A25" s="3">
        <v>17</v>
      </c>
      <c r="B25" s="4" t="s">
        <v>50</v>
      </c>
      <c r="C25" s="3">
        <v>29</v>
      </c>
      <c r="D25" s="3" t="s">
        <v>51</v>
      </c>
      <c r="E25" s="5" t="str">
        <f t="shared" si="0"/>
        <v/>
      </c>
      <c r="F25" s="10" t="str">
        <f t="shared" si="1"/>
        <v/>
      </c>
      <c r="G25" s="5" t="str">
        <f t="shared" si="2"/>
        <v/>
      </c>
      <c r="I25" s="33"/>
      <c r="K25" s="33"/>
      <c r="M25" s="33"/>
      <c r="O25" s="33"/>
      <c r="Q25" s="33"/>
      <c r="R25" s="11" t="str">
        <f t="shared" si="3"/>
        <v/>
      </c>
      <c r="S25" s="33"/>
      <c r="T25" s="33"/>
      <c r="U25" s="33"/>
      <c r="V25" s="33"/>
      <c r="W25" s="33"/>
      <c r="X25" s="33"/>
      <c r="Y25" s="33"/>
      <c r="Z25" s="33"/>
      <c r="AA25" s="12" t="str">
        <f t="shared" si="4"/>
        <v/>
      </c>
      <c r="AB25" s="13" t="str">
        <f t="shared" si="5"/>
        <v/>
      </c>
      <c r="AD25" s="33"/>
      <c r="AF25" s="33"/>
      <c r="AH25" s="33"/>
      <c r="AJ25" s="33"/>
      <c r="AL25" s="33"/>
      <c r="AM25" s="11" t="str">
        <f t="shared" si="6"/>
        <v/>
      </c>
      <c r="AN25" s="33"/>
      <c r="AO25" s="33"/>
      <c r="AP25" s="33"/>
      <c r="AQ25" s="33"/>
      <c r="AR25" s="33"/>
      <c r="AS25" s="33"/>
      <c r="AT25" s="33"/>
      <c r="AU25" s="33"/>
      <c r="AV25" s="12" t="str">
        <f t="shared" si="7"/>
        <v/>
      </c>
      <c r="AW25" s="13" t="str">
        <f t="shared" si="8"/>
        <v/>
      </c>
      <c r="AY25" s="33"/>
      <c r="BA25" s="33"/>
      <c r="BC25" s="33"/>
      <c r="BE25" s="33"/>
      <c r="BG25" s="33"/>
      <c r="BH25" s="11" t="str">
        <f t="shared" si="9"/>
        <v/>
      </c>
      <c r="BI25" s="33"/>
      <c r="BJ25" s="33"/>
      <c r="BK25" s="33"/>
      <c r="BL25" s="33"/>
      <c r="BM25" s="33"/>
      <c r="BN25" s="33"/>
      <c r="BO25" s="33"/>
      <c r="BP25" s="33"/>
      <c r="BQ25" s="12" t="str">
        <f t="shared" si="10"/>
        <v/>
      </c>
      <c r="BR25" s="13" t="str">
        <f t="shared" si="11"/>
        <v/>
      </c>
      <c r="BT25" s="33"/>
      <c r="BV25" s="33"/>
      <c r="BX25" s="33"/>
      <c r="BZ25" s="33"/>
      <c r="CB25" s="33"/>
      <c r="CC25" s="11" t="str">
        <f t="shared" si="12"/>
        <v/>
      </c>
      <c r="CD25" s="33"/>
      <c r="CE25" s="33"/>
      <c r="CF25" s="33"/>
      <c r="CG25" s="33"/>
      <c r="CH25" s="33"/>
      <c r="CI25" s="33"/>
      <c r="CJ25" s="33"/>
      <c r="CK25" s="33"/>
      <c r="CL25" s="12" t="str">
        <f t="shared" si="13"/>
        <v/>
      </c>
      <c r="CM25" s="13" t="str">
        <f t="shared" si="14"/>
        <v/>
      </c>
      <c r="CO25" s="33"/>
      <c r="CQ25" s="33"/>
      <c r="CS25" s="33"/>
      <c r="CU25" s="33"/>
      <c r="CW25" s="33"/>
      <c r="CX25" s="11" t="str">
        <f t="shared" si="15"/>
        <v/>
      </c>
      <c r="CY25" s="33"/>
      <c r="CZ25" s="33"/>
      <c r="DA25" s="33"/>
      <c r="DB25" s="33"/>
      <c r="DC25" s="33"/>
      <c r="DD25" s="33"/>
      <c r="DE25" s="33"/>
      <c r="DF25" s="33"/>
      <c r="DG25" s="12" t="str">
        <f t="shared" si="16"/>
        <v/>
      </c>
      <c r="DH25" s="13" t="str">
        <f t="shared" si="17"/>
        <v/>
      </c>
      <c r="DI25" s="3"/>
      <c r="DJ25" s="34"/>
      <c r="DK25" s="3"/>
      <c r="DL25" s="34"/>
      <c r="DM25" s="3"/>
      <c r="DN25" s="34"/>
      <c r="DO25" s="3"/>
      <c r="DP25" s="34"/>
      <c r="DQ25" s="3"/>
      <c r="DR25" s="34"/>
      <c r="DS25" s="5" t="str">
        <f t="shared" si="18"/>
        <v/>
      </c>
      <c r="DT25" s="34"/>
      <c r="DU25" s="34"/>
      <c r="DV25" s="34"/>
      <c r="DW25" s="34"/>
      <c r="DX25" s="34"/>
      <c r="DY25" s="34"/>
      <c r="DZ25" s="34"/>
      <c r="EA25" s="34"/>
      <c r="EB25" s="14" t="str">
        <f t="shared" si="19"/>
        <v/>
      </c>
      <c r="EC25" s="15" t="str">
        <f t="shared" si="20"/>
        <v/>
      </c>
    </row>
    <row r="26" spans="1:133" x14ac:dyDescent="0.3">
      <c r="A26" s="3">
        <v>18</v>
      </c>
      <c r="B26" s="4" t="s">
        <v>52</v>
      </c>
      <c r="C26" s="3">
        <v>30</v>
      </c>
      <c r="D26" s="3" t="s">
        <v>53</v>
      </c>
      <c r="E26" s="5" t="str">
        <f t="shared" si="0"/>
        <v/>
      </c>
      <c r="F26" s="10" t="str">
        <f t="shared" si="1"/>
        <v/>
      </c>
      <c r="G26" s="5" t="str">
        <f t="shared" si="2"/>
        <v/>
      </c>
      <c r="I26" s="33"/>
      <c r="K26" s="33"/>
      <c r="M26" s="33"/>
      <c r="O26" s="33"/>
      <c r="Q26" s="33"/>
      <c r="R26" s="11" t="str">
        <f t="shared" si="3"/>
        <v/>
      </c>
      <c r="S26" s="33"/>
      <c r="T26" s="33"/>
      <c r="U26" s="33"/>
      <c r="V26" s="33"/>
      <c r="W26" s="33"/>
      <c r="X26" s="33"/>
      <c r="Y26" s="33"/>
      <c r="Z26" s="33"/>
      <c r="AA26" s="12" t="str">
        <f t="shared" si="4"/>
        <v/>
      </c>
      <c r="AB26" s="13" t="str">
        <f t="shared" si="5"/>
        <v/>
      </c>
      <c r="AD26" s="33"/>
      <c r="AF26" s="33"/>
      <c r="AH26" s="33"/>
      <c r="AJ26" s="33"/>
      <c r="AL26" s="33"/>
      <c r="AM26" s="11" t="str">
        <f t="shared" si="6"/>
        <v/>
      </c>
      <c r="AN26" s="33"/>
      <c r="AO26" s="33"/>
      <c r="AP26" s="33"/>
      <c r="AQ26" s="33"/>
      <c r="AR26" s="33"/>
      <c r="AS26" s="33"/>
      <c r="AT26" s="33"/>
      <c r="AU26" s="33"/>
      <c r="AV26" s="12" t="str">
        <f t="shared" si="7"/>
        <v/>
      </c>
      <c r="AW26" s="13" t="str">
        <f t="shared" si="8"/>
        <v/>
      </c>
      <c r="AY26" s="33"/>
      <c r="BA26" s="33"/>
      <c r="BC26" s="33"/>
      <c r="BE26" s="33"/>
      <c r="BG26" s="33"/>
      <c r="BH26" s="11" t="str">
        <f t="shared" si="9"/>
        <v/>
      </c>
      <c r="BI26" s="33"/>
      <c r="BJ26" s="33"/>
      <c r="BK26" s="33"/>
      <c r="BL26" s="33"/>
      <c r="BM26" s="33"/>
      <c r="BN26" s="33"/>
      <c r="BO26" s="33"/>
      <c r="BP26" s="33"/>
      <c r="BQ26" s="12" t="str">
        <f t="shared" si="10"/>
        <v/>
      </c>
      <c r="BR26" s="13" t="str">
        <f t="shared" si="11"/>
        <v/>
      </c>
      <c r="BT26" s="33"/>
      <c r="BV26" s="33"/>
      <c r="BX26" s="33"/>
      <c r="BZ26" s="33"/>
      <c r="CB26" s="33"/>
      <c r="CC26" s="11" t="str">
        <f t="shared" si="12"/>
        <v/>
      </c>
      <c r="CD26" s="33"/>
      <c r="CE26" s="33"/>
      <c r="CF26" s="33"/>
      <c r="CG26" s="33"/>
      <c r="CH26" s="33"/>
      <c r="CI26" s="33"/>
      <c r="CJ26" s="33"/>
      <c r="CK26" s="33"/>
      <c r="CL26" s="12" t="str">
        <f t="shared" si="13"/>
        <v/>
      </c>
      <c r="CM26" s="13" t="str">
        <f t="shared" si="14"/>
        <v/>
      </c>
      <c r="CO26" s="33"/>
      <c r="CQ26" s="33"/>
      <c r="CS26" s="33"/>
      <c r="CU26" s="33"/>
      <c r="CW26" s="33"/>
      <c r="CX26" s="11" t="str">
        <f t="shared" si="15"/>
        <v/>
      </c>
      <c r="CY26" s="33"/>
      <c r="CZ26" s="33"/>
      <c r="DA26" s="33"/>
      <c r="DB26" s="33"/>
      <c r="DC26" s="33"/>
      <c r="DD26" s="33"/>
      <c r="DE26" s="33"/>
      <c r="DF26" s="33"/>
      <c r="DG26" s="12" t="str">
        <f t="shared" si="16"/>
        <v/>
      </c>
      <c r="DH26" s="13" t="str">
        <f t="shared" si="17"/>
        <v/>
      </c>
      <c r="DI26" s="3"/>
      <c r="DJ26" s="34"/>
      <c r="DK26" s="3"/>
      <c r="DL26" s="34"/>
      <c r="DM26" s="3"/>
      <c r="DN26" s="34"/>
      <c r="DO26" s="3"/>
      <c r="DP26" s="34"/>
      <c r="DQ26" s="3"/>
      <c r="DR26" s="34"/>
      <c r="DS26" s="5" t="str">
        <f t="shared" si="18"/>
        <v/>
      </c>
      <c r="DT26" s="34"/>
      <c r="DU26" s="34"/>
      <c r="DV26" s="34"/>
      <c r="DW26" s="34"/>
      <c r="DX26" s="34"/>
      <c r="DY26" s="34"/>
      <c r="DZ26" s="34"/>
      <c r="EA26" s="34"/>
      <c r="EB26" s="14" t="str">
        <f t="shared" si="19"/>
        <v/>
      </c>
      <c r="EC26" s="15" t="str">
        <f t="shared" si="20"/>
        <v/>
      </c>
    </row>
    <row r="27" spans="1:133" x14ac:dyDescent="0.3">
      <c r="A27" s="3">
        <v>19</v>
      </c>
      <c r="B27" s="4" t="s">
        <v>54</v>
      </c>
      <c r="C27" s="3">
        <v>31</v>
      </c>
      <c r="D27" s="3" t="s">
        <v>55</v>
      </c>
      <c r="E27" s="5" t="str">
        <f t="shared" si="0"/>
        <v/>
      </c>
      <c r="F27" s="10" t="str">
        <f t="shared" si="1"/>
        <v/>
      </c>
      <c r="G27" s="5" t="str">
        <f t="shared" si="2"/>
        <v/>
      </c>
      <c r="I27" s="33"/>
      <c r="K27" s="33"/>
      <c r="M27" s="33"/>
      <c r="O27" s="33"/>
      <c r="Q27" s="33"/>
      <c r="R27" s="11" t="str">
        <f t="shared" si="3"/>
        <v/>
      </c>
      <c r="S27" s="33"/>
      <c r="T27" s="33"/>
      <c r="U27" s="33"/>
      <c r="V27" s="33"/>
      <c r="W27" s="33"/>
      <c r="X27" s="33"/>
      <c r="Y27" s="33"/>
      <c r="Z27" s="33"/>
      <c r="AA27" s="12" t="str">
        <f t="shared" si="4"/>
        <v/>
      </c>
      <c r="AB27" s="13" t="str">
        <f t="shared" si="5"/>
        <v/>
      </c>
      <c r="AD27" s="33"/>
      <c r="AF27" s="33"/>
      <c r="AH27" s="33"/>
      <c r="AJ27" s="33"/>
      <c r="AL27" s="33"/>
      <c r="AM27" s="11" t="str">
        <f t="shared" si="6"/>
        <v/>
      </c>
      <c r="AN27" s="33"/>
      <c r="AO27" s="33"/>
      <c r="AP27" s="33"/>
      <c r="AQ27" s="33"/>
      <c r="AR27" s="33"/>
      <c r="AS27" s="33"/>
      <c r="AT27" s="33"/>
      <c r="AU27" s="33"/>
      <c r="AV27" s="12" t="str">
        <f t="shared" si="7"/>
        <v/>
      </c>
      <c r="AW27" s="13" t="str">
        <f t="shared" si="8"/>
        <v/>
      </c>
      <c r="AY27" s="33"/>
      <c r="BA27" s="33"/>
      <c r="BC27" s="33"/>
      <c r="BE27" s="33"/>
      <c r="BG27" s="33"/>
      <c r="BH27" s="11" t="str">
        <f t="shared" si="9"/>
        <v/>
      </c>
      <c r="BI27" s="33"/>
      <c r="BJ27" s="33"/>
      <c r="BK27" s="33"/>
      <c r="BL27" s="33"/>
      <c r="BM27" s="33"/>
      <c r="BN27" s="33"/>
      <c r="BO27" s="33"/>
      <c r="BP27" s="33"/>
      <c r="BQ27" s="12" t="str">
        <f t="shared" si="10"/>
        <v/>
      </c>
      <c r="BR27" s="13" t="str">
        <f t="shared" si="11"/>
        <v/>
      </c>
      <c r="BT27" s="33"/>
      <c r="BV27" s="33"/>
      <c r="BX27" s="33"/>
      <c r="BZ27" s="33"/>
      <c r="CB27" s="33"/>
      <c r="CC27" s="11" t="str">
        <f t="shared" si="12"/>
        <v/>
      </c>
      <c r="CD27" s="33"/>
      <c r="CE27" s="33"/>
      <c r="CF27" s="33"/>
      <c r="CG27" s="33"/>
      <c r="CH27" s="33"/>
      <c r="CI27" s="33"/>
      <c r="CJ27" s="33"/>
      <c r="CK27" s="33"/>
      <c r="CL27" s="12" t="str">
        <f t="shared" si="13"/>
        <v/>
      </c>
      <c r="CM27" s="13" t="str">
        <f t="shared" si="14"/>
        <v/>
      </c>
      <c r="CO27" s="33"/>
      <c r="CQ27" s="33"/>
      <c r="CS27" s="33"/>
      <c r="CU27" s="33"/>
      <c r="CW27" s="33"/>
      <c r="CX27" s="11" t="str">
        <f t="shared" si="15"/>
        <v/>
      </c>
      <c r="CY27" s="33"/>
      <c r="CZ27" s="33"/>
      <c r="DA27" s="33"/>
      <c r="DB27" s="33"/>
      <c r="DC27" s="33"/>
      <c r="DD27" s="33"/>
      <c r="DE27" s="33"/>
      <c r="DF27" s="33"/>
      <c r="DG27" s="12" t="str">
        <f t="shared" si="16"/>
        <v/>
      </c>
      <c r="DH27" s="13" t="str">
        <f t="shared" si="17"/>
        <v/>
      </c>
      <c r="DI27" s="3"/>
      <c r="DJ27" s="34"/>
      <c r="DK27" s="3"/>
      <c r="DL27" s="34"/>
      <c r="DM27" s="3"/>
      <c r="DN27" s="34"/>
      <c r="DO27" s="3"/>
      <c r="DP27" s="34"/>
      <c r="DQ27" s="3"/>
      <c r="DR27" s="34"/>
      <c r="DS27" s="5" t="str">
        <f t="shared" si="18"/>
        <v/>
      </c>
      <c r="DT27" s="34"/>
      <c r="DU27" s="34"/>
      <c r="DV27" s="34"/>
      <c r="DW27" s="34"/>
      <c r="DX27" s="34"/>
      <c r="DY27" s="34"/>
      <c r="DZ27" s="34"/>
      <c r="EA27" s="34"/>
      <c r="EB27" s="14" t="str">
        <f t="shared" si="19"/>
        <v/>
      </c>
      <c r="EC27" s="15" t="str">
        <f t="shared" si="20"/>
        <v/>
      </c>
    </row>
    <row r="28" spans="1:133" x14ac:dyDescent="0.3">
      <c r="A28" s="3">
        <v>20</v>
      </c>
      <c r="B28" s="4" t="s">
        <v>56</v>
      </c>
      <c r="C28" s="3">
        <v>32</v>
      </c>
      <c r="D28" s="3" t="s">
        <v>57</v>
      </c>
      <c r="E28" s="5" t="str">
        <f t="shared" si="0"/>
        <v/>
      </c>
      <c r="F28" s="10" t="str">
        <f t="shared" si="1"/>
        <v/>
      </c>
      <c r="G28" s="5" t="str">
        <f t="shared" si="2"/>
        <v/>
      </c>
      <c r="I28" s="33"/>
      <c r="K28" s="33"/>
      <c r="M28" s="33"/>
      <c r="O28" s="33"/>
      <c r="Q28" s="33"/>
      <c r="R28" s="11" t="str">
        <f t="shared" si="3"/>
        <v/>
      </c>
      <c r="S28" s="33"/>
      <c r="T28" s="33"/>
      <c r="U28" s="33"/>
      <c r="V28" s="33"/>
      <c r="W28" s="33"/>
      <c r="X28" s="33"/>
      <c r="Y28" s="33"/>
      <c r="Z28" s="33"/>
      <c r="AA28" s="12" t="str">
        <f t="shared" si="4"/>
        <v/>
      </c>
      <c r="AB28" s="13" t="str">
        <f t="shared" si="5"/>
        <v/>
      </c>
      <c r="AD28" s="33"/>
      <c r="AF28" s="33"/>
      <c r="AH28" s="33"/>
      <c r="AJ28" s="33"/>
      <c r="AL28" s="33"/>
      <c r="AM28" s="11" t="str">
        <f t="shared" si="6"/>
        <v/>
      </c>
      <c r="AN28" s="33"/>
      <c r="AO28" s="33"/>
      <c r="AP28" s="33"/>
      <c r="AQ28" s="33"/>
      <c r="AR28" s="33"/>
      <c r="AS28" s="33"/>
      <c r="AT28" s="33"/>
      <c r="AU28" s="33"/>
      <c r="AV28" s="12" t="str">
        <f t="shared" si="7"/>
        <v/>
      </c>
      <c r="AW28" s="13" t="str">
        <f t="shared" si="8"/>
        <v/>
      </c>
      <c r="AY28" s="33"/>
      <c r="BA28" s="33"/>
      <c r="BC28" s="33"/>
      <c r="BE28" s="33"/>
      <c r="BG28" s="33"/>
      <c r="BH28" s="11" t="str">
        <f t="shared" si="9"/>
        <v/>
      </c>
      <c r="BI28" s="33"/>
      <c r="BJ28" s="33"/>
      <c r="BK28" s="33"/>
      <c r="BL28" s="33"/>
      <c r="BM28" s="33"/>
      <c r="BN28" s="33"/>
      <c r="BO28" s="33"/>
      <c r="BP28" s="33"/>
      <c r="BQ28" s="12" t="str">
        <f t="shared" si="10"/>
        <v/>
      </c>
      <c r="BR28" s="13" t="str">
        <f t="shared" si="11"/>
        <v/>
      </c>
      <c r="BT28" s="33"/>
      <c r="BV28" s="33"/>
      <c r="BX28" s="33"/>
      <c r="BZ28" s="33"/>
      <c r="CB28" s="33"/>
      <c r="CC28" s="11" t="str">
        <f t="shared" si="12"/>
        <v/>
      </c>
      <c r="CD28" s="33"/>
      <c r="CE28" s="33"/>
      <c r="CF28" s="33"/>
      <c r="CG28" s="33"/>
      <c r="CH28" s="33"/>
      <c r="CI28" s="33"/>
      <c r="CJ28" s="33"/>
      <c r="CK28" s="33"/>
      <c r="CL28" s="12" t="str">
        <f t="shared" si="13"/>
        <v/>
      </c>
      <c r="CM28" s="13" t="str">
        <f t="shared" si="14"/>
        <v/>
      </c>
      <c r="CO28" s="33"/>
      <c r="CQ28" s="33"/>
      <c r="CS28" s="33"/>
      <c r="CU28" s="33"/>
      <c r="CW28" s="33"/>
      <c r="CX28" s="11" t="str">
        <f t="shared" si="15"/>
        <v/>
      </c>
      <c r="CY28" s="33"/>
      <c r="CZ28" s="33"/>
      <c r="DA28" s="33"/>
      <c r="DB28" s="33"/>
      <c r="DC28" s="33"/>
      <c r="DD28" s="33"/>
      <c r="DE28" s="33"/>
      <c r="DF28" s="33"/>
      <c r="DG28" s="12" t="str">
        <f t="shared" si="16"/>
        <v/>
      </c>
      <c r="DH28" s="13" t="str">
        <f t="shared" si="17"/>
        <v/>
      </c>
      <c r="DI28" s="3"/>
      <c r="DJ28" s="34"/>
      <c r="DK28" s="3"/>
      <c r="DL28" s="34"/>
      <c r="DM28" s="3"/>
      <c r="DN28" s="34"/>
      <c r="DO28" s="3"/>
      <c r="DP28" s="34"/>
      <c r="DQ28" s="3"/>
      <c r="DR28" s="34"/>
      <c r="DS28" s="5" t="str">
        <f t="shared" si="18"/>
        <v/>
      </c>
      <c r="DT28" s="34"/>
      <c r="DU28" s="34"/>
      <c r="DV28" s="34"/>
      <c r="DW28" s="34"/>
      <c r="DX28" s="34"/>
      <c r="DY28" s="34"/>
      <c r="DZ28" s="34"/>
      <c r="EA28" s="34"/>
      <c r="EB28" s="14" t="str">
        <f t="shared" si="19"/>
        <v/>
      </c>
      <c r="EC28" s="15" t="str">
        <f t="shared" si="20"/>
        <v/>
      </c>
    </row>
    <row r="29" spans="1:133" x14ac:dyDescent="0.3">
      <c r="A29" s="3">
        <v>21</v>
      </c>
      <c r="B29" s="4" t="s">
        <v>58</v>
      </c>
      <c r="C29" s="3">
        <v>33</v>
      </c>
      <c r="D29" s="3" t="s">
        <v>59</v>
      </c>
      <c r="E29" s="5" t="str">
        <f t="shared" si="0"/>
        <v/>
      </c>
      <c r="F29" s="10" t="str">
        <f t="shared" si="1"/>
        <v/>
      </c>
      <c r="G29" s="5" t="str">
        <f t="shared" si="2"/>
        <v/>
      </c>
      <c r="I29" s="33"/>
      <c r="K29" s="33"/>
      <c r="M29" s="33"/>
      <c r="O29" s="33"/>
      <c r="Q29" s="33"/>
      <c r="R29" s="11" t="str">
        <f t="shared" si="3"/>
        <v/>
      </c>
      <c r="S29" s="33"/>
      <c r="T29" s="33"/>
      <c r="U29" s="33"/>
      <c r="V29" s="33"/>
      <c r="W29" s="33"/>
      <c r="X29" s="33"/>
      <c r="Y29" s="33"/>
      <c r="Z29" s="33"/>
      <c r="AA29" s="12" t="str">
        <f t="shared" si="4"/>
        <v/>
      </c>
      <c r="AB29" s="13" t="str">
        <f t="shared" si="5"/>
        <v/>
      </c>
      <c r="AD29" s="33"/>
      <c r="AF29" s="33"/>
      <c r="AH29" s="33"/>
      <c r="AJ29" s="33"/>
      <c r="AL29" s="33"/>
      <c r="AM29" s="11" t="str">
        <f t="shared" si="6"/>
        <v/>
      </c>
      <c r="AN29" s="33"/>
      <c r="AO29" s="33"/>
      <c r="AP29" s="33"/>
      <c r="AQ29" s="33"/>
      <c r="AR29" s="33"/>
      <c r="AS29" s="33"/>
      <c r="AT29" s="33"/>
      <c r="AU29" s="33"/>
      <c r="AV29" s="12" t="str">
        <f t="shared" si="7"/>
        <v/>
      </c>
      <c r="AW29" s="13" t="str">
        <f t="shared" si="8"/>
        <v/>
      </c>
      <c r="AY29" s="33"/>
      <c r="BA29" s="33"/>
      <c r="BC29" s="33"/>
      <c r="BE29" s="33"/>
      <c r="BG29" s="33"/>
      <c r="BH29" s="11" t="str">
        <f t="shared" si="9"/>
        <v/>
      </c>
      <c r="BI29" s="33"/>
      <c r="BJ29" s="33"/>
      <c r="BK29" s="33"/>
      <c r="BL29" s="33"/>
      <c r="BM29" s="33"/>
      <c r="BN29" s="33"/>
      <c r="BO29" s="33"/>
      <c r="BP29" s="33"/>
      <c r="BQ29" s="12" t="str">
        <f t="shared" si="10"/>
        <v/>
      </c>
      <c r="BR29" s="13" t="str">
        <f t="shared" si="11"/>
        <v/>
      </c>
      <c r="BT29" s="33"/>
      <c r="BV29" s="33"/>
      <c r="BX29" s="33"/>
      <c r="BZ29" s="33"/>
      <c r="CB29" s="33"/>
      <c r="CC29" s="11" t="str">
        <f t="shared" si="12"/>
        <v/>
      </c>
      <c r="CD29" s="33"/>
      <c r="CE29" s="33"/>
      <c r="CF29" s="33"/>
      <c r="CG29" s="33"/>
      <c r="CH29" s="33"/>
      <c r="CI29" s="33"/>
      <c r="CJ29" s="33"/>
      <c r="CK29" s="33"/>
      <c r="CL29" s="12" t="str">
        <f t="shared" si="13"/>
        <v/>
      </c>
      <c r="CM29" s="13" t="str">
        <f t="shared" si="14"/>
        <v/>
      </c>
      <c r="CO29" s="33"/>
      <c r="CQ29" s="33"/>
      <c r="CS29" s="33"/>
      <c r="CU29" s="33"/>
      <c r="CW29" s="33"/>
      <c r="CX29" s="11" t="str">
        <f t="shared" si="15"/>
        <v/>
      </c>
      <c r="CY29" s="33"/>
      <c r="CZ29" s="33"/>
      <c r="DA29" s="33"/>
      <c r="DB29" s="33"/>
      <c r="DC29" s="33"/>
      <c r="DD29" s="33"/>
      <c r="DE29" s="33"/>
      <c r="DF29" s="33"/>
      <c r="DG29" s="12" t="str">
        <f t="shared" si="16"/>
        <v/>
      </c>
      <c r="DH29" s="13" t="str">
        <f t="shared" si="17"/>
        <v/>
      </c>
      <c r="DI29" s="3"/>
      <c r="DJ29" s="34"/>
      <c r="DK29" s="3"/>
      <c r="DL29" s="34"/>
      <c r="DM29" s="3"/>
      <c r="DN29" s="34"/>
      <c r="DO29" s="3"/>
      <c r="DP29" s="34"/>
      <c r="DQ29" s="3"/>
      <c r="DR29" s="34"/>
      <c r="DS29" s="5" t="str">
        <f t="shared" si="18"/>
        <v/>
      </c>
      <c r="DT29" s="34"/>
      <c r="DU29" s="34"/>
      <c r="DV29" s="34"/>
      <c r="DW29" s="34"/>
      <c r="DX29" s="34"/>
      <c r="DY29" s="34"/>
      <c r="DZ29" s="34"/>
      <c r="EA29" s="34"/>
      <c r="EB29" s="14" t="str">
        <f t="shared" si="19"/>
        <v/>
      </c>
      <c r="EC29" s="15" t="str">
        <f t="shared" si="20"/>
        <v/>
      </c>
    </row>
    <row r="30" spans="1:133" x14ac:dyDescent="0.3">
      <c r="A30" s="3">
        <v>22</v>
      </c>
      <c r="B30" s="4" t="s">
        <v>60</v>
      </c>
      <c r="C30" s="3">
        <v>34</v>
      </c>
      <c r="D30" s="3" t="s">
        <v>61</v>
      </c>
      <c r="E30" s="5" t="str">
        <f t="shared" si="0"/>
        <v/>
      </c>
      <c r="F30" s="10" t="str">
        <f t="shared" si="1"/>
        <v/>
      </c>
      <c r="G30" s="5" t="str">
        <f t="shared" si="2"/>
        <v/>
      </c>
      <c r="I30" s="33"/>
      <c r="K30" s="33"/>
      <c r="M30" s="33"/>
      <c r="O30" s="33"/>
      <c r="Q30" s="33"/>
      <c r="R30" s="11" t="str">
        <f t="shared" si="3"/>
        <v/>
      </c>
      <c r="S30" s="33"/>
      <c r="T30" s="33"/>
      <c r="U30" s="33"/>
      <c r="V30" s="33"/>
      <c r="W30" s="33"/>
      <c r="X30" s="33"/>
      <c r="Y30" s="33"/>
      <c r="Z30" s="33"/>
      <c r="AA30" s="12" t="str">
        <f t="shared" si="4"/>
        <v/>
      </c>
      <c r="AB30" s="13" t="str">
        <f t="shared" si="5"/>
        <v/>
      </c>
      <c r="AD30" s="33"/>
      <c r="AF30" s="33"/>
      <c r="AH30" s="33"/>
      <c r="AJ30" s="33"/>
      <c r="AL30" s="33"/>
      <c r="AM30" s="11" t="str">
        <f t="shared" si="6"/>
        <v/>
      </c>
      <c r="AN30" s="33"/>
      <c r="AO30" s="33"/>
      <c r="AP30" s="33"/>
      <c r="AQ30" s="33"/>
      <c r="AR30" s="33"/>
      <c r="AS30" s="33"/>
      <c r="AT30" s="33"/>
      <c r="AU30" s="33"/>
      <c r="AV30" s="12" t="str">
        <f t="shared" si="7"/>
        <v/>
      </c>
      <c r="AW30" s="13" t="str">
        <f t="shared" si="8"/>
        <v/>
      </c>
      <c r="AY30" s="33"/>
      <c r="BA30" s="33"/>
      <c r="BC30" s="33"/>
      <c r="BE30" s="33"/>
      <c r="BG30" s="33"/>
      <c r="BH30" s="11" t="str">
        <f t="shared" si="9"/>
        <v/>
      </c>
      <c r="BI30" s="33"/>
      <c r="BJ30" s="33"/>
      <c r="BK30" s="33"/>
      <c r="BL30" s="33"/>
      <c r="BM30" s="33"/>
      <c r="BN30" s="33"/>
      <c r="BO30" s="33"/>
      <c r="BP30" s="33"/>
      <c r="BQ30" s="12" t="str">
        <f t="shared" si="10"/>
        <v/>
      </c>
      <c r="BR30" s="13" t="str">
        <f t="shared" si="11"/>
        <v/>
      </c>
      <c r="BT30" s="33"/>
      <c r="BV30" s="33"/>
      <c r="BX30" s="33"/>
      <c r="BZ30" s="33"/>
      <c r="CB30" s="33"/>
      <c r="CC30" s="11" t="str">
        <f t="shared" si="12"/>
        <v/>
      </c>
      <c r="CD30" s="33"/>
      <c r="CE30" s="33"/>
      <c r="CF30" s="33"/>
      <c r="CG30" s="33"/>
      <c r="CH30" s="33"/>
      <c r="CI30" s="33"/>
      <c r="CJ30" s="33"/>
      <c r="CK30" s="33"/>
      <c r="CL30" s="12" t="str">
        <f t="shared" si="13"/>
        <v/>
      </c>
      <c r="CM30" s="13" t="str">
        <f t="shared" si="14"/>
        <v/>
      </c>
      <c r="CO30" s="33"/>
      <c r="CQ30" s="33"/>
      <c r="CS30" s="33"/>
      <c r="CU30" s="33"/>
      <c r="CW30" s="33"/>
      <c r="CX30" s="11" t="str">
        <f t="shared" si="15"/>
        <v/>
      </c>
      <c r="CY30" s="33"/>
      <c r="CZ30" s="33"/>
      <c r="DA30" s="33"/>
      <c r="DB30" s="33"/>
      <c r="DC30" s="33"/>
      <c r="DD30" s="33"/>
      <c r="DE30" s="33"/>
      <c r="DF30" s="33"/>
      <c r="DG30" s="12" t="str">
        <f t="shared" si="16"/>
        <v/>
      </c>
      <c r="DH30" s="13" t="str">
        <f t="shared" si="17"/>
        <v/>
      </c>
      <c r="DI30" s="3"/>
      <c r="DJ30" s="34"/>
      <c r="DK30" s="3"/>
      <c r="DL30" s="34"/>
      <c r="DM30" s="3"/>
      <c r="DN30" s="34"/>
      <c r="DO30" s="3"/>
      <c r="DP30" s="34"/>
      <c r="DQ30" s="3"/>
      <c r="DR30" s="34"/>
      <c r="DS30" s="5" t="str">
        <f t="shared" si="18"/>
        <v/>
      </c>
      <c r="DT30" s="34"/>
      <c r="DU30" s="34"/>
      <c r="DV30" s="34"/>
      <c r="DW30" s="34"/>
      <c r="DX30" s="34"/>
      <c r="DY30" s="34"/>
      <c r="DZ30" s="34"/>
      <c r="EA30" s="34"/>
      <c r="EB30" s="14" t="str">
        <f t="shared" si="19"/>
        <v/>
      </c>
      <c r="EC30" s="15" t="str">
        <f t="shared" si="20"/>
        <v/>
      </c>
    </row>
    <row r="31" spans="1:133" x14ac:dyDescent="0.3">
      <c r="A31" s="3">
        <v>23</v>
      </c>
      <c r="B31" s="4" t="s">
        <v>62</v>
      </c>
      <c r="C31" s="3">
        <v>35</v>
      </c>
      <c r="D31" s="3" t="s">
        <v>63</v>
      </c>
      <c r="E31" s="5" t="str">
        <f t="shared" si="0"/>
        <v/>
      </c>
      <c r="F31" s="10" t="str">
        <f t="shared" si="1"/>
        <v/>
      </c>
      <c r="G31" s="5" t="str">
        <f t="shared" si="2"/>
        <v/>
      </c>
      <c r="I31" s="33"/>
      <c r="K31" s="33"/>
      <c r="M31" s="33"/>
      <c r="O31" s="33"/>
      <c r="Q31" s="33"/>
      <c r="R31" s="11" t="str">
        <f t="shared" si="3"/>
        <v/>
      </c>
      <c r="S31" s="33"/>
      <c r="T31" s="33"/>
      <c r="U31" s="33"/>
      <c r="V31" s="33"/>
      <c r="W31" s="33"/>
      <c r="X31" s="33"/>
      <c r="Y31" s="33"/>
      <c r="Z31" s="33"/>
      <c r="AA31" s="12" t="str">
        <f t="shared" si="4"/>
        <v/>
      </c>
      <c r="AB31" s="13" t="str">
        <f t="shared" si="5"/>
        <v/>
      </c>
      <c r="AD31" s="33"/>
      <c r="AF31" s="33"/>
      <c r="AH31" s="33"/>
      <c r="AJ31" s="33"/>
      <c r="AL31" s="33"/>
      <c r="AM31" s="11" t="str">
        <f t="shared" si="6"/>
        <v/>
      </c>
      <c r="AN31" s="33"/>
      <c r="AO31" s="33"/>
      <c r="AP31" s="33"/>
      <c r="AQ31" s="33"/>
      <c r="AR31" s="33"/>
      <c r="AS31" s="33"/>
      <c r="AT31" s="33"/>
      <c r="AU31" s="33"/>
      <c r="AV31" s="12" t="str">
        <f t="shared" si="7"/>
        <v/>
      </c>
      <c r="AW31" s="13" t="str">
        <f t="shared" si="8"/>
        <v/>
      </c>
      <c r="AY31" s="33"/>
      <c r="BA31" s="33"/>
      <c r="BC31" s="33"/>
      <c r="BE31" s="33"/>
      <c r="BG31" s="33"/>
      <c r="BH31" s="11" t="str">
        <f t="shared" si="9"/>
        <v/>
      </c>
      <c r="BI31" s="33"/>
      <c r="BJ31" s="33"/>
      <c r="BK31" s="33"/>
      <c r="BL31" s="33"/>
      <c r="BM31" s="33"/>
      <c r="BN31" s="33"/>
      <c r="BO31" s="33"/>
      <c r="BP31" s="33"/>
      <c r="BQ31" s="12" t="str">
        <f t="shared" si="10"/>
        <v/>
      </c>
      <c r="BR31" s="13" t="str">
        <f t="shared" si="11"/>
        <v/>
      </c>
      <c r="BT31" s="33"/>
      <c r="BV31" s="33"/>
      <c r="BX31" s="33"/>
      <c r="BZ31" s="33"/>
      <c r="CB31" s="33"/>
      <c r="CC31" s="11" t="str">
        <f t="shared" si="12"/>
        <v/>
      </c>
      <c r="CD31" s="33"/>
      <c r="CE31" s="33"/>
      <c r="CF31" s="33"/>
      <c r="CG31" s="33"/>
      <c r="CH31" s="33"/>
      <c r="CI31" s="33"/>
      <c r="CJ31" s="33"/>
      <c r="CK31" s="33"/>
      <c r="CL31" s="12" t="str">
        <f t="shared" si="13"/>
        <v/>
      </c>
      <c r="CM31" s="13" t="str">
        <f t="shared" si="14"/>
        <v/>
      </c>
      <c r="CO31" s="33"/>
      <c r="CQ31" s="33"/>
      <c r="CS31" s="33"/>
      <c r="CU31" s="33"/>
      <c r="CW31" s="33"/>
      <c r="CX31" s="11" t="str">
        <f t="shared" si="15"/>
        <v/>
      </c>
      <c r="CY31" s="33"/>
      <c r="CZ31" s="33"/>
      <c r="DA31" s="33"/>
      <c r="DB31" s="33"/>
      <c r="DC31" s="33"/>
      <c r="DD31" s="33"/>
      <c r="DE31" s="33"/>
      <c r="DF31" s="33"/>
      <c r="DG31" s="12" t="str">
        <f t="shared" si="16"/>
        <v/>
      </c>
      <c r="DH31" s="13" t="str">
        <f t="shared" si="17"/>
        <v/>
      </c>
      <c r="DI31" s="3"/>
      <c r="DJ31" s="34"/>
      <c r="DK31" s="3"/>
      <c r="DL31" s="34"/>
      <c r="DM31" s="3"/>
      <c r="DN31" s="34"/>
      <c r="DO31" s="3"/>
      <c r="DP31" s="34"/>
      <c r="DQ31" s="3"/>
      <c r="DR31" s="34"/>
      <c r="DS31" s="5" t="str">
        <f t="shared" si="18"/>
        <v/>
      </c>
      <c r="DT31" s="34"/>
      <c r="DU31" s="34"/>
      <c r="DV31" s="34"/>
      <c r="DW31" s="34"/>
      <c r="DX31" s="34"/>
      <c r="DY31" s="34"/>
      <c r="DZ31" s="34"/>
      <c r="EA31" s="34"/>
      <c r="EB31" s="14" t="str">
        <f t="shared" si="19"/>
        <v/>
      </c>
      <c r="EC31" s="15" t="str">
        <f t="shared" si="20"/>
        <v/>
      </c>
    </row>
    <row r="32" spans="1:133" x14ac:dyDescent="0.3">
      <c r="A32" s="3">
        <v>24</v>
      </c>
      <c r="B32" s="4" t="s">
        <v>64</v>
      </c>
      <c r="C32" s="3">
        <v>36</v>
      </c>
      <c r="D32" s="3" t="s">
        <v>65</v>
      </c>
      <c r="E32" s="5" t="str">
        <f t="shared" si="0"/>
        <v/>
      </c>
      <c r="F32" s="10" t="str">
        <f t="shared" si="1"/>
        <v/>
      </c>
      <c r="G32" s="5" t="str">
        <f t="shared" si="2"/>
        <v/>
      </c>
      <c r="I32" s="33"/>
      <c r="K32" s="33"/>
      <c r="M32" s="33"/>
      <c r="O32" s="33"/>
      <c r="Q32" s="33"/>
      <c r="R32" s="11" t="str">
        <f t="shared" si="3"/>
        <v/>
      </c>
      <c r="S32" s="33"/>
      <c r="T32" s="33"/>
      <c r="U32" s="33"/>
      <c r="V32" s="33"/>
      <c r="W32" s="33"/>
      <c r="X32" s="33"/>
      <c r="Y32" s="33"/>
      <c r="Z32" s="33"/>
      <c r="AA32" s="12" t="str">
        <f t="shared" si="4"/>
        <v/>
      </c>
      <c r="AB32" s="13" t="str">
        <f t="shared" si="5"/>
        <v/>
      </c>
      <c r="AD32" s="33"/>
      <c r="AF32" s="33"/>
      <c r="AH32" s="33"/>
      <c r="AJ32" s="33"/>
      <c r="AL32" s="33"/>
      <c r="AM32" s="11" t="str">
        <f t="shared" si="6"/>
        <v/>
      </c>
      <c r="AN32" s="33"/>
      <c r="AO32" s="33"/>
      <c r="AP32" s="33"/>
      <c r="AQ32" s="33"/>
      <c r="AR32" s="33"/>
      <c r="AS32" s="33"/>
      <c r="AT32" s="33"/>
      <c r="AU32" s="33"/>
      <c r="AV32" s="12" t="str">
        <f t="shared" si="7"/>
        <v/>
      </c>
      <c r="AW32" s="13" t="str">
        <f t="shared" si="8"/>
        <v/>
      </c>
      <c r="AY32" s="33"/>
      <c r="BA32" s="33"/>
      <c r="BC32" s="33"/>
      <c r="BE32" s="33"/>
      <c r="BG32" s="33"/>
      <c r="BH32" s="11" t="str">
        <f t="shared" si="9"/>
        <v/>
      </c>
      <c r="BI32" s="33"/>
      <c r="BJ32" s="33"/>
      <c r="BK32" s="33"/>
      <c r="BL32" s="33"/>
      <c r="BM32" s="33"/>
      <c r="BN32" s="33"/>
      <c r="BO32" s="33"/>
      <c r="BP32" s="33"/>
      <c r="BQ32" s="12" t="str">
        <f t="shared" si="10"/>
        <v/>
      </c>
      <c r="BR32" s="13" t="str">
        <f t="shared" si="11"/>
        <v/>
      </c>
      <c r="BT32" s="33"/>
      <c r="BV32" s="33"/>
      <c r="BX32" s="33"/>
      <c r="BZ32" s="33"/>
      <c r="CB32" s="33"/>
      <c r="CC32" s="11" t="str">
        <f t="shared" si="12"/>
        <v/>
      </c>
      <c r="CD32" s="33"/>
      <c r="CE32" s="33"/>
      <c r="CF32" s="33"/>
      <c r="CG32" s="33"/>
      <c r="CH32" s="33"/>
      <c r="CI32" s="33"/>
      <c r="CJ32" s="33"/>
      <c r="CK32" s="33"/>
      <c r="CL32" s="12" t="str">
        <f t="shared" si="13"/>
        <v/>
      </c>
      <c r="CM32" s="13" t="str">
        <f t="shared" si="14"/>
        <v/>
      </c>
      <c r="CO32" s="33"/>
      <c r="CQ32" s="33"/>
      <c r="CS32" s="33"/>
      <c r="CU32" s="33"/>
      <c r="CW32" s="33"/>
      <c r="CX32" s="11" t="str">
        <f t="shared" si="15"/>
        <v/>
      </c>
      <c r="CY32" s="33"/>
      <c r="CZ32" s="33"/>
      <c r="DA32" s="33"/>
      <c r="DB32" s="33"/>
      <c r="DC32" s="33"/>
      <c r="DD32" s="33"/>
      <c r="DE32" s="33"/>
      <c r="DF32" s="33"/>
      <c r="DG32" s="12" t="str">
        <f t="shared" si="16"/>
        <v/>
      </c>
      <c r="DH32" s="13" t="str">
        <f t="shared" si="17"/>
        <v/>
      </c>
      <c r="DI32" s="3"/>
      <c r="DJ32" s="34"/>
      <c r="DK32" s="3"/>
      <c r="DL32" s="34"/>
      <c r="DM32" s="3"/>
      <c r="DN32" s="34"/>
      <c r="DO32" s="3"/>
      <c r="DP32" s="34"/>
      <c r="DQ32" s="3"/>
      <c r="DR32" s="34"/>
      <c r="DS32" s="5" t="str">
        <f t="shared" si="18"/>
        <v/>
      </c>
      <c r="DT32" s="34"/>
      <c r="DU32" s="34"/>
      <c r="DV32" s="34"/>
      <c r="DW32" s="34"/>
      <c r="DX32" s="34"/>
      <c r="DY32" s="34"/>
      <c r="DZ32" s="34"/>
      <c r="EA32" s="34"/>
      <c r="EB32" s="14" t="str">
        <f t="shared" si="19"/>
        <v/>
      </c>
      <c r="EC32" s="15" t="str">
        <f t="shared" si="20"/>
        <v/>
      </c>
    </row>
    <row r="33" spans="1:133" x14ac:dyDescent="0.3">
      <c r="A33" s="3">
        <v>25</v>
      </c>
      <c r="B33" s="4" t="s">
        <v>66</v>
      </c>
      <c r="C33" s="3">
        <v>37</v>
      </c>
      <c r="D33" s="3" t="s">
        <v>67</v>
      </c>
      <c r="E33" s="5" t="str">
        <f t="shared" si="0"/>
        <v/>
      </c>
      <c r="F33" s="10" t="str">
        <f t="shared" si="1"/>
        <v/>
      </c>
      <c r="G33" s="5" t="str">
        <f t="shared" si="2"/>
        <v/>
      </c>
      <c r="I33" s="33"/>
      <c r="K33" s="33"/>
      <c r="M33" s="33"/>
      <c r="O33" s="33"/>
      <c r="Q33" s="33"/>
      <c r="R33" s="11" t="str">
        <f t="shared" si="3"/>
        <v/>
      </c>
      <c r="S33" s="33"/>
      <c r="T33" s="33"/>
      <c r="U33" s="33"/>
      <c r="V33" s="33"/>
      <c r="W33" s="33"/>
      <c r="X33" s="33"/>
      <c r="Y33" s="33"/>
      <c r="Z33" s="33"/>
      <c r="AA33" s="12" t="str">
        <f t="shared" si="4"/>
        <v/>
      </c>
      <c r="AB33" s="13" t="str">
        <f t="shared" si="5"/>
        <v/>
      </c>
      <c r="AD33" s="33"/>
      <c r="AF33" s="33"/>
      <c r="AH33" s="33"/>
      <c r="AJ33" s="33"/>
      <c r="AL33" s="33"/>
      <c r="AM33" s="11" t="str">
        <f t="shared" si="6"/>
        <v/>
      </c>
      <c r="AN33" s="33"/>
      <c r="AO33" s="33"/>
      <c r="AP33" s="33"/>
      <c r="AQ33" s="33"/>
      <c r="AR33" s="33"/>
      <c r="AS33" s="33"/>
      <c r="AT33" s="33"/>
      <c r="AU33" s="33"/>
      <c r="AV33" s="12" t="str">
        <f t="shared" si="7"/>
        <v/>
      </c>
      <c r="AW33" s="13" t="str">
        <f t="shared" si="8"/>
        <v/>
      </c>
      <c r="AY33" s="33"/>
      <c r="BA33" s="33"/>
      <c r="BC33" s="33"/>
      <c r="BE33" s="33"/>
      <c r="BG33" s="33"/>
      <c r="BH33" s="11" t="str">
        <f t="shared" si="9"/>
        <v/>
      </c>
      <c r="BI33" s="33"/>
      <c r="BJ33" s="33"/>
      <c r="BK33" s="33"/>
      <c r="BL33" s="33"/>
      <c r="BM33" s="33"/>
      <c r="BN33" s="33"/>
      <c r="BO33" s="33"/>
      <c r="BP33" s="33"/>
      <c r="BQ33" s="12" t="str">
        <f t="shared" si="10"/>
        <v/>
      </c>
      <c r="BR33" s="13" t="str">
        <f t="shared" si="11"/>
        <v/>
      </c>
      <c r="BT33" s="33"/>
      <c r="BV33" s="33"/>
      <c r="BX33" s="33"/>
      <c r="BZ33" s="33"/>
      <c r="CB33" s="33"/>
      <c r="CC33" s="11" t="str">
        <f t="shared" si="12"/>
        <v/>
      </c>
      <c r="CD33" s="33"/>
      <c r="CE33" s="33"/>
      <c r="CF33" s="33"/>
      <c r="CG33" s="33"/>
      <c r="CH33" s="33"/>
      <c r="CI33" s="33"/>
      <c r="CJ33" s="33"/>
      <c r="CK33" s="33"/>
      <c r="CL33" s="12" t="str">
        <f t="shared" si="13"/>
        <v/>
      </c>
      <c r="CM33" s="13" t="str">
        <f t="shared" si="14"/>
        <v/>
      </c>
      <c r="CO33" s="33"/>
      <c r="CQ33" s="33"/>
      <c r="CS33" s="33"/>
      <c r="CU33" s="33"/>
      <c r="CW33" s="33"/>
      <c r="CX33" s="11" t="str">
        <f t="shared" si="15"/>
        <v/>
      </c>
      <c r="CY33" s="33"/>
      <c r="CZ33" s="33"/>
      <c r="DA33" s="33"/>
      <c r="DB33" s="33"/>
      <c r="DC33" s="33"/>
      <c r="DD33" s="33"/>
      <c r="DE33" s="33"/>
      <c r="DF33" s="33"/>
      <c r="DG33" s="12" t="str">
        <f t="shared" si="16"/>
        <v/>
      </c>
      <c r="DH33" s="13" t="str">
        <f t="shared" si="17"/>
        <v/>
      </c>
      <c r="DI33" s="3"/>
      <c r="DJ33" s="34"/>
      <c r="DK33" s="3"/>
      <c r="DL33" s="34"/>
      <c r="DM33" s="3"/>
      <c r="DN33" s="34"/>
      <c r="DO33" s="3"/>
      <c r="DP33" s="34"/>
      <c r="DQ33" s="3"/>
      <c r="DR33" s="34"/>
      <c r="DS33" s="5" t="str">
        <f t="shared" si="18"/>
        <v/>
      </c>
      <c r="DT33" s="34"/>
      <c r="DU33" s="34"/>
      <c r="DV33" s="34"/>
      <c r="DW33" s="34"/>
      <c r="DX33" s="34"/>
      <c r="DY33" s="34"/>
      <c r="DZ33" s="34"/>
      <c r="EA33" s="34"/>
      <c r="EB33" s="14" t="str">
        <f t="shared" si="19"/>
        <v/>
      </c>
      <c r="EC33" s="15" t="str">
        <f t="shared" si="20"/>
        <v/>
      </c>
    </row>
    <row r="34" spans="1:133" x14ac:dyDescent="0.3">
      <c r="A34" s="3">
        <v>26</v>
      </c>
      <c r="B34" s="4" t="s">
        <v>68</v>
      </c>
      <c r="C34" s="3">
        <v>38</v>
      </c>
      <c r="D34" s="3" t="s">
        <v>69</v>
      </c>
      <c r="E34" s="5" t="str">
        <f t="shared" si="0"/>
        <v/>
      </c>
      <c r="F34" s="10" t="str">
        <f t="shared" si="1"/>
        <v/>
      </c>
      <c r="G34" s="5" t="str">
        <f t="shared" si="2"/>
        <v/>
      </c>
      <c r="I34" s="33"/>
      <c r="K34" s="33"/>
      <c r="M34" s="33"/>
      <c r="O34" s="33"/>
      <c r="Q34" s="33"/>
      <c r="R34" s="11" t="str">
        <f t="shared" si="3"/>
        <v/>
      </c>
      <c r="S34" s="33"/>
      <c r="T34" s="33"/>
      <c r="U34" s="33"/>
      <c r="V34" s="33"/>
      <c r="W34" s="33"/>
      <c r="X34" s="33"/>
      <c r="Y34" s="33"/>
      <c r="Z34" s="33"/>
      <c r="AA34" s="12" t="str">
        <f t="shared" si="4"/>
        <v/>
      </c>
      <c r="AB34" s="13" t="str">
        <f t="shared" si="5"/>
        <v/>
      </c>
      <c r="AD34" s="33"/>
      <c r="AF34" s="33"/>
      <c r="AH34" s="33"/>
      <c r="AJ34" s="33"/>
      <c r="AL34" s="33"/>
      <c r="AM34" s="11" t="str">
        <f t="shared" si="6"/>
        <v/>
      </c>
      <c r="AN34" s="33"/>
      <c r="AO34" s="33"/>
      <c r="AP34" s="33"/>
      <c r="AQ34" s="33"/>
      <c r="AR34" s="33"/>
      <c r="AS34" s="33"/>
      <c r="AT34" s="33"/>
      <c r="AU34" s="33"/>
      <c r="AV34" s="12" t="str">
        <f t="shared" si="7"/>
        <v/>
      </c>
      <c r="AW34" s="13" t="str">
        <f t="shared" si="8"/>
        <v/>
      </c>
      <c r="AY34" s="33"/>
      <c r="BA34" s="33"/>
      <c r="BC34" s="33"/>
      <c r="BE34" s="33"/>
      <c r="BG34" s="33"/>
      <c r="BH34" s="11" t="str">
        <f t="shared" si="9"/>
        <v/>
      </c>
      <c r="BI34" s="33"/>
      <c r="BJ34" s="33"/>
      <c r="BK34" s="33"/>
      <c r="BL34" s="33"/>
      <c r="BM34" s="33"/>
      <c r="BN34" s="33"/>
      <c r="BO34" s="33"/>
      <c r="BP34" s="33"/>
      <c r="BQ34" s="12" t="str">
        <f t="shared" si="10"/>
        <v/>
      </c>
      <c r="BR34" s="13" t="str">
        <f t="shared" si="11"/>
        <v/>
      </c>
      <c r="BT34" s="33"/>
      <c r="BV34" s="33"/>
      <c r="BX34" s="33"/>
      <c r="BZ34" s="33"/>
      <c r="CB34" s="33"/>
      <c r="CC34" s="11" t="str">
        <f t="shared" si="12"/>
        <v/>
      </c>
      <c r="CD34" s="33"/>
      <c r="CE34" s="33"/>
      <c r="CF34" s="33"/>
      <c r="CG34" s="33"/>
      <c r="CH34" s="33"/>
      <c r="CI34" s="33"/>
      <c r="CJ34" s="33"/>
      <c r="CK34" s="33"/>
      <c r="CL34" s="12" t="str">
        <f t="shared" si="13"/>
        <v/>
      </c>
      <c r="CM34" s="13" t="str">
        <f t="shared" si="14"/>
        <v/>
      </c>
      <c r="CO34" s="33"/>
      <c r="CQ34" s="33"/>
      <c r="CS34" s="33"/>
      <c r="CU34" s="33"/>
      <c r="CW34" s="33"/>
      <c r="CX34" s="11" t="str">
        <f t="shared" si="15"/>
        <v/>
      </c>
      <c r="CY34" s="33"/>
      <c r="CZ34" s="33"/>
      <c r="DA34" s="33"/>
      <c r="DB34" s="33"/>
      <c r="DC34" s="33"/>
      <c r="DD34" s="33"/>
      <c r="DE34" s="33"/>
      <c r="DF34" s="33"/>
      <c r="DG34" s="12" t="str">
        <f t="shared" si="16"/>
        <v/>
      </c>
      <c r="DH34" s="13" t="str">
        <f t="shared" si="17"/>
        <v/>
      </c>
      <c r="DI34" s="3"/>
      <c r="DJ34" s="34"/>
      <c r="DK34" s="3"/>
      <c r="DL34" s="34"/>
      <c r="DM34" s="3"/>
      <c r="DN34" s="34"/>
      <c r="DO34" s="3"/>
      <c r="DP34" s="34"/>
      <c r="DQ34" s="3"/>
      <c r="DR34" s="34"/>
      <c r="DS34" s="5" t="str">
        <f t="shared" si="18"/>
        <v/>
      </c>
      <c r="DT34" s="34"/>
      <c r="DU34" s="34"/>
      <c r="DV34" s="34"/>
      <c r="DW34" s="34"/>
      <c r="DX34" s="34"/>
      <c r="DY34" s="34"/>
      <c r="DZ34" s="34"/>
      <c r="EA34" s="34"/>
      <c r="EB34" s="14" t="str">
        <f t="shared" si="19"/>
        <v/>
      </c>
      <c r="EC34" s="15" t="str">
        <f t="shared" si="20"/>
        <v/>
      </c>
    </row>
    <row r="35" spans="1:133" x14ac:dyDescent="0.3">
      <c r="A35" s="3">
        <v>27</v>
      </c>
      <c r="B35" s="4" t="s">
        <v>70</v>
      </c>
      <c r="C35" s="3">
        <v>39</v>
      </c>
      <c r="D35" s="3" t="s">
        <v>71</v>
      </c>
      <c r="E35" s="5" t="str">
        <f t="shared" si="0"/>
        <v/>
      </c>
      <c r="F35" s="10" t="str">
        <f t="shared" si="1"/>
        <v/>
      </c>
      <c r="G35" s="5" t="str">
        <f t="shared" si="2"/>
        <v/>
      </c>
      <c r="I35" s="33"/>
      <c r="K35" s="33"/>
      <c r="M35" s="33"/>
      <c r="O35" s="33"/>
      <c r="Q35" s="33"/>
      <c r="R35" s="11" t="str">
        <f t="shared" si="3"/>
        <v/>
      </c>
      <c r="S35" s="33"/>
      <c r="T35" s="33"/>
      <c r="U35" s="33"/>
      <c r="V35" s="33"/>
      <c r="W35" s="33"/>
      <c r="X35" s="33"/>
      <c r="Y35" s="33"/>
      <c r="Z35" s="33"/>
      <c r="AA35" s="12" t="str">
        <f t="shared" si="4"/>
        <v/>
      </c>
      <c r="AB35" s="13" t="str">
        <f t="shared" si="5"/>
        <v/>
      </c>
      <c r="AD35" s="33"/>
      <c r="AF35" s="33"/>
      <c r="AH35" s="33"/>
      <c r="AJ35" s="33"/>
      <c r="AL35" s="33"/>
      <c r="AM35" s="11" t="str">
        <f t="shared" si="6"/>
        <v/>
      </c>
      <c r="AN35" s="33"/>
      <c r="AO35" s="33"/>
      <c r="AP35" s="33"/>
      <c r="AQ35" s="33"/>
      <c r="AR35" s="33"/>
      <c r="AS35" s="33"/>
      <c r="AT35" s="33"/>
      <c r="AU35" s="33"/>
      <c r="AV35" s="12" t="str">
        <f t="shared" si="7"/>
        <v/>
      </c>
      <c r="AW35" s="13" t="str">
        <f t="shared" si="8"/>
        <v/>
      </c>
      <c r="AY35" s="33"/>
      <c r="BA35" s="33"/>
      <c r="BC35" s="33"/>
      <c r="BE35" s="33"/>
      <c r="BG35" s="33"/>
      <c r="BH35" s="11" t="str">
        <f t="shared" si="9"/>
        <v/>
      </c>
      <c r="BI35" s="33"/>
      <c r="BJ35" s="33"/>
      <c r="BK35" s="33"/>
      <c r="BL35" s="33"/>
      <c r="BM35" s="33"/>
      <c r="BN35" s="33"/>
      <c r="BO35" s="33"/>
      <c r="BP35" s="33"/>
      <c r="BQ35" s="12" t="str">
        <f t="shared" si="10"/>
        <v/>
      </c>
      <c r="BR35" s="13" t="str">
        <f t="shared" si="11"/>
        <v/>
      </c>
      <c r="BT35" s="33"/>
      <c r="BV35" s="33"/>
      <c r="BX35" s="33"/>
      <c r="BZ35" s="33"/>
      <c r="CB35" s="33"/>
      <c r="CC35" s="11" t="str">
        <f t="shared" si="12"/>
        <v/>
      </c>
      <c r="CD35" s="33"/>
      <c r="CE35" s="33"/>
      <c r="CF35" s="33"/>
      <c r="CG35" s="33"/>
      <c r="CH35" s="33"/>
      <c r="CI35" s="33"/>
      <c r="CJ35" s="33"/>
      <c r="CK35" s="33"/>
      <c r="CL35" s="12" t="str">
        <f t="shared" si="13"/>
        <v/>
      </c>
      <c r="CM35" s="13" t="str">
        <f t="shared" si="14"/>
        <v/>
      </c>
      <c r="CO35" s="33"/>
      <c r="CQ35" s="33"/>
      <c r="CS35" s="33"/>
      <c r="CU35" s="33"/>
      <c r="CW35" s="33"/>
      <c r="CX35" s="11" t="str">
        <f t="shared" si="15"/>
        <v/>
      </c>
      <c r="CY35" s="33"/>
      <c r="CZ35" s="33"/>
      <c r="DA35" s="33"/>
      <c r="DB35" s="33"/>
      <c r="DC35" s="33"/>
      <c r="DD35" s="33"/>
      <c r="DE35" s="33"/>
      <c r="DF35" s="33"/>
      <c r="DG35" s="12" t="str">
        <f t="shared" si="16"/>
        <v/>
      </c>
      <c r="DH35" s="13" t="str">
        <f t="shared" si="17"/>
        <v/>
      </c>
      <c r="DI35" s="3"/>
      <c r="DJ35" s="34"/>
      <c r="DK35" s="3"/>
      <c r="DL35" s="34"/>
      <c r="DM35" s="3"/>
      <c r="DN35" s="34"/>
      <c r="DO35" s="3"/>
      <c r="DP35" s="34"/>
      <c r="DQ35" s="3"/>
      <c r="DR35" s="34"/>
      <c r="DS35" s="5" t="str">
        <f t="shared" si="18"/>
        <v/>
      </c>
      <c r="DT35" s="34"/>
      <c r="DU35" s="34"/>
      <c r="DV35" s="34"/>
      <c r="DW35" s="34"/>
      <c r="DX35" s="34"/>
      <c r="DY35" s="34"/>
      <c r="DZ35" s="34"/>
      <c r="EA35" s="34"/>
      <c r="EB35" s="14" t="str">
        <f t="shared" si="19"/>
        <v/>
      </c>
      <c r="EC35" s="15" t="str">
        <f t="shared" si="20"/>
        <v/>
      </c>
    </row>
    <row r="36" spans="1:133" x14ac:dyDescent="0.3">
      <c r="A36" s="3">
        <v>28</v>
      </c>
      <c r="B36" s="4" t="s">
        <v>72</v>
      </c>
      <c r="C36" s="3">
        <v>40</v>
      </c>
      <c r="D36" s="3" t="s">
        <v>73</v>
      </c>
      <c r="E36" s="5" t="str">
        <f t="shared" si="0"/>
        <v/>
      </c>
      <c r="F36" s="10" t="str">
        <f t="shared" si="1"/>
        <v/>
      </c>
      <c r="G36" s="5" t="str">
        <f t="shared" si="2"/>
        <v/>
      </c>
      <c r="I36" s="33"/>
      <c r="K36" s="33"/>
      <c r="M36" s="33"/>
      <c r="O36" s="33"/>
      <c r="Q36" s="33"/>
      <c r="R36" s="11" t="str">
        <f t="shared" si="3"/>
        <v/>
      </c>
      <c r="S36" s="33"/>
      <c r="T36" s="33"/>
      <c r="U36" s="33"/>
      <c r="V36" s="33"/>
      <c r="W36" s="33"/>
      <c r="X36" s="33"/>
      <c r="Y36" s="33"/>
      <c r="Z36" s="33"/>
      <c r="AA36" s="12" t="str">
        <f t="shared" si="4"/>
        <v/>
      </c>
      <c r="AB36" s="13" t="str">
        <f t="shared" si="5"/>
        <v/>
      </c>
      <c r="AD36" s="33"/>
      <c r="AF36" s="33"/>
      <c r="AH36" s="33"/>
      <c r="AJ36" s="33"/>
      <c r="AL36" s="33"/>
      <c r="AM36" s="11" t="str">
        <f t="shared" si="6"/>
        <v/>
      </c>
      <c r="AN36" s="33"/>
      <c r="AO36" s="33"/>
      <c r="AP36" s="33"/>
      <c r="AQ36" s="33"/>
      <c r="AR36" s="33"/>
      <c r="AS36" s="33"/>
      <c r="AT36" s="33"/>
      <c r="AU36" s="33"/>
      <c r="AV36" s="12" t="str">
        <f t="shared" si="7"/>
        <v/>
      </c>
      <c r="AW36" s="13" t="str">
        <f t="shared" si="8"/>
        <v/>
      </c>
      <c r="AY36" s="33"/>
      <c r="BA36" s="33"/>
      <c r="BC36" s="33"/>
      <c r="BE36" s="33"/>
      <c r="BG36" s="33"/>
      <c r="BH36" s="11" t="str">
        <f t="shared" si="9"/>
        <v/>
      </c>
      <c r="BI36" s="33"/>
      <c r="BJ36" s="33"/>
      <c r="BK36" s="33"/>
      <c r="BL36" s="33"/>
      <c r="BM36" s="33"/>
      <c r="BN36" s="33"/>
      <c r="BO36" s="33"/>
      <c r="BP36" s="33"/>
      <c r="BQ36" s="12" t="str">
        <f t="shared" si="10"/>
        <v/>
      </c>
      <c r="BR36" s="13" t="str">
        <f t="shared" si="11"/>
        <v/>
      </c>
      <c r="BT36" s="33"/>
      <c r="BV36" s="33"/>
      <c r="BX36" s="33"/>
      <c r="BZ36" s="33"/>
      <c r="CB36" s="33"/>
      <c r="CC36" s="11" t="str">
        <f t="shared" si="12"/>
        <v/>
      </c>
      <c r="CD36" s="33"/>
      <c r="CE36" s="33"/>
      <c r="CF36" s="33"/>
      <c r="CG36" s="33"/>
      <c r="CH36" s="33"/>
      <c r="CI36" s="33"/>
      <c r="CJ36" s="33"/>
      <c r="CK36" s="33"/>
      <c r="CL36" s="12" t="str">
        <f t="shared" si="13"/>
        <v/>
      </c>
      <c r="CM36" s="13" t="str">
        <f t="shared" si="14"/>
        <v/>
      </c>
      <c r="CO36" s="33"/>
      <c r="CQ36" s="33"/>
      <c r="CS36" s="33"/>
      <c r="CU36" s="33"/>
      <c r="CW36" s="33"/>
      <c r="CX36" s="11" t="str">
        <f t="shared" si="15"/>
        <v/>
      </c>
      <c r="CY36" s="33"/>
      <c r="CZ36" s="33"/>
      <c r="DA36" s="33"/>
      <c r="DB36" s="33"/>
      <c r="DC36" s="33"/>
      <c r="DD36" s="33"/>
      <c r="DE36" s="33"/>
      <c r="DF36" s="33"/>
      <c r="DG36" s="12" t="str">
        <f t="shared" si="16"/>
        <v/>
      </c>
      <c r="DH36" s="13" t="str">
        <f t="shared" si="17"/>
        <v/>
      </c>
      <c r="DI36" s="3"/>
      <c r="DJ36" s="34"/>
      <c r="DK36" s="3"/>
      <c r="DL36" s="34"/>
      <c r="DM36" s="3"/>
      <c r="DN36" s="34"/>
      <c r="DO36" s="3"/>
      <c r="DP36" s="34"/>
      <c r="DQ36" s="3"/>
      <c r="DR36" s="34"/>
      <c r="DS36" s="5" t="str">
        <f t="shared" si="18"/>
        <v/>
      </c>
      <c r="DT36" s="34"/>
      <c r="DU36" s="34"/>
      <c r="DV36" s="34"/>
      <c r="DW36" s="34"/>
      <c r="DX36" s="34"/>
      <c r="DY36" s="34"/>
      <c r="DZ36" s="34"/>
      <c r="EA36" s="34"/>
      <c r="EB36" s="14" t="str">
        <f t="shared" si="19"/>
        <v/>
      </c>
      <c r="EC36" s="15" t="str">
        <f t="shared" si="20"/>
        <v/>
      </c>
    </row>
    <row r="37" spans="1:133" x14ac:dyDescent="0.3">
      <c r="A37" s="3">
        <v>29</v>
      </c>
      <c r="B37" s="4" t="s">
        <v>74</v>
      </c>
      <c r="C37" s="3">
        <v>41</v>
      </c>
      <c r="D37" s="3" t="s">
        <v>75</v>
      </c>
      <c r="E37" s="5" t="str">
        <f t="shared" si="0"/>
        <v/>
      </c>
      <c r="F37" s="10" t="str">
        <f t="shared" si="1"/>
        <v/>
      </c>
      <c r="G37" s="5" t="str">
        <f t="shared" si="2"/>
        <v/>
      </c>
      <c r="I37" s="33"/>
      <c r="K37" s="33"/>
      <c r="M37" s="33"/>
      <c r="O37" s="33"/>
      <c r="Q37" s="33"/>
      <c r="R37" s="11" t="str">
        <f t="shared" si="3"/>
        <v/>
      </c>
      <c r="S37" s="33"/>
      <c r="T37" s="33"/>
      <c r="U37" s="33"/>
      <c r="V37" s="33"/>
      <c r="W37" s="33"/>
      <c r="X37" s="33"/>
      <c r="Y37" s="33"/>
      <c r="Z37" s="33"/>
      <c r="AA37" s="12" t="str">
        <f t="shared" si="4"/>
        <v/>
      </c>
      <c r="AB37" s="13" t="str">
        <f t="shared" si="5"/>
        <v/>
      </c>
      <c r="AD37" s="33"/>
      <c r="AF37" s="33"/>
      <c r="AH37" s="33"/>
      <c r="AJ37" s="33"/>
      <c r="AL37" s="33"/>
      <c r="AM37" s="11" t="str">
        <f t="shared" si="6"/>
        <v/>
      </c>
      <c r="AN37" s="33"/>
      <c r="AO37" s="33"/>
      <c r="AP37" s="33"/>
      <c r="AQ37" s="33"/>
      <c r="AR37" s="33"/>
      <c r="AS37" s="33"/>
      <c r="AT37" s="33"/>
      <c r="AU37" s="33"/>
      <c r="AV37" s="12" t="str">
        <f t="shared" si="7"/>
        <v/>
      </c>
      <c r="AW37" s="13" t="str">
        <f t="shared" si="8"/>
        <v/>
      </c>
      <c r="AY37" s="33"/>
      <c r="BA37" s="33"/>
      <c r="BC37" s="33"/>
      <c r="BE37" s="33"/>
      <c r="BG37" s="33"/>
      <c r="BH37" s="11" t="str">
        <f t="shared" si="9"/>
        <v/>
      </c>
      <c r="BI37" s="33"/>
      <c r="BJ37" s="33"/>
      <c r="BK37" s="33"/>
      <c r="BL37" s="33"/>
      <c r="BM37" s="33"/>
      <c r="BN37" s="33"/>
      <c r="BO37" s="33"/>
      <c r="BP37" s="33"/>
      <c r="BQ37" s="12" t="str">
        <f t="shared" si="10"/>
        <v/>
      </c>
      <c r="BR37" s="13" t="str">
        <f t="shared" si="11"/>
        <v/>
      </c>
      <c r="BT37" s="33"/>
      <c r="BV37" s="33"/>
      <c r="BX37" s="33"/>
      <c r="BZ37" s="33"/>
      <c r="CB37" s="33"/>
      <c r="CC37" s="11" t="str">
        <f t="shared" si="12"/>
        <v/>
      </c>
      <c r="CD37" s="33"/>
      <c r="CE37" s="33"/>
      <c r="CF37" s="33"/>
      <c r="CG37" s="33"/>
      <c r="CH37" s="33"/>
      <c r="CI37" s="33"/>
      <c r="CJ37" s="33"/>
      <c r="CK37" s="33"/>
      <c r="CL37" s="12" t="str">
        <f t="shared" si="13"/>
        <v/>
      </c>
      <c r="CM37" s="13" t="str">
        <f t="shared" si="14"/>
        <v/>
      </c>
      <c r="CO37" s="33"/>
      <c r="CQ37" s="33"/>
      <c r="CS37" s="33"/>
      <c r="CU37" s="33"/>
      <c r="CW37" s="33"/>
      <c r="CX37" s="11" t="str">
        <f t="shared" si="15"/>
        <v/>
      </c>
      <c r="CY37" s="33"/>
      <c r="CZ37" s="33"/>
      <c r="DA37" s="33"/>
      <c r="DB37" s="33"/>
      <c r="DC37" s="33"/>
      <c r="DD37" s="33"/>
      <c r="DE37" s="33"/>
      <c r="DF37" s="33"/>
      <c r="DG37" s="12" t="str">
        <f t="shared" si="16"/>
        <v/>
      </c>
      <c r="DH37" s="13" t="str">
        <f t="shared" si="17"/>
        <v/>
      </c>
      <c r="DI37" s="3"/>
      <c r="DJ37" s="34"/>
      <c r="DK37" s="3"/>
      <c r="DL37" s="34"/>
      <c r="DM37" s="3"/>
      <c r="DN37" s="34"/>
      <c r="DO37" s="3"/>
      <c r="DP37" s="34"/>
      <c r="DQ37" s="3"/>
      <c r="DR37" s="34"/>
      <c r="DS37" s="5" t="str">
        <f t="shared" si="18"/>
        <v/>
      </c>
      <c r="DT37" s="34"/>
      <c r="DU37" s="34"/>
      <c r="DV37" s="34"/>
      <c r="DW37" s="34"/>
      <c r="DX37" s="34"/>
      <c r="DY37" s="34"/>
      <c r="DZ37" s="34"/>
      <c r="EA37" s="34"/>
      <c r="EB37" s="14" t="str">
        <f t="shared" si="19"/>
        <v/>
      </c>
      <c r="EC37" s="15" t="str">
        <f t="shared" si="20"/>
        <v/>
      </c>
    </row>
    <row r="38" spans="1:133" x14ac:dyDescent="0.3">
      <c r="A38" s="3">
        <v>30</v>
      </c>
      <c r="B38" s="4" t="s">
        <v>76</v>
      </c>
      <c r="C38" s="3">
        <v>42</v>
      </c>
      <c r="D38" s="3" t="s">
        <v>77</v>
      </c>
      <c r="E38" s="5" t="str">
        <f t="shared" si="0"/>
        <v/>
      </c>
      <c r="F38" s="10" t="str">
        <f t="shared" si="1"/>
        <v/>
      </c>
      <c r="G38" s="5" t="str">
        <f t="shared" si="2"/>
        <v/>
      </c>
      <c r="I38" s="33"/>
      <c r="K38" s="33"/>
      <c r="M38" s="33"/>
      <c r="O38" s="33"/>
      <c r="Q38" s="33"/>
      <c r="R38" s="11" t="str">
        <f t="shared" si="3"/>
        <v/>
      </c>
      <c r="S38" s="33"/>
      <c r="T38" s="33"/>
      <c r="U38" s="33"/>
      <c r="V38" s="33"/>
      <c r="W38" s="33"/>
      <c r="X38" s="33"/>
      <c r="Y38" s="33"/>
      <c r="Z38" s="33"/>
      <c r="AA38" s="12" t="str">
        <f t="shared" si="4"/>
        <v/>
      </c>
      <c r="AB38" s="13" t="str">
        <f t="shared" si="5"/>
        <v/>
      </c>
      <c r="AD38" s="33"/>
      <c r="AF38" s="33"/>
      <c r="AH38" s="33"/>
      <c r="AJ38" s="33"/>
      <c r="AL38" s="33"/>
      <c r="AM38" s="11" t="str">
        <f t="shared" si="6"/>
        <v/>
      </c>
      <c r="AN38" s="33"/>
      <c r="AO38" s="33"/>
      <c r="AP38" s="33"/>
      <c r="AQ38" s="33"/>
      <c r="AR38" s="33"/>
      <c r="AS38" s="33"/>
      <c r="AT38" s="33"/>
      <c r="AU38" s="33"/>
      <c r="AV38" s="12" t="str">
        <f t="shared" si="7"/>
        <v/>
      </c>
      <c r="AW38" s="13" t="str">
        <f t="shared" si="8"/>
        <v/>
      </c>
      <c r="AY38" s="33"/>
      <c r="BA38" s="33"/>
      <c r="BC38" s="33"/>
      <c r="BE38" s="33"/>
      <c r="BG38" s="33"/>
      <c r="BH38" s="11" t="str">
        <f t="shared" si="9"/>
        <v/>
      </c>
      <c r="BI38" s="33"/>
      <c r="BJ38" s="33"/>
      <c r="BK38" s="33"/>
      <c r="BL38" s="33"/>
      <c r="BM38" s="33"/>
      <c r="BN38" s="33"/>
      <c r="BO38" s="33"/>
      <c r="BP38" s="33"/>
      <c r="BQ38" s="12" t="str">
        <f t="shared" si="10"/>
        <v/>
      </c>
      <c r="BR38" s="13" t="str">
        <f t="shared" si="11"/>
        <v/>
      </c>
      <c r="BT38" s="33"/>
      <c r="BV38" s="33"/>
      <c r="BX38" s="33"/>
      <c r="BZ38" s="33"/>
      <c r="CB38" s="33"/>
      <c r="CC38" s="11" t="str">
        <f t="shared" si="12"/>
        <v/>
      </c>
      <c r="CD38" s="33"/>
      <c r="CE38" s="33"/>
      <c r="CF38" s="33"/>
      <c r="CG38" s="33"/>
      <c r="CH38" s="33"/>
      <c r="CI38" s="33"/>
      <c r="CJ38" s="33"/>
      <c r="CK38" s="33"/>
      <c r="CL38" s="12" t="str">
        <f t="shared" si="13"/>
        <v/>
      </c>
      <c r="CM38" s="13" t="str">
        <f t="shared" si="14"/>
        <v/>
      </c>
      <c r="CO38" s="33"/>
      <c r="CQ38" s="33"/>
      <c r="CS38" s="33"/>
      <c r="CU38" s="33"/>
      <c r="CW38" s="33"/>
      <c r="CX38" s="11" t="str">
        <f t="shared" si="15"/>
        <v/>
      </c>
      <c r="CY38" s="33"/>
      <c r="CZ38" s="33"/>
      <c r="DA38" s="33"/>
      <c r="DB38" s="33"/>
      <c r="DC38" s="33"/>
      <c r="DD38" s="33"/>
      <c r="DE38" s="33"/>
      <c r="DF38" s="33"/>
      <c r="DG38" s="12" t="str">
        <f t="shared" si="16"/>
        <v/>
      </c>
      <c r="DH38" s="13" t="str">
        <f t="shared" si="17"/>
        <v/>
      </c>
      <c r="DI38" s="3"/>
      <c r="DJ38" s="34"/>
      <c r="DK38" s="3"/>
      <c r="DL38" s="34"/>
      <c r="DM38" s="3"/>
      <c r="DN38" s="34"/>
      <c r="DO38" s="3"/>
      <c r="DP38" s="34"/>
      <c r="DQ38" s="3"/>
      <c r="DR38" s="34"/>
      <c r="DS38" s="5" t="str">
        <f t="shared" si="18"/>
        <v/>
      </c>
      <c r="DT38" s="34"/>
      <c r="DU38" s="34"/>
      <c r="DV38" s="34"/>
      <c r="DW38" s="34"/>
      <c r="DX38" s="34"/>
      <c r="DY38" s="34"/>
      <c r="DZ38" s="34"/>
      <c r="EA38" s="34"/>
      <c r="EB38" s="14" t="str">
        <f t="shared" si="19"/>
        <v/>
      </c>
      <c r="EC38" s="15" t="str">
        <f t="shared" si="20"/>
        <v/>
      </c>
    </row>
    <row r="39" spans="1:133" x14ac:dyDescent="0.3">
      <c r="A39" s="3">
        <v>31</v>
      </c>
      <c r="B39" s="4" t="s">
        <v>78</v>
      </c>
      <c r="C39" s="3">
        <v>43</v>
      </c>
      <c r="D39" s="3" t="s">
        <v>79</v>
      </c>
      <c r="E39" s="5" t="str">
        <f t="shared" si="0"/>
        <v/>
      </c>
      <c r="F39" s="10" t="str">
        <f t="shared" si="1"/>
        <v/>
      </c>
      <c r="G39" s="5" t="str">
        <f t="shared" si="2"/>
        <v/>
      </c>
      <c r="I39" s="33"/>
      <c r="K39" s="33"/>
      <c r="M39" s="33"/>
      <c r="O39" s="33"/>
      <c r="Q39" s="33"/>
      <c r="R39" s="11" t="str">
        <f t="shared" si="3"/>
        <v/>
      </c>
      <c r="S39" s="33"/>
      <c r="T39" s="33"/>
      <c r="U39" s="33"/>
      <c r="V39" s="33"/>
      <c r="W39" s="33"/>
      <c r="X39" s="33"/>
      <c r="Y39" s="33"/>
      <c r="Z39" s="33"/>
      <c r="AA39" s="12" t="str">
        <f t="shared" si="4"/>
        <v/>
      </c>
      <c r="AB39" s="13" t="str">
        <f t="shared" si="5"/>
        <v/>
      </c>
      <c r="AD39" s="33"/>
      <c r="AF39" s="33"/>
      <c r="AH39" s="33"/>
      <c r="AJ39" s="33"/>
      <c r="AL39" s="33"/>
      <c r="AM39" s="11" t="str">
        <f t="shared" si="6"/>
        <v/>
      </c>
      <c r="AN39" s="33"/>
      <c r="AO39" s="33"/>
      <c r="AP39" s="33"/>
      <c r="AQ39" s="33"/>
      <c r="AR39" s="33"/>
      <c r="AS39" s="33"/>
      <c r="AT39" s="33"/>
      <c r="AU39" s="33"/>
      <c r="AV39" s="12" t="str">
        <f t="shared" si="7"/>
        <v/>
      </c>
      <c r="AW39" s="13" t="str">
        <f t="shared" si="8"/>
        <v/>
      </c>
      <c r="AY39" s="33"/>
      <c r="BA39" s="33"/>
      <c r="BC39" s="33"/>
      <c r="BE39" s="33"/>
      <c r="BG39" s="33"/>
      <c r="BH39" s="11" t="str">
        <f t="shared" si="9"/>
        <v/>
      </c>
      <c r="BI39" s="33"/>
      <c r="BJ39" s="33"/>
      <c r="BK39" s="33"/>
      <c r="BL39" s="33"/>
      <c r="BM39" s="33"/>
      <c r="BN39" s="33"/>
      <c r="BO39" s="33"/>
      <c r="BP39" s="33"/>
      <c r="BQ39" s="12" t="str">
        <f t="shared" si="10"/>
        <v/>
      </c>
      <c r="BR39" s="13" t="str">
        <f t="shared" si="11"/>
        <v/>
      </c>
      <c r="BT39" s="33"/>
      <c r="BV39" s="33"/>
      <c r="BX39" s="33"/>
      <c r="BZ39" s="33"/>
      <c r="CB39" s="33"/>
      <c r="CC39" s="11" t="str">
        <f t="shared" si="12"/>
        <v/>
      </c>
      <c r="CD39" s="33"/>
      <c r="CE39" s="33"/>
      <c r="CF39" s="33"/>
      <c r="CG39" s="33"/>
      <c r="CH39" s="33"/>
      <c r="CI39" s="33"/>
      <c r="CJ39" s="33"/>
      <c r="CK39" s="33"/>
      <c r="CL39" s="12" t="str">
        <f t="shared" si="13"/>
        <v/>
      </c>
      <c r="CM39" s="13" t="str">
        <f t="shared" si="14"/>
        <v/>
      </c>
      <c r="CO39" s="33"/>
      <c r="CQ39" s="33"/>
      <c r="CS39" s="33"/>
      <c r="CU39" s="33"/>
      <c r="CW39" s="33"/>
      <c r="CX39" s="11" t="str">
        <f t="shared" si="15"/>
        <v/>
      </c>
      <c r="CY39" s="33"/>
      <c r="CZ39" s="33"/>
      <c r="DA39" s="33"/>
      <c r="DB39" s="33"/>
      <c r="DC39" s="33"/>
      <c r="DD39" s="33"/>
      <c r="DE39" s="33"/>
      <c r="DF39" s="33"/>
      <c r="DG39" s="12" t="str">
        <f t="shared" si="16"/>
        <v/>
      </c>
      <c r="DH39" s="13" t="str">
        <f t="shared" si="17"/>
        <v/>
      </c>
      <c r="DI39" s="3"/>
      <c r="DJ39" s="34"/>
      <c r="DK39" s="3"/>
      <c r="DL39" s="34"/>
      <c r="DM39" s="3"/>
      <c r="DN39" s="34"/>
      <c r="DO39" s="3"/>
      <c r="DP39" s="34"/>
      <c r="DQ39" s="3"/>
      <c r="DR39" s="34"/>
      <c r="DS39" s="5" t="str">
        <f t="shared" si="18"/>
        <v/>
      </c>
      <c r="DT39" s="34"/>
      <c r="DU39" s="34"/>
      <c r="DV39" s="34"/>
      <c r="DW39" s="34"/>
      <c r="DX39" s="34"/>
      <c r="DY39" s="34"/>
      <c r="DZ39" s="34"/>
      <c r="EA39" s="34"/>
      <c r="EB39" s="14" t="str">
        <f t="shared" si="19"/>
        <v/>
      </c>
      <c r="EC39" s="15" t="str">
        <f t="shared" si="20"/>
        <v/>
      </c>
    </row>
    <row r="40" spans="1:133" x14ac:dyDescent="0.3">
      <c r="A40" s="3">
        <v>32</v>
      </c>
      <c r="B40" s="4" t="s">
        <v>80</v>
      </c>
      <c r="C40" s="3">
        <v>44</v>
      </c>
      <c r="D40" s="3" t="s">
        <v>81</v>
      </c>
      <c r="E40" s="5" t="str">
        <f t="shared" si="0"/>
        <v/>
      </c>
      <c r="F40" s="10" t="str">
        <f t="shared" si="1"/>
        <v/>
      </c>
      <c r="G40" s="5" t="str">
        <f t="shared" si="2"/>
        <v/>
      </c>
      <c r="I40" s="33"/>
      <c r="K40" s="33"/>
      <c r="M40" s="33"/>
      <c r="O40" s="33"/>
      <c r="Q40" s="33"/>
      <c r="R40" s="11" t="str">
        <f t="shared" si="3"/>
        <v/>
      </c>
      <c r="S40" s="33"/>
      <c r="T40" s="33"/>
      <c r="U40" s="33"/>
      <c r="V40" s="33"/>
      <c r="W40" s="33"/>
      <c r="X40" s="33"/>
      <c r="Y40" s="33"/>
      <c r="Z40" s="33"/>
      <c r="AA40" s="12" t="str">
        <f t="shared" si="4"/>
        <v/>
      </c>
      <c r="AB40" s="13" t="str">
        <f t="shared" si="5"/>
        <v/>
      </c>
      <c r="AD40" s="33"/>
      <c r="AF40" s="33"/>
      <c r="AH40" s="33"/>
      <c r="AJ40" s="33"/>
      <c r="AL40" s="33"/>
      <c r="AM40" s="11" t="str">
        <f t="shared" si="6"/>
        <v/>
      </c>
      <c r="AN40" s="33"/>
      <c r="AO40" s="33"/>
      <c r="AP40" s="33"/>
      <c r="AQ40" s="33"/>
      <c r="AR40" s="33"/>
      <c r="AS40" s="33"/>
      <c r="AT40" s="33"/>
      <c r="AU40" s="33"/>
      <c r="AV40" s="12" t="str">
        <f t="shared" si="7"/>
        <v/>
      </c>
      <c r="AW40" s="13" t="str">
        <f t="shared" si="8"/>
        <v/>
      </c>
      <c r="AY40" s="33"/>
      <c r="BA40" s="33"/>
      <c r="BC40" s="33"/>
      <c r="BE40" s="33"/>
      <c r="BG40" s="33"/>
      <c r="BH40" s="11" t="str">
        <f t="shared" si="9"/>
        <v/>
      </c>
      <c r="BI40" s="33"/>
      <c r="BJ40" s="33"/>
      <c r="BK40" s="33"/>
      <c r="BL40" s="33"/>
      <c r="BM40" s="33"/>
      <c r="BN40" s="33"/>
      <c r="BO40" s="33"/>
      <c r="BP40" s="33"/>
      <c r="BQ40" s="12" t="str">
        <f t="shared" si="10"/>
        <v/>
      </c>
      <c r="BR40" s="13" t="str">
        <f t="shared" si="11"/>
        <v/>
      </c>
      <c r="BT40" s="33"/>
      <c r="BV40" s="33"/>
      <c r="BX40" s="33"/>
      <c r="BZ40" s="33"/>
      <c r="CB40" s="33"/>
      <c r="CC40" s="11" t="str">
        <f t="shared" si="12"/>
        <v/>
      </c>
      <c r="CD40" s="33"/>
      <c r="CE40" s="33"/>
      <c r="CF40" s="33"/>
      <c r="CG40" s="33"/>
      <c r="CH40" s="33"/>
      <c r="CI40" s="33"/>
      <c r="CJ40" s="33"/>
      <c r="CK40" s="33"/>
      <c r="CL40" s="12" t="str">
        <f t="shared" si="13"/>
        <v/>
      </c>
      <c r="CM40" s="13" t="str">
        <f t="shared" si="14"/>
        <v/>
      </c>
      <c r="CO40" s="33"/>
      <c r="CQ40" s="33"/>
      <c r="CS40" s="33"/>
      <c r="CU40" s="33"/>
      <c r="CW40" s="33"/>
      <c r="CX40" s="11" t="str">
        <f t="shared" si="15"/>
        <v/>
      </c>
      <c r="CY40" s="33"/>
      <c r="CZ40" s="33"/>
      <c r="DA40" s="33"/>
      <c r="DB40" s="33"/>
      <c r="DC40" s="33"/>
      <c r="DD40" s="33"/>
      <c r="DE40" s="33"/>
      <c r="DF40" s="33"/>
      <c r="DG40" s="12" t="str">
        <f t="shared" si="16"/>
        <v/>
      </c>
      <c r="DH40" s="13" t="str">
        <f t="shared" si="17"/>
        <v/>
      </c>
      <c r="DI40" s="3"/>
      <c r="DJ40" s="34"/>
      <c r="DK40" s="3"/>
      <c r="DL40" s="34"/>
      <c r="DM40" s="3"/>
      <c r="DN40" s="34"/>
      <c r="DO40" s="3"/>
      <c r="DP40" s="34"/>
      <c r="DQ40" s="3"/>
      <c r="DR40" s="34"/>
      <c r="DS40" s="5" t="str">
        <f t="shared" si="18"/>
        <v/>
      </c>
      <c r="DT40" s="34"/>
      <c r="DU40" s="34"/>
      <c r="DV40" s="34"/>
      <c r="DW40" s="34"/>
      <c r="DX40" s="34"/>
      <c r="DY40" s="34"/>
      <c r="DZ40" s="34"/>
      <c r="EA40" s="34"/>
      <c r="EB40" s="14" t="str">
        <f t="shared" si="19"/>
        <v/>
      </c>
      <c r="EC40" s="15" t="str">
        <f t="shared" si="20"/>
        <v/>
      </c>
    </row>
  </sheetData>
  <mergeCells count="15">
    <mergeCell ref="A1:K1"/>
    <mergeCell ref="C6:C7"/>
    <mergeCell ref="DI6:EC6"/>
    <mergeCell ref="H6:AB6"/>
    <mergeCell ref="AC6:AW6"/>
    <mergeCell ref="F6:F7"/>
    <mergeCell ref="A2:K2"/>
    <mergeCell ref="G6:G7"/>
    <mergeCell ref="AX6:BR6"/>
    <mergeCell ref="E6:E7"/>
    <mergeCell ref="BS6:CM6"/>
    <mergeCell ref="A6:A7"/>
    <mergeCell ref="CN6:DH6"/>
    <mergeCell ref="D6:D7"/>
    <mergeCell ref="B6:B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1"/>
  <sheetViews>
    <sheetView workbookViewId="0">
      <pane xSplit="2" ySplit="8" topLeftCell="C9" activePane="bottomRight" state="frozen"/>
      <selection pane="topRight"/>
      <selection pane="bottomLeft"/>
      <selection pane="bottomRight" sqref="A1:K1"/>
    </sheetView>
  </sheetViews>
  <sheetFormatPr defaultRowHeight="14.4" x14ac:dyDescent="0.3"/>
  <cols>
    <col min="1" max="1" width="6" style="36" customWidth="1"/>
    <col min="2" max="2" width="32" style="36" customWidth="1"/>
    <col min="3" max="4" width="12" style="36" customWidth="1"/>
    <col min="5" max="7" width="16" style="36" customWidth="1"/>
    <col min="8" max="8" width="14" style="36" customWidth="1"/>
    <col min="9" max="9" width="40" style="36" customWidth="1"/>
    <col min="10" max="11" width="12" style="36" customWidth="1"/>
  </cols>
  <sheetData>
    <row r="1" spans="1:11" ht="19.8" customHeight="1" x14ac:dyDescent="0.3">
      <c r="A1" s="48" t="s">
        <v>131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spans="1:11" x14ac:dyDescent="0.3">
      <c r="A2" s="46" t="s">
        <v>132</v>
      </c>
      <c r="B2" s="47"/>
      <c r="C2" s="47"/>
      <c r="D2" s="47"/>
      <c r="E2" s="47"/>
      <c r="F2" s="47"/>
      <c r="G2" s="47"/>
      <c r="H2" s="47"/>
      <c r="I2" s="47"/>
      <c r="J2" s="47"/>
      <c r="K2" s="47"/>
    </row>
    <row r="8" spans="1:11" ht="28.8" customHeight="1" x14ac:dyDescent="0.3">
      <c r="A8" s="38" t="s">
        <v>6</v>
      </c>
      <c r="B8" s="38" t="s">
        <v>7</v>
      </c>
      <c r="C8" s="38" t="s">
        <v>8</v>
      </c>
      <c r="D8" s="38" t="s">
        <v>9</v>
      </c>
      <c r="E8" s="38" t="s">
        <v>133</v>
      </c>
      <c r="F8" s="38" t="s">
        <v>134</v>
      </c>
      <c r="G8" s="38" t="s">
        <v>15</v>
      </c>
      <c r="H8" s="38" t="s">
        <v>13</v>
      </c>
      <c r="I8" s="38" t="s">
        <v>135</v>
      </c>
    </row>
    <row r="9" spans="1:11" x14ac:dyDescent="0.3">
      <c r="A9" s="3">
        <v>1</v>
      </c>
      <c r="B9" s="4" t="s">
        <v>18</v>
      </c>
      <c r="C9" s="3">
        <v>13</v>
      </c>
      <c r="D9" s="3" t="s">
        <v>19</v>
      </c>
      <c r="E9" s="15" t="str">
        <f>IF(SUM('Cultură Generală'!F9, 'Module Tehnologice'!F9)=0, "", SUM('Cultură Generală'!F9, 'Module Tehnologice'!F9))</f>
        <v/>
      </c>
      <c r="F9" s="14" t="str">
        <f>IF(SUM('Cultură Generală'!G9, 'Module Tehnologice'!G9)=0, "", SUM('Cultură Generală'!G9, 'Module Tehnologice'!G9))</f>
        <v/>
      </c>
      <c r="G9" s="16" t="str">
        <f t="shared" ref="G9:G40" si="0">IF(AND(E9="", F9=""), "", SUM(E9:F9))</f>
        <v/>
      </c>
      <c r="H9" s="16">
        <f t="shared" ref="H9:H40" si="1">IF(E9="", 10, MAX(1, 10 - INT(E9/20)))</f>
        <v>10</v>
      </c>
      <c r="I9" s="3" t="str">
        <f t="shared" ref="I9:I40" si="2">IF(E9&gt;=40, "Preaviz exmatriculare", IF(E9&gt;=20, "Avertisment scris / Scădere nota purtare", "Purtare exemplară"))</f>
        <v>Preaviz exmatriculare</v>
      </c>
    </row>
    <row r="10" spans="1:11" x14ac:dyDescent="0.3">
      <c r="A10" s="3">
        <v>2</v>
      </c>
      <c r="B10" s="4" t="s">
        <v>20</v>
      </c>
      <c r="C10" s="3">
        <v>14</v>
      </c>
      <c r="D10" s="3" t="s">
        <v>21</v>
      </c>
      <c r="E10" s="15" t="str">
        <f>IF(SUM('Cultură Generală'!F10, 'Module Tehnologice'!F10)=0, "", SUM('Cultură Generală'!F10, 'Module Tehnologice'!F10))</f>
        <v/>
      </c>
      <c r="F10" s="14" t="str">
        <f>IF(SUM('Cultură Generală'!G10, 'Module Tehnologice'!G10)=0, "", SUM('Cultură Generală'!G10, 'Module Tehnologice'!G10))</f>
        <v/>
      </c>
      <c r="G10" s="16" t="str">
        <f t="shared" si="0"/>
        <v/>
      </c>
      <c r="H10" s="16">
        <f t="shared" si="1"/>
        <v>10</v>
      </c>
      <c r="I10" s="3" t="str">
        <f t="shared" si="2"/>
        <v>Preaviz exmatriculare</v>
      </c>
    </row>
    <row r="11" spans="1:11" x14ac:dyDescent="0.3">
      <c r="A11" s="3">
        <v>3</v>
      </c>
      <c r="B11" s="4" t="s">
        <v>22</v>
      </c>
      <c r="C11" s="3">
        <v>15</v>
      </c>
      <c r="D11" s="3" t="s">
        <v>23</v>
      </c>
      <c r="E11" s="15" t="str">
        <f>IF(SUM('Cultură Generală'!F11, 'Module Tehnologice'!F11)=0, "", SUM('Cultură Generală'!F11, 'Module Tehnologice'!F11))</f>
        <v/>
      </c>
      <c r="F11" s="14" t="str">
        <f>IF(SUM('Cultură Generală'!G11, 'Module Tehnologice'!G11)=0, "", SUM('Cultură Generală'!G11, 'Module Tehnologice'!G11))</f>
        <v/>
      </c>
      <c r="G11" s="16" t="str">
        <f t="shared" si="0"/>
        <v/>
      </c>
      <c r="H11" s="16">
        <f t="shared" si="1"/>
        <v>10</v>
      </c>
      <c r="I11" s="3" t="str">
        <f t="shared" si="2"/>
        <v>Preaviz exmatriculare</v>
      </c>
    </row>
    <row r="12" spans="1:11" x14ac:dyDescent="0.3">
      <c r="A12" s="3">
        <v>4</v>
      </c>
      <c r="B12" s="4" t="s">
        <v>24</v>
      </c>
      <c r="C12" s="3">
        <v>16</v>
      </c>
      <c r="D12" s="3" t="s">
        <v>25</v>
      </c>
      <c r="E12" s="15" t="str">
        <f>IF(SUM('Cultură Generală'!F12, 'Module Tehnologice'!F12)=0, "", SUM('Cultură Generală'!F12, 'Module Tehnologice'!F12))</f>
        <v/>
      </c>
      <c r="F12" s="14" t="str">
        <f>IF(SUM('Cultură Generală'!G12, 'Module Tehnologice'!G12)=0, "", SUM('Cultură Generală'!G12, 'Module Tehnologice'!G12))</f>
        <v/>
      </c>
      <c r="G12" s="16" t="str">
        <f t="shared" si="0"/>
        <v/>
      </c>
      <c r="H12" s="16">
        <f t="shared" si="1"/>
        <v>10</v>
      </c>
      <c r="I12" s="3" t="str">
        <f t="shared" si="2"/>
        <v>Preaviz exmatriculare</v>
      </c>
    </row>
    <row r="13" spans="1:11" x14ac:dyDescent="0.3">
      <c r="A13" s="3">
        <v>5</v>
      </c>
      <c r="B13" s="4" t="s">
        <v>26</v>
      </c>
      <c r="C13" s="3">
        <v>17</v>
      </c>
      <c r="D13" s="3" t="s">
        <v>27</v>
      </c>
      <c r="E13" s="15" t="str">
        <f>IF(SUM('Cultură Generală'!F13, 'Module Tehnologice'!F13)=0, "", SUM('Cultură Generală'!F13, 'Module Tehnologice'!F13))</f>
        <v/>
      </c>
      <c r="F13" s="14" t="str">
        <f>IF(SUM('Cultură Generală'!G13, 'Module Tehnologice'!G13)=0, "", SUM('Cultură Generală'!G13, 'Module Tehnologice'!G13))</f>
        <v/>
      </c>
      <c r="G13" s="16" t="str">
        <f t="shared" si="0"/>
        <v/>
      </c>
      <c r="H13" s="16">
        <f t="shared" si="1"/>
        <v>10</v>
      </c>
      <c r="I13" s="3" t="str">
        <f t="shared" si="2"/>
        <v>Preaviz exmatriculare</v>
      </c>
    </row>
    <row r="14" spans="1:11" x14ac:dyDescent="0.3">
      <c r="A14" s="3">
        <v>6</v>
      </c>
      <c r="B14" s="4" t="s">
        <v>28</v>
      </c>
      <c r="C14" s="3">
        <v>18</v>
      </c>
      <c r="D14" s="3" t="s">
        <v>29</v>
      </c>
      <c r="E14" s="15" t="str">
        <f>IF(SUM('Cultură Generală'!F14, 'Module Tehnologice'!F14)=0, "", SUM('Cultură Generală'!F14, 'Module Tehnologice'!F14))</f>
        <v/>
      </c>
      <c r="F14" s="14" t="str">
        <f>IF(SUM('Cultură Generală'!G14, 'Module Tehnologice'!G14)=0, "", SUM('Cultură Generală'!G14, 'Module Tehnologice'!G14))</f>
        <v/>
      </c>
      <c r="G14" s="16" t="str">
        <f t="shared" si="0"/>
        <v/>
      </c>
      <c r="H14" s="16">
        <f t="shared" si="1"/>
        <v>10</v>
      </c>
      <c r="I14" s="3" t="str">
        <f t="shared" si="2"/>
        <v>Preaviz exmatriculare</v>
      </c>
    </row>
    <row r="15" spans="1:11" x14ac:dyDescent="0.3">
      <c r="A15" s="3">
        <v>7</v>
      </c>
      <c r="B15" s="4" t="s">
        <v>30</v>
      </c>
      <c r="C15" s="3">
        <v>19</v>
      </c>
      <c r="D15" s="3" t="s">
        <v>31</v>
      </c>
      <c r="E15" s="15" t="str">
        <f>IF(SUM('Cultură Generală'!F15, 'Module Tehnologice'!F15)=0, "", SUM('Cultură Generală'!F15, 'Module Tehnologice'!F15))</f>
        <v/>
      </c>
      <c r="F15" s="14" t="str">
        <f>IF(SUM('Cultură Generală'!G15, 'Module Tehnologice'!G15)=0, "", SUM('Cultură Generală'!G15, 'Module Tehnologice'!G15))</f>
        <v/>
      </c>
      <c r="G15" s="16" t="str">
        <f t="shared" si="0"/>
        <v/>
      </c>
      <c r="H15" s="16">
        <f t="shared" si="1"/>
        <v>10</v>
      </c>
      <c r="I15" s="3" t="str">
        <f t="shared" si="2"/>
        <v>Preaviz exmatriculare</v>
      </c>
    </row>
    <row r="16" spans="1:11" x14ac:dyDescent="0.3">
      <c r="A16" s="3">
        <v>8</v>
      </c>
      <c r="B16" s="4" t="s">
        <v>32</v>
      </c>
      <c r="C16" s="3">
        <v>20</v>
      </c>
      <c r="D16" s="3" t="s">
        <v>33</v>
      </c>
      <c r="E16" s="15" t="str">
        <f>IF(SUM('Cultură Generală'!F16, 'Module Tehnologice'!F16)=0, "", SUM('Cultură Generală'!F16, 'Module Tehnologice'!F16))</f>
        <v/>
      </c>
      <c r="F16" s="14" t="str">
        <f>IF(SUM('Cultură Generală'!G16, 'Module Tehnologice'!G16)=0, "", SUM('Cultură Generală'!G16, 'Module Tehnologice'!G16))</f>
        <v/>
      </c>
      <c r="G16" s="16" t="str">
        <f t="shared" si="0"/>
        <v/>
      </c>
      <c r="H16" s="16">
        <f t="shared" si="1"/>
        <v>10</v>
      </c>
      <c r="I16" s="3" t="str">
        <f t="shared" si="2"/>
        <v>Preaviz exmatriculare</v>
      </c>
    </row>
    <row r="17" spans="1:9" x14ac:dyDescent="0.3">
      <c r="A17" s="3">
        <v>9</v>
      </c>
      <c r="B17" s="4" t="s">
        <v>34</v>
      </c>
      <c r="C17" s="3">
        <v>21</v>
      </c>
      <c r="D17" s="3" t="s">
        <v>35</v>
      </c>
      <c r="E17" s="15" t="str">
        <f>IF(SUM('Cultură Generală'!F17, 'Module Tehnologice'!F17)=0, "", SUM('Cultură Generală'!F17, 'Module Tehnologice'!F17))</f>
        <v/>
      </c>
      <c r="F17" s="14" t="str">
        <f>IF(SUM('Cultură Generală'!G17, 'Module Tehnologice'!G17)=0, "", SUM('Cultură Generală'!G17, 'Module Tehnologice'!G17))</f>
        <v/>
      </c>
      <c r="G17" s="16" t="str">
        <f t="shared" si="0"/>
        <v/>
      </c>
      <c r="H17" s="16">
        <f t="shared" si="1"/>
        <v>10</v>
      </c>
      <c r="I17" s="3" t="str">
        <f t="shared" si="2"/>
        <v>Preaviz exmatriculare</v>
      </c>
    </row>
    <row r="18" spans="1:9" x14ac:dyDescent="0.3">
      <c r="A18" s="3">
        <v>10</v>
      </c>
      <c r="B18" s="4" t="s">
        <v>36</v>
      </c>
      <c r="C18" s="3">
        <v>22</v>
      </c>
      <c r="D18" s="3" t="s">
        <v>37</v>
      </c>
      <c r="E18" s="15" t="str">
        <f>IF(SUM('Cultură Generală'!F18, 'Module Tehnologice'!F18)=0, "", SUM('Cultură Generală'!F18, 'Module Tehnologice'!F18))</f>
        <v/>
      </c>
      <c r="F18" s="14" t="str">
        <f>IF(SUM('Cultură Generală'!G18, 'Module Tehnologice'!G18)=0, "", SUM('Cultură Generală'!G18, 'Module Tehnologice'!G18))</f>
        <v/>
      </c>
      <c r="G18" s="16" t="str">
        <f t="shared" si="0"/>
        <v/>
      </c>
      <c r="H18" s="16">
        <f t="shared" si="1"/>
        <v>10</v>
      </c>
      <c r="I18" s="3" t="str">
        <f t="shared" si="2"/>
        <v>Preaviz exmatriculare</v>
      </c>
    </row>
    <row r="19" spans="1:9" x14ac:dyDescent="0.3">
      <c r="A19" s="3">
        <v>11</v>
      </c>
      <c r="B19" s="4" t="s">
        <v>38</v>
      </c>
      <c r="C19" s="3">
        <v>23</v>
      </c>
      <c r="D19" s="3" t="s">
        <v>39</v>
      </c>
      <c r="E19" s="15" t="str">
        <f>IF(SUM('Cultură Generală'!F19, 'Module Tehnologice'!F19)=0, "", SUM('Cultură Generală'!F19, 'Module Tehnologice'!F19))</f>
        <v/>
      </c>
      <c r="F19" s="14" t="str">
        <f>IF(SUM('Cultură Generală'!G19, 'Module Tehnologice'!G19)=0, "", SUM('Cultură Generală'!G19, 'Module Tehnologice'!G19))</f>
        <v/>
      </c>
      <c r="G19" s="16" t="str">
        <f t="shared" si="0"/>
        <v/>
      </c>
      <c r="H19" s="16">
        <f t="shared" si="1"/>
        <v>10</v>
      </c>
      <c r="I19" s="3" t="str">
        <f t="shared" si="2"/>
        <v>Preaviz exmatriculare</v>
      </c>
    </row>
    <row r="20" spans="1:9" x14ac:dyDescent="0.3">
      <c r="A20" s="3">
        <v>12</v>
      </c>
      <c r="B20" s="4" t="s">
        <v>40</v>
      </c>
      <c r="C20" s="3">
        <v>24</v>
      </c>
      <c r="D20" s="3" t="s">
        <v>41</v>
      </c>
      <c r="E20" s="15" t="str">
        <f>IF(SUM('Cultură Generală'!F20, 'Module Tehnologice'!F20)=0, "", SUM('Cultură Generală'!F20, 'Module Tehnologice'!F20))</f>
        <v/>
      </c>
      <c r="F20" s="14" t="str">
        <f>IF(SUM('Cultură Generală'!G20, 'Module Tehnologice'!G20)=0, "", SUM('Cultură Generală'!G20, 'Module Tehnologice'!G20))</f>
        <v/>
      </c>
      <c r="G20" s="16" t="str">
        <f t="shared" si="0"/>
        <v/>
      </c>
      <c r="H20" s="16">
        <f t="shared" si="1"/>
        <v>10</v>
      </c>
      <c r="I20" s="3" t="str">
        <f t="shared" si="2"/>
        <v>Preaviz exmatriculare</v>
      </c>
    </row>
    <row r="21" spans="1:9" x14ac:dyDescent="0.3">
      <c r="A21" s="3">
        <v>13</v>
      </c>
      <c r="B21" s="4" t="s">
        <v>42</v>
      </c>
      <c r="C21" s="3">
        <v>25</v>
      </c>
      <c r="D21" s="3" t="s">
        <v>43</v>
      </c>
      <c r="E21" s="15" t="str">
        <f>IF(SUM('Cultură Generală'!F21, 'Module Tehnologice'!F21)=0, "", SUM('Cultură Generală'!F21, 'Module Tehnologice'!F21))</f>
        <v/>
      </c>
      <c r="F21" s="14" t="str">
        <f>IF(SUM('Cultură Generală'!G21, 'Module Tehnologice'!G21)=0, "", SUM('Cultură Generală'!G21, 'Module Tehnologice'!G21))</f>
        <v/>
      </c>
      <c r="G21" s="16" t="str">
        <f t="shared" si="0"/>
        <v/>
      </c>
      <c r="H21" s="16">
        <f t="shared" si="1"/>
        <v>10</v>
      </c>
      <c r="I21" s="3" t="str">
        <f t="shared" si="2"/>
        <v>Preaviz exmatriculare</v>
      </c>
    </row>
    <row r="22" spans="1:9" x14ac:dyDescent="0.3">
      <c r="A22" s="3">
        <v>14</v>
      </c>
      <c r="B22" s="4" t="s">
        <v>44</v>
      </c>
      <c r="C22" s="3">
        <v>26</v>
      </c>
      <c r="D22" s="3" t="s">
        <v>45</v>
      </c>
      <c r="E22" s="15" t="str">
        <f>IF(SUM('Cultură Generală'!F22, 'Module Tehnologice'!F22)=0, "", SUM('Cultură Generală'!F22, 'Module Tehnologice'!F22))</f>
        <v/>
      </c>
      <c r="F22" s="14" t="str">
        <f>IF(SUM('Cultură Generală'!G22, 'Module Tehnologice'!G22)=0, "", SUM('Cultură Generală'!G22, 'Module Tehnologice'!G22))</f>
        <v/>
      </c>
      <c r="G22" s="16" t="str">
        <f t="shared" si="0"/>
        <v/>
      </c>
      <c r="H22" s="16">
        <f t="shared" si="1"/>
        <v>10</v>
      </c>
      <c r="I22" s="3" t="str">
        <f t="shared" si="2"/>
        <v>Preaviz exmatriculare</v>
      </c>
    </row>
    <row r="23" spans="1:9" x14ac:dyDescent="0.3">
      <c r="A23" s="3">
        <v>15</v>
      </c>
      <c r="B23" s="4" t="s">
        <v>46</v>
      </c>
      <c r="C23" s="3">
        <v>27</v>
      </c>
      <c r="D23" s="3" t="s">
        <v>47</v>
      </c>
      <c r="E23" s="15" t="str">
        <f>IF(SUM('Cultură Generală'!F23, 'Module Tehnologice'!F23)=0, "", SUM('Cultură Generală'!F23, 'Module Tehnologice'!F23))</f>
        <v/>
      </c>
      <c r="F23" s="14" t="str">
        <f>IF(SUM('Cultură Generală'!G23, 'Module Tehnologice'!G23)=0, "", SUM('Cultură Generală'!G23, 'Module Tehnologice'!G23))</f>
        <v/>
      </c>
      <c r="G23" s="16" t="str">
        <f t="shared" si="0"/>
        <v/>
      </c>
      <c r="H23" s="16">
        <f t="shared" si="1"/>
        <v>10</v>
      </c>
      <c r="I23" s="3" t="str">
        <f t="shared" si="2"/>
        <v>Preaviz exmatriculare</v>
      </c>
    </row>
    <row r="24" spans="1:9" x14ac:dyDescent="0.3">
      <c r="A24" s="3">
        <v>16</v>
      </c>
      <c r="B24" s="4" t="s">
        <v>48</v>
      </c>
      <c r="C24" s="3">
        <v>28</v>
      </c>
      <c r="D24" s="3" t="s">
        <v>49</v>
      </c>
      <c r="E24" s="15" t="str">
        <f>IF(SUM('Cultură Generală'!F24, 'Module Tehnologice'!F24)=0, "", SUM('Cultură Generală'!F24, 'Module Tehnologice'!F24))</f>
        <v/>
      </c>
      <c r="F24" s="14" t="str">
        <f>IF(SUM('Cultură Generală'!G24, 'Module Tehnologice'!G24)=0, "", SUM('Cultură Generală'!G24, 'Module Tehnologice'!G24))</f>
        <v/>
      </c>
      <c r="G24" s="16" t="str">
        <f t="shared" si="0"/>
        <v/>
      </c>
      <c r="H24" s="16">
        <f t="shared" si="1"/>
        <v>10</v>
      </c>
      <c r="I24" s="3" t="str">
        <f t="shared" si="2"/>
        <v>Preaviz exmatriculare</v>
      </c>
    </row>
    <row r="25" spans="1:9" x14ac:dyDescent="0.3">
      <c r="A25" s="3">
        <v>17</v>
      </c>
      <c r="B25" s="4" t="s">
        <v>50</v>
      </c>
      <c r="C25" s="3">
        <v>29</v>
      </c>
      <c r="D25" s="3" t="s">
        <v>51</v>
      </c>
      <c r="E25" s="15" t="str">
        <f>IF(SUM('Cultură Generală'!F25, 'Module Tehnologice'!F25)=0, "", SUM('Cultură Generală'!F25, 'Module Tehnologice'!F25))</f>
        <v/>
      </c>
      <c r="F25" s="14" t="str">
        <f>IF(SUM('Cultură Generală'!G25, 'Module Tehnologice'!G25)=0, "", SUM('Cultură Generală'!G25, 'Module Tehnologice'!G25))</f>
        <v/>
      </c>
      <c r="G25" s="16" t="str">
        <f t="shared" si="0"/>
        <v/>
      </c>
      <c r="H25" s="16">
        <f t="shared" si="1"/>
        <v>10</v>
      </c>
      <c r="I25" s="3" t="str">
        <f t="shared" si="2"/>
        <v>Preaviz exmatriculare</v>
      </c>
    </row>
    <row r="26" spans="1:9" x14ac:dyDescent="0.3">
      <c r="A26" s="3">
        <v>18</v>
      </c>
      <c r="B26" s="4" t="s">
        <v>52</v>
      </c>
      <c r="C26" s="3">
        <v>30</v>
      </c>
      <c r="D26" s="3" t="s">
        <v>53</v>
      </c>
      <c r="E26" s="15" t="str">
        <f>IF(SUM('Cultură Generală'!F26, 'Module Tehnologice'!F26)=0, "", SUM('Cultură Generală'!F26, 'Module Tehnologice'!F26))</f>
        <v/>
      </c>
      <c r="F26" s="14" t="str">
        <f>IF(SUM('Cultură Generală'!G26, 'Module Tehnologice'!G26)=0, "", SUM('Cultură Generală'!G26, 'Module Tehnologice'!G26))</f>
        <v/>
      </c>
      <c r="G26" s="16" t="str">
        <f t="shared" si="0"/>
        <v/>
      </c>
      <c r="H26" s="16">
        <f t="shared" si="1"/>
        <v>10</v>
      </c>
      <c r="I26" s="3" t="str">
        <f t="shared" si="2"/>
        <v>Preaviz exmatriculare</v>
      </c>
    </row>
    <row r="27" spans="1:9" x14ac:dyDescent="0.3">
      <c r="A27" s="3">
        <v>19</v>
      </c>
      <c r="B27" s="4" t="s">
        <v>54</v>
      </c>
      <c r="C27" s="3">
        <v>31</v>
      </c>
      <c r="D27" s="3" t="s">
        <v>55</v>
      </c>
      <c r="E27" s="15" t="str">
        <f>IF(SUM('Cultură Generală'!F27, 'Module Tehnologice'!F27)=0, "", SUM('Cultură Generală'!F27, 'Module Tehnologice'!F27))</f>
        <v/>
      </c>
      <c r="F27" s="14" t="str">
        <f>IF(SUM('Cultură Generală'!G27, 'Module Tehnologice'!G27)=0, "", SUM('Cultură Generală'!G27, 'Module Tehnologice'!G27))</f>
        <v/>
      </c>
      <c r="G27" s="16" t="str">
        <f t="shared" si="0"/>
        <v/>
      </c>
      <c r="H27" s="16">
        <f t="shared" si="1"/>
        <v>10</v>
      </c>
      <c r="I27" s="3" t="str">
        <f t="shared" si="2"/>
        <v>Preaviz exmatriculare</v>
      </c>
    </row>
    <row r="28" spans="1:9" x14ac:dyDescent="0.3">
      <c r="A28" s="3">
        <v>20</v>
      </c>
      <c r="B28" s="4" t="s">
        <v>56</v>
      </c>
      <c r="C28" s="3">
        <v>32</v>
      </c>
      <c r="D28" s="3" t="s">
        <v>57</v>
      </c>
      <c r="E28" s="15" t="str">
        <f>IF(SUM('Cultură Generală'!F28, 'Module Tehnologice'!F28)=0, "", SUM('Cultură Generală'!F28, 'Module Tehnologice'!F28))</f>
        <v/>
      </c>
      <c r="F28" s="14" t="str">
        <f>IF(SUM('Cultură Generală'!G28, 'Module Tehnologice'!G28)=0, "", SUM('Cultură Generală'!G28, 'Module Tehnologice'!G28))</f>
        <v/>
      </c>
      <c r="G28" s="16" t="str">
        <f t="shared" si="0"/>
        <v/>
      </c>
      <c r="H28" s="16">
        <f t="shared" si="1"/>
        <v>10</v>
      </c>
      <c r="I28" s="3" t="str">
        <f t="shared" si="2"/>
        <v>Preaviz exmatriculare</v>
      </c>
    </row>
    <row r="29" spans="1:9" x14ac:dyDescent="0.3">
      <c r="A29" s="3">
        <v>21</v>
      </c>
      <c r="B29" s="4" t="s">
        <v>58</v>
      </c>
      <c r="C29" s="3">
        <v>33</v>
      </c>
      <c r="D29" s="3" t="s">
        <v>59</v>
      </c>
      <c r="E29" s="15" t="str">
        <f>IF(SUM('Cultură Generală'!F29, 'Module Tehnologice'!F29)=0, "", SUM('Cultură Generală'!F29, 'Module Tehnologice'!F29))</f>
        <v/>
      </c>
      <c r="F29" s="14" t="str">
        <f>IF(SUM('Cultură Generală'!G29, 'Module Tehnologice'!G29)=0, "", SUM('Cultură Generală'!G29, 'Module Tehnologice'!G29))</f>
        <v/>
      </c>
      <c r="G29" s="16" t="str">
        <f t="shared" si="0"/>
        <v/>
      </c>
      <c r="H29" s="16">
        <f t="shared" si="1"/>
        <v>10</v>
      </c>
      <c r="I29" s="3" t="str">
        <f t="shared" si="2"/>
        <v>Preaviz exmatriculare</v>
      </c>
    </row>
    <row r="30" spans="1:9" x14ac:dyDescent="0.3">
      <c r="A30" s="3">
        <v>22</v>
      </c>
      <c r="B30" s="4" t="s">
        <v>60</v>
      </c>
      <c r="C30" s="3">
        <v>34</v>
      </c>
      <c r="D30" s="3" t="s">
        <v>61</v>
      </c>
      <c r="E30" s="15" t="str">
        <f>IF(SUM('Cultură Generală'!F30, 'Module Tehnologice'!F30)=0, "", SUM('Cultură Generală'!F30, 'Module Tehnologice'!F30))</f>
        <v/>
      </c>
      <c r="F30" s="14" t="str">
        <f>IF(SUM('Cultură Generală'!G30, 'Module Tehnologice'!G30)=0, "", SUM('Cultură Generală'!G30, 'Module Tehnologice'!G30))</f>
        <v/>
      </c>
      <c r="G30" s="16" t="str">
        <f t="shared" si="0"/>
        <v/>
      </c>
      <c r="H30" s="16">
        <f t="shared" si="1"/>
        <v>10</v>
      </c>
      <c r="I30" s="3" t="str">
        <f t="shared" si="2"/>
        <v>Preaviz exmatriculare</v>
      </c>
    </row>
    <row r="31" spans="1:9" x14ac:dyDescent="0.3">
      <c r="A31" s="3">
        <v>23</v>
      </c>
      <c r="B31" s="4" t="s">
        <v>62</v>
      </c>
      <c r="C31" s="3">
        <v>35</v>
      </c>
      <c r="D31" s="3" t="s">
        <v>63</v>
      </c>
      <c r="E31" s="15" t="str">
        <f>IF(SUM('Cultură Generală'!F31, 'Module Tehnologice'!F31)=0, "", SUM('Cultură Generală'!F31, 'Module Tehnologice'!F31))</f>
        <v/>
      </c>
      <c r="F31" s="14" t="str">
        <f>IF(SUM('Cultură Generală'!G31, 'Module Tehnologice'!G31)=0, "", SUM('Cultură Generală'!G31, 'Module Tehnologice'!G31))</f>
        <v/>
      </c>
      <c r="G31" s="16" t="str">
        <f t="shared" si="0"/>
        <v/>
      </c>
      <c r="H31" s="16">
        <f t="shared" si="1"/>
        <v>10</v>
      </c>
      <c r="I31" s="3" t="str">
        <f t="shared" si="2"/>
        <v>Preaviz exmatriculare</v>
      </c>
    </row>
    <row r="32" spans="1:9" x14ac:dyDescent="0.3">
      <c r="A32" s="3">
        <v>24</v>
      </c>
      <c r="B32" s="4" t="s">
        <v>64</v>
      </c>
      <c r="C32" s="3">
        <v>36</v>
      </c>
      <c r="D32" s="3" t="s">
        <v>65</v>
      </c>
      <c r="E32" s="15" t="str">
        <f>IF(SUM('Cultură Generală'!F32, 'Module Tehnologice'!F32)=0, "", SUM('Cultură Generală'!F32, 'Module Tehnologice'!F32))</f>
        <v/>
      </c>
      <c r="F32" s="14" t="str">
        <f>IF(SUM('Cultură Generală'!G32, 'Module Tehnologice'!G32)=0, "", SUM('Cultură Generală'!G32, 'Module Tehnologice'!G32))</f>
        <v/>
      </c>
      <c r="G32" s="16" t="str">
        <f t="shared" si="0"/>
        <v/>
      </c>
      <c r="H32" s="16">
        <f t="shared" si="1"/>
        <v>10</v>
      </c>
      <c r="I32" s="3" t="str">
        <f t="shared" si="2"/>
        <v>Preaviz exmatriculare</v>
      </c>
    </row>
    <row r="33" spans="1:9" x14ac:dyDescent="0.3">
      <c r="A33" s="3">
        <v>25</v>
      </c>
      <c r="B33" s="4" t="s">
        <v>66</v>
      </c>
      <c r="C33" s="3">
        <v>37</v>
      </c>
      <c r="D33" s="3" t="s">
        <v>67</v>
      </c>
      <c r="E33" s="15" t="str">
        <f>IF(SUM('Cultură Generală'!F33, 'Module Tehnologice'!F33)=0, "", SUM('Cultură Generală'!F33, 'Module Tehnologice'!F33))</f>
        <v/>
      </c>
      <c r="F33" s="14" t="str">
        <f>IF(SUM('Cultură Generală'!G33, 'Module Tehnologice'!G33)=0, "", SUM('Cultură Generală'!G33, 'Module Tehnologice'!G33))</f>
        <v/>
      </c>
      <c r="G33" s="16" t="str">
        <f t="shared" si="0"/>
        <v/>
      </c>
      <c r="H33" s="16">
        <f t="shared" si="1"/>
        <v>10</v>
      </c>
      <c r="I33" s="3" t="str">
        <f t="shared" si="2"/>
        <v>Preaviz exmatriculare</v>
      </c>
    </row>
    <row r="34" spans="1:9" x14ac:dyDescent="0.3">
      <c r="A34" s="3">
        <v>26</v>
      </c>
      <c r="B34" s="4" t="s">
        <v>68</v>
      </c>
      <c r="C34" s="3">
        <v>38</v>
      </c>
      <c r="D34" s="3" t="s">
        <v>69</v>
      </c>
      <c r="E34" s="15" t="str">
        <f>IF(SUM('Cultură Generală'!F34, 'Module Tehnologice'!F34)=0, "", SUM('Cultură Generală'!F34, 'Module Tehnologice'!F34))</f>
        <v/>
      </c>
      <c r="F34" s="14" t="str">
        <f>IF(SUM('Cultură Generală'!G34, 'Module Tehnologice'!G34)=0, "", SUM('Cultură Generală'!G34, 'Module Tehnologice'!G34))</f>
        <v/>
      </c>
      <c r="G34" s="16" t="str">
        <f t="shared" si="0"/>
        <v/>
      </c>
      <c r="H34" s="16">
        <f t="shared" si="1"/>
        <v>10</v>
      </c>
      <c r="I34" s="3" t="str">
        <f t="shared" si="2"/>
        <v>Preaviz exmatriculare</v>
      </c>
    </row>
    <row r="35" spans="1:9" x14ac:dyDescent="0.3">
      <c r="A35" s="3">
        <v>27</v>
      </c>
      <c r="B35" s="4" t="s">
        <v>70</v>
      </c>
      <c r="C35" s="3">
        <v>39</v>
      </c>
      <c r="D35" s="3" t="s">
        <v>71</v>
      </c>
      <c r="E35" s="15" t="str">
        <f>IF(SUM('Cultură Generală'!F35, 'Module Tehnologice'!F35)=0, "", SUM('Cultură Generală'!F35, 'Module Tehnologice'!F35))</f>
        <v/>
      </c>
      <c r="F35" s="14" t="str">
        <f>IF(SUM('Cultură Generală'!G35, 'Module Tehnologice'!G35)=0, "", SUM('Cultură Generală'!G35, 'Module Tehnologice'!G35))</f>
        <v/>
      </c>
      <c r="G35" s="16" t="str">
        <f t="shared" si="0"/>
        <v/>
      </c>
      <c r="H35" s="16">
        <f t="shared" si="1"/>
        <v>10</v>
      </c>
      <c r="I35" s="3" t="str">
        <f t="shared" si="2"/>
        <v>Preaviz exmatriculare</v>
      </c>
    </row>
    <row r="36" spans="1:9" x14ac:dyDescent="0.3">
      <c r="A36" s="3">
        <v>28</v>
      </c>
      <c r="B36" s="4" t="s">
        <v>72</v>
      </c>
      <c r="C36" s="3">
        <v>40</v>
      </c>
      <c r="D36" s="3" t="s">
        <v>73</v>
      </c>
      <c r="E36" s="15" t="str">
        <f>IF(SUM('Cultură Generală'!F36, 'Module Tehnologice'!F36)=0, "", SUM('Cultură Generală'!F36, 'Module Tehnologice'!F36))</f>
        <v/>
      </c>
      <c r="F36" s="14" t="str">
        <f>IF(SUM('Cultură Generală'!G36, 'Module Tehnologice'!G36)=0, "", SUM('Cultură Generală'!G36, 'Module Tehnologice'!G36))</f>
        <v/>
      </c>
      <c r="G36" s="16" t="str">
        <f t="shared" si="0"/>
        <v/>
      </c>
      <c r="H36" s="16">
        <f t="shared" si="1"/>
        <v>10</v>
      </c>
      <c r="I36" s="3" t="str">
        <f t="shared" si="2"/>
        <v>Preaviz exmatriculare</v>
      </c>
    </row>
    <row r="37" spans="1:9" x14ac:dyDescent="0.3">
      <c r="A37" s="3">
        <v>29</v>
      </c>
      <c r="B37" s="4" t="s">
        <v>74</v>
      </c>
      <c r="C37" s="3">
        <v>41</v>
      </c>
      <c r="D37" s="3" t="s">
        <v>75</v>
      </c>
      <c r="E37" s="15" t="str">
        <f>IF(SUM('Cultură Generală'!F37, 'Module Tehnologice'!F37)=0, "", SUM('Cultură Generală'!F37, 'Module Tehnologice'!F37))</f>
        <v/>
      </c>
      <c r="F37" s="14" t="str">
        <f>IF(SUM('Cultură Generală'!G37, 'Module Tehnologice'!G37)=0, "", SUM('Cultură Generală'!G37, 'Module Tehnologice'!G37))</f>
        <v/>
      </c>
      <c r="G37" s="16" t="str">
        <f t="shared" si="0"/>
        <v/>
      </c>
      <c r="H37" s="16">
        <f t="shared" si="1"/>
        <v>10</v>
      </c>
      <c r="I37" s="3" t="str">
        <f t="shared" si="2"/>
        <v>Preaviz exmatriculare</v>
      </c>
    </row>
    <row r="38" spans="1:9" x14ac:dyDescent="0.3">
      <c r="A38" s="3">
        <v>30</v>
      </c>
      <c r="B38" s="4" t="s">
        <v>76</v>
      </c>
      <c r="C38" s="3">
        <v>42</v>
      </c>
      <c r="D38" s="3" t="s">
        <v>77</v>
      </c>
      <c r="E38" s="15" t="str">
        <f>IF(SUM('Cultură Generală'!F38, 'Module Tehnologice'!F38)=0, "", SUM('Cultură Generală'!F38, 'Module Tehnologice'!F38))</f>
        <v/>
      </c>
      <c r="F38" s="14" t="str">
        <f>IF(SUM('Cultură Generală'!G38, 'Module Tehnologice'!G38)=0, "", SUM('Cultură Generală'!G38, 'Module Tehnologice'!G38))</f>
        <v/>
      </c>
      <c r="G38" s="16" t="str">
        <f t="shared" si="0"/>
        <v/>
      </c>
      <c r="H38" s="16">
        <f t="shared" si="1"/>
        <v>10</v>
      </c>
      <c r="I38" s="3" t="str">
        <f t="shared" si="2"/>
        <v>Preaviz exmatriculare</v>
      </c>
    </row>
    <row r="39" spans="1:9" x14ac:dyDescent="0.3">
      <c r="A39" s="3">
        <v>31</v>
      </c>
      <c r="B39" s="4" t="s">
        <v>78</v>
      </c>
      <c r="C39" s="3">
        <v>43</v>
      </c>
      <c r="D39" s="3" t="s">
        <v>79</v>
      </c>
      <c r="E39" s="15" t="str">
        <f>IF(SUM('Cultură Generală'!F39, 'Module Tehnologice'!F39)=0, "", SUM('Cultură Generală'!F39, 'Module Tehnologice'!F39))</f>
        <v/>
      </c>
      <c r="F39" s="14" t="str">
        <f>IF(SUM('Cultură Generală'!G39, 'Module Tehnologice'!G39)=0, "", SUM('Cultură Generală'!G39, 'Module Tehnologice'!G39))</f>
        <v/>
      </c>
      <c r="G39" s="16" t="str">
        <f t="shared" si="0"/>
        <v/>
      </c>
      <c r="H39" s="16">
        <f t="shared" si="1"/>
        <v>10</v>
      </c>
      <c r="I39" s="3" t="str">
        <f t="shared" si="2"/>
        <v>Preaviz exmatriculare</v>
      </c>
    </row>
    <row r="40" spans="1:9" x14ac:dyDescent="0.3">
      <c r="A40" s="3">
        <v>32</v>
      </c>
      <c r="B40" s="4" t="s">
        <v>80</v>
      </c>
      <c r="C40" s="3">
        <v>44</v>
      </c>
      <c r="D40" s="3" t="s">
        <v>81</v>
      </c>
      <c r="E40" s="15" t="str">
        <f>IF(SUM('Cultură Generală'!F40, 'Module Tehnologice'!F40)=0, "", SUM('Cultură Generală'!F40, 'Module Tehnologice'!F40))</f>
        <v/>
      </c>
      <c r="F40" s="14" t="str">
        <f>IF(SUM('Cultură Generală'!G40, 'Module Tehnologice'!G40)=0, "", SUM('Cultură Generală'!G40, 'Module Tehnologice'!G40))</f>
        <v/>
      </c>
      <c r="G40" s="16" t="str">
        <f t="shared" si="0"/>
        <v/>
      </c>
      <c r="H40" s="16">
        <f t="shared" si="1"/>
        <v>10</v>
      </c>
      <c r="I40" s="3" t="str">
        <f t="shared" si="2"/>
        <v>Preaviz exmatriculare</v>
      </c>
    </row>
    <row r="41" spans="1:9" x14ac:dyDescent="0.3">
      <c r="A41" s="54" t="s">
        <v>136</v>
      </c>
      <c r="B41" s="47"/>
      <c r="C41" s="47"/>
      <c r="D41" s="47"/>
      <c r="E41" s="17">
        <f>SUM(E9:E40)</f>
        <v>0</v>
      </c>
      <c r="F41" s="18">
        <f>SUM(F9:F40)</f>
        <v>0</v>
      </c>
      <c r="G41" s="19">
        <f>SUM(G9:G40)</f>
        <v>0</v>
      </c>
    </row>
  </sheetData>
  <mergeCells count="3">
    <mergeCell ref="A2:K2"/>
    <mergeCell ref="A1:K1"/>
    <mergeCell ref="A41:D4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2"/>
  <sheetViews>
    <sheetView topLeftCell="A11" workbookViewId="0">
      <selection sqref="A1:K1"/>
    </sheetView>
  </sheetViews>
  <sheetFormatPr defaultRowHeight="14.4" x14ac:dyDescent="0.3"/>
  <cols>
    <col min="1" max="1" width="28" style="36" customWidth="1"/>
    <col min="2" max="2" width="14" style="36" customWidth="1"/>
    <col min="3" max="3" width="22" style="36" customWidth="1"/>
    <col min="4" max="6" width="12" style="36" customWidth="1"/>
    <col min="7" max="7" width="38" style="36" customWidth="1"/>
    <col min="8" max="8" width="20" style="36" customWidth="1"/>
    <col min="9" max="11" width="12" style="36" customWidth="1"/>
  </cols>
  <sheetData>
    <row r="1" spans="1:11" ht="19.8" customHeight="1" x14ac:dyDescent="0.3">
      <c r="A1" s="48" t="s">
        <v>137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spans="1:11" x14ac:dyDescent="0.3">
      <c r="A2" s="46" t="s">
        <v>138</v>
      </c>
      <c r="B2" s="47"/>
      <c r="C2" s="47"/>
      <c r="D2" s="47"/>
      <c r="E2" s="47"/>
      <c r="F2" s="47"/>
      <c r="G2" s="47"/>
      <c r="H2" s="47"/>
      <c r="I2" s="47"/>
      <c r="J2" s="47"/>
      <c r="K2" s="47"/>
    </row>
    <row r="4" spans="1:11" ht="21" customHeight="1" x14ac:dyDescent="0.4">
      <c r="A4" s="43" t="s">
        <v>139</v>
      </c>
      <c r="B4" s="20">
        <v>1</v>
      </c>
      <c r="D4" s="43" t="s">
        <v>140</v>
      </c>
      <c r="E4" s="21" t="str">
        <f>VLOOKUP($B$4, 'Centralizator Medii'!$A$9:$D$40, 2, FALSE)</f>
        <v>ALBAC V. ALEXANDRU ANDREI</v>
      </c>
    </row>
    <row r="5" spans="1:11" x14ac:dyDescent="0.3">
      <c r="D5" s="43" t="s">
        <v>141</v>
      </c>
      <c r="E5" s="43">
        <f>VLOOKUP($B$4, 'Centralizator Medii'!$A$9:$D$40, 3, FALSE)</f>
        <v>13</v>
      </c>
      <c r="G5" s="43" t="s">
        <v>142</v>
      </c>
      <c r="H5" s="43" t="str">
        <f>VLOOKUP($B$4, 'Centralizator Medii'!$A$9:$D$40, 4, FALSE)</f>
        <v>126/76</v>
      </c>
    </row>
    <row r="7" spans="1:11" ht="24" customHeight="1" x14ac:dyDescent="0.3">
      <c r="A7" s="1" t="s">
        <v>143</v>
      </c>
      <c r="C7" s="1" t="s">
        <v>144</v>
      </c>
      <c r="E7" s="1" t="s">
        <v>12</v>
      </c>
      <c r="G7" s="1" t="s">
        <v>13</v>
      </c>
    </row>
    <row r="8" spans="1:11" ht="21" customHeight="1" x14ac:dyDescent="0.3">
      <c r="A8" s="2" t="str">
        <f>VLOOKUP($B$4, 'Centralizator Medii'!$A$9:$G$40, 5, FALSE)</f>
        <v/>
      </c>
      <c r="C8" s="2" t="str">
        <f>VLOOKUP($B$4, 'Centralizator Medii'!$A$9:$G$40, 6, FALSE)</f>
        <v/>
      </c>
      <c r="E8" s="2" t="str">
        <f>VLOOKUP($B$4, 'Centralizator Medii'!$A$9:$G$40, 7, FALSE)</f>
        <v/>
      </c>
      <c r="G8" s="2">
        <f>VLOOKUP($B$4, 'Centralizator Medii'!$A$9:$H$40, 8, FALSE)</f>
        <v>10</v>
      </c>
    </row>
    <row r="11" spans="1:11" x14ac:dyDescent="0.3">
      <c r="A11" s="57" t="s">
        <v>145</v>
      </c>
      <c r="B11" s="47"/>
      <c r="C11" s="47"/>
      <c r="D11" s="47"/>
      <c r="E11" s="47"/>
      <c r="F11" s="47"/>
      <c r="G11" s="47"/>
    </row>
    <row r="12" spans="1:11" x14ac:dyDescent="0.3">
      <c r="A12" s="49" t="s">
        <v>146</v>
      </c>
      <c r="B12" s="51"/>
      <c r="C12" s="37" t="s">
        <v>147</v>
      </c>
      <c r="D12" s="37" t="s">
        <v>112</v>
      </c>
      <c r="E12" s="37" t="s">
        <v>148</v>
      </c>
      <c r="F12" s="37" t="s">
        <v>149</v>
      </c>
      <c r="G12" s="37" t="s">
        <v>150</v>
      </c>
    </row>
    <row r="13" spans="1:11" x14ac:dyDescent="0.3">
      <c r="A13" s="55" t="s">
        <v>88</v>
      </c>
      <c r="B13" s="56"/>
      <c r="C13" s="3" t="s">
        <v>151</v>
      </c>
      <c r="D13" s="5" t="str">
        <f ca="1">INDIRECT("'Cultură Generală'!R" &amp; ($B$4+8))</f>
        <v/>
      </c>
      <c r="E13" s="15" t="str">
        <f ca="1">INDIRECT("'Cultură Generală'!AB" &amp; ($B$4+8))</f>
        <v/>
      </c>
      <c r="F13" s="14" t="str">
        <f ca="1">INDIRECT("'Cultură Generală'!AA" &amp; ($B$4+8))</f>
        <v/>
      </c>
      <c r="G13" s="35" t="str">
        <f ca="1">_xlfn.TEXTJOIN(", ", TRUE, INDIRECT("'Cultură Generală'!S" &amp; ($B$4+8) &amp; ":Z" &amp; ($B$4+8)))</f>
        <v/>
      </c>
    </row>
    <row r="14" spans="1:11" x14ac:dyDescent="0.3">
      <c r="A14" s="55" t="s">
        <v>89</v>
      </c>
      <c r="B14" s="56"/>
      <c r="C14" s="3" t="s">
        <v>151</v>
      </c>
      <c r="D14" s="5" t="str">
        <f ca="1">INDIRECT("'Cultură Generală'!AM" &amp; ($B$4+8))</f>
        <v/>
      </c>
      <c r="E14" s="15" t="str">
        <f ca="1">INDIRECT("'Cultură Generală'!AW" &amp; ($B$4+8))</f>
        <v/>
      </c>
      <c r="F14" s="14" t="str">
        <f ca="1">INDIRECT("'Cultură Generală'!AV" &amp; ($B$4+8))</f>
        <v/>
      </c>
      <c r="G14" s="35" t="str">
        <f ca="1">_xlfn.TEXTJOIN(", ", TRUE, INDIRECT("'Cultură Generală'!AN" &amp; ($B$4+8) &amp; ":AU" &amp; ($B$4+8)))</f>
        <v/>
      </c>
    </row>
    <row r="15" spans="1:11" x14ac:dyDescent="0.3">
      <c r="A15" s="55" t="s">
        <v>90</v>
      </c>
      <c r="B15" s="56"/>
      <c r="C15" s="3" t="s">
        <v>151</v>
      </c>
      <c r="D15" s="5" t="str">
        <f ca="1">INDIRECT("'Cultură Generală'!BH" &amp; ($B$4+8))</f>
        <v/>
      </c>
      <c r="E15" s="15" t="str">
        <f ca="1">INDIRECT("'Cultură Generală'!BR" &amp; ($B$4+8))</f>
        <v/>
      </c>
      <c r="F15" s="14" t="str">
        <f ca="1">INDIRECT("'Cultură Generală'!BQ" &amp; ($B$4+8))</f>
        <v/>
      </c>
      <c r="G15" s="35" t="str">
        <f ca="1">_xlfn.TEXTJOIN(", ", TRUE, INDIRECT("'Cultură Generală'!BI" &amp; ($B$4+8) &amp; ":BP" &amp; ($B$4+8)))</f>
        <v/>
      </c>
    </row>
    <row r="16" spans="1:11" x14ac:dyDescent="0.3">
      <c r="A16" s="55" t="s">
        <v>91</v>
      </c>
      <c r="B16" s="56"/>
      <c r="C16" s="3" t="s">
        <v>151</v>
      </c>
      <c r="D16" s="5" t="str">
        <f ca="1">INDIRECT("'Cultură Generală'!CC" &amp; ($B$4+8))</f>
        <v/>
      </c>
      <c r="E16" s="15" t="str">
        <f ca="1">INDIRECT("'Cultură Generală'!CM" &amp; ($B$4+8))</f>
        <v/>
      </c>
      <c r="F16" s="14" t="str">
        <f ca="1">INDIRECT("'Cultură Generală'!CL" &amp; ($B$4+8))</f>
        <v/>
      </c>
      <c r="G16" s="35" t="str">
        <f ca="1">_xlfn.TEXTJOIN(", ", TRUE, INDIRECT("'Cultură Generală'!CD" &amp; ($B$4+8) &amp; ":CK" &amp; ($B$4+8)))</f>
        <v/>
      </c>
    </row>
    <row r="17" spans="1:7" x14ac:dyDescent="0.3">
      <c r="A17" s="55" t="s">
        <v>92</v>
      </c>
      <c r="B17" s="56"/>
      <c r="C17" s="3" t="s">
        <v>151</v>
      </c>
      <c r="D17" s="5" t="str">
        <f ca="1">INDIRECT("'Cultură Generală'!CX" &amp; ($B$4+8))</f>
        <v/>
      </c>
      <c r="E17" s="15" t="str">
        <f ca="1">INDIRECT("'Cultură Generală'!DH" &amp; ($B$4+8))</f>
        <v/>
      </c>
      <c r="F17" s="14" t="str">
        <f ca="1">INDIRECT("'Cultură Generală'!DG" &amp; ($B$4+8))</f>
        <v/>
      </c>
      <c r="G17" s="35" t="str">
        <f ca="1">_xlfn.TEXTJOIN(", ", TRUE, INDIRECT("'Cultură Generală'!CY" &amp; ($B$4+8) &amp; ":DF" &amp; ($B$4+8)))</f>
        <v/>
      </c>
    </row>
    <row r="18" spans="1:7" x14ac:dyDescent="0.3">
      <c r="A18" s="55" t="s">
        <v>93</v>
      </c>
      <c r="B18" s="56"/>
      <c r="C18" s="3" t="s">
        <v>151</v>
      </c>
      <c r="D18" s="5" t="str">
        <f ca="1">INDIRECT("'Cultură Generală'!DS" &amp; ($B$4+8))</f>
        <v/>
      </c>
      <c r="E18" s="15" t="str">
        <f ca="1">INDIRECT("'Cultură Generală'!EC" &amp; ($B$4+8))</f>
        <v/>
      </c>
      <c r="F18" s="14" t="str">
        <f ca="1">INDIRECT("'Cultură Generală'!EB" &amp; ($B$4+8))</f>
        <v/>
      </c>
      <c r="G18" s="35" t="str">
        <f ca="1">_xlfn.TEXTJOIN(", ", TRUE, INDIRECT("'Cultură Generală'!DT" &amp; ($B$4+8) &amp; ":EA" &amp; ($B$4+8)))</f>
        <v/>
      </c>
    </row>
    <row r="19" spans="1:7" x14ac:dyDescent="0.3">
      <c r="A19" s="55" t="s">
        <v>94</v>
      </c>
      <c r="B19" s="56"/>
      <c r="C19" s="3" t="s">
        <v>151</v>
      </c>
      <c r="D19" s="5" t="str">
        <f ca="1">INDIRECT("'Cultură Generală'!EN" &amp; ($B$4+8))</f>
        <v/>
      </c>
      <c r="E19" s="15" t="str">
        <f ca="1">INDIRECT("'Cultură Generală'!EX" &amp; ($B$4+8))</f>
        <v/>
      </c>
      <c r="F19" s="14" t="str">
        <f ca="1">INDIRECT("'Cultură Generală'!EW" &amp; ($B$4+8))</f>
        <v/>
      </c>
      <c r="G19" s="35" t="str">
        <f ca="1">_xlfn.TEXTJOIN(", ", TRUE, INDIRECT("'Cultură Generală'!EO" &amp; ($B$4+8) &amp; ":EV" &amp; ($B$4+8)))</f>
        <v/>
      </c>
    </row>
    <row r="20" spans="1:7" x14ac:dyDescent="0.3">
      <c r="A20" s="55" t="s">
        <v>95</v>
      </c>
      <c r="B20" s="56"/>
      <c r="C20" s="3" t="s">
        <v>151</v>
      </c>
      <c r="D20" s="5" t="str">
        <f ca="1">INDIRECT("'Cultură Generală'!FI" &amp; ($B$4+8))</f>
        <v/>
      </c>
      <c r="E20" s="15" t="str">
        <f ca="1">INDIRECT("'Cultură Generală'!FS" &amp; ($B$4+8))</f>
        <v/>
      </c>
      <c r="F20" s="14" t="str">
        <f ca="1">INDIRECT("'Cultură Generală'!FR" &amp; ($B$4+8))</f>
        <v/>
      </c>
      <c r="G20" s="35" t="str">
        <f ca="1">_xlfn.TEXTJOIN(", ", TRUE, INDIRECT("'Cultură Generală'!FJ" &amp; ($B$4+8) &amp; ":FQ" &amp; ($B$4+8)))</f>
        <v/>
      </c>
    </row>
    <row r="21" spans="1:7" x14ac:dyDescent="0.3">
      <c r="A21" s="55" t="s">
        <v>96</v>
      </c>
      <c r="B21" s="56"/>
      <c r="C21" s="3" t="s">
        <v>151</v>
      </c>
      <c r="D21" s="5" t="str">
        <f ca="1">INDIRECT("'Cultură Generală'!GD" &amp; ($B$4+8))</f>
        <v/>
      </c>
      <c r="E21" s="15" t="str">
        <f ca="1">INDIRECT("'Cultură Generală'!GN" &amp; ($B$4+8))</f>
        <v/>
      </c>
      <c r="F21" s="14" t="str">
        <f ca="1">INDIRECT("'Cultură Generală'!GM" &amp; ($B$4+8))</f>
        <v/>
      </c>
      <c r="G21" s="35" t="str">
        <f ca="1">_xlfn.TEXTJOIN(", ", TRUE, INDIRECT("'Cultură Generală'!GE" &amp; ($B$4+8) &amp; ":GL" &amp; ($B$4+8)))</f>
        <v/>
      </c>
    </row>
    <row r="22" spans="1:7" x14ac:dyDescent="0.3">
      <c r="A22" s="55" t="s">
        <v>97</v>
      </c>
      <c r="B22" s="56"/>
      <c r="C22" s="3" t="s">
        <v>151</v>
      </c>
      <c r="D22" s="5" t="str">
        <f ca="1">INDIRECT("'Cultură Generală'!GY" &amp; ($B$4+8))</f>
        <v/>
      </c>
      <c r="E22" s="15" t="str">
        <f ca="1">INDIRECT("'Cultură Generală'!HI" &amp; ($B$4+8))</f>
        <v/>
      </c>
      <c r="F22" s="14" t="str">
        <f ca="1">INDIRECT("'Cultură Generală'!HH" &amp; ($B$4+8))</f>
        <v/>
      </c>
      <c r="G22" s="35" t="str">
        <f ca="1">_xlfn.TEXTJOIN(", ", TRUE, INDIRECT("'Cultură Generală'!GZ" &amp; ($B$4+8) &amp; ":HG" &amp; ($B$4+8)))</f>
        <v/>
      </c>
    </row>
    <row r="23" spans="1:7" x14ac:dyDescent="0.3">
      <c r="A23" s="55" t="s">
        <v>98</v>
      </c>
      <c r="B23" s="56"/>
      <c r="C23" s="3" t="s">
        <v>151</v>
      </c>
      <c r="D23" s="5" t="str">
        <f ca="1">INDIRECT("'Cultură Generală'!HT" &amp; ($B$4+8))</f>
        <v/>
      </c>
      <c r="E23" s="15" t="str">
        <f ca="1">INDIRECT("'Cultură Generală'!ID" &amp; ($B$4+8))</f>
        <v/>
      </c>
      <c r="F23" s="14" t="str">
        <f ca="1">INDIRECT("'Cultură Generală'!IC" &amp; ($B$4+8))</f>
        <v/>
      </c>
      <c r="G23" s="35" t="str">
        <f ca="1">_xlfn.TEXTJOIN(", ", TRUE, INDIRECT("'Cultură Generală'!HU" &amp; ($B$4+8) &amp; ":IB" &amp; ($B$4+8)))</f>
        <v/>
      </c>
    </row>
    <row r="24" spans="1:7" x14ac:dyDescent="0.3">
      <c r="A24" s="55" t="s">
        <v>99</v>
      </c>
      <c r="B24" s="56"/>
      <c r="C24" s="3" t="s">
        <v>151</v>
      </c>
      <c r="D24" s="5" t="str">
        <f ca="1">INDIRECT("'Cultură Generală'!IO" &amp; ($B$4+8))</f>
        <v/>
      </c>
      <c r="E24" s="15" t="str">
        <f ca="1">INDIRECT("'Cultură Generală'!IY" &amp; ($B$4+8))</f>
        <v/>
      </c>
      <c r="F24" s="14" t="str">
        <f ca="1">INDIRECT("'Cultură Generală'!IX" &amp; ($B$4+8))</f>
        <v/>
      </c>
      <c r="G24" s="35" t="str">
        <f ca="1">_xlfn.TEXTJOIN(", ", TRUE, INDIRECT("'Cultură Generală'!IP" &amp; ($B$4+8) &amp; ":IW" &amp; ($B$4+8)))</f>
        <v/>
      </c>
    </row>
    <row r="25" spans="1:7" x14ac:dyDescent="0.3">
      <c r="A25" s="55" t="s">
        <v>100</v>
      </c>
      <c r="B25" s="56"/>
      <c r="C25" s="3" t="s">
        <v>151</v>
      </c>
      <c r="D25" s="5" t="str">
        <f ca="1">INDIRECT("'Cultură Generală'!JJ" &amp; ($B$4+8))</f>
        <v/>
      </c>
      <c r="E25" s="15" t="str">
        <f ca="1">INDIRECT("'Cultură Generală'!JT" &amp; ($B$4+8))</f>
        <v/>
      </c>
      <c r="F25" s="14" t="str">
        <f ca="1">INDIRECT("'Cultură Generală'!JS" &amp; ($B$4+8))</f>
        <v/>
      </c>
      <c r="G25" s="35" t="str">
        <f ca="1">_xlfn.TEXTJOIN(", ", TRUE, INDIRECT("'Cultură Generală'!JK" &amp; ($B$4+8) &amp; ":JR" &amp; ($B$4+8)))</f>
        <v/>
      </c>
    </row>
    <row r="26" spans="1:7" x14ac:dyDescent="0.3">
      <c r="A26" s="55" t="s">
        <v>101</v>
      </c>
      <c r="B26" s="56"/>
      <c r="C26" s="3" t="s">
        <v>151</v>
      </c>
      <c r="D26" s="5" t="str">
        <f ca="1">INDIRECT("'Cultură Generală'!KE" &amp; ($B$4+8))</f>
        <v/>
      </c>
      <c r="E26" s="15" t="str">
        <f ca="1">INDIRECT("'Cultură Generală'!KO" &amp; ($B$4+8))</f>
        <v/>
      </c>
      <c r="F26" s="14" t="str">
        <f ca="1">INDIRECT("'Cultură Generală'!KN" &amp; ($B$4+8))</f>
        <v/>
      </c>
      <c r="G26" s="35" t="str">
        <f ca="1">_xlfn.TEXTJOIN(", ", TRUE, INDIRECT("'Cultură Generală'!KF" &amp; ($B$4+8) &amp; ":KM" &amp; ($B$4+8)))</f>
        <v/>
      </c>
    </row>
    <row r="27" spans="1:7" x14ac:dyDescent="0.3">
      <c r="A27" s="55" t="s">
        <v>125</v>
      </c>
      <c r="B27" s="56"/>
      <c r="C27" s="3" t="s">
        <v>152</v>
      </c>
      <c r="D27" s="5" t="str">
        <f ca="1">INDIRECT("'Module Tehnologice'!R" &amp; ($B$4+8))</f>
        <v/>
      </c>
      <c r="E27" s="15" t="str">
        <f ca="1">INDIRECT("'Module Tehnologice'!AB" &amp; ($B$4+8))</f>
        <v/>
      </c>
      <c r="F27" s="14" t="str">
        <f ca="1">INDIRECT("'Module Tehnologice'!AA" &amp; ($B$4+8))</f>
        <v/>
      </c>
      <c r="G27" s="35" t="str">
        <f ca="1">_xlfn.TEXTJOIN(", ", TRUE, INDIRECT("'Module Tehnologice'!S" &amp; ($B$4+8) &amp; ":Z" &amp; ($B$4+8)))</f>
        <v/>
      </c>
    </row>
    <row r="28" spans="1:7" x14ac:dyDescent="0.3">
      <c r="A28" s="55" t="s">
        <v>126</v>
      </c>
      <c r="B28" s="56"/>
      <c r="C28" s="3" t="s">
        <v>152</v>
      </c>
      <c r="D28" s="5" t="str">
        <f ca="1">INDIRECT("'Module Tehnologice'!AM" &amp; ($B$4+8))</f>
        <v/>
      </c>
      <c r="E28" s="15" t="str">
        <f ca="1">INDIRECT("'Module Tehnologice'!AW" &amp; ($B$4+8))</f>
        <v/>
      </c>
      <c r="F28" s="14" t="str">
        <f ca="1">INDIRECT("'Module Tehnologice'!AV" &amp; ($B$4+8))</f>
        <v/>
      </c>
      <c r="G28" s="35" t="str">
        <f ca="1">_xlfn.TEXTJOIN(", ", TRUE, INDIRECT("'Module Tehnologice'!AN" &amp; ($B$4+8) &amp; ":AU" &amp; ($B$4+8)))</f>
        <v/>
      </c>
    </row>
    <row r="29" spans="1:7" x14ac:dyDescent="0.3">
      <c r="A29" s="55" t="s">
        <v>127</v>
      </c>
      <c r="B29" s="56"/>
      <c r="C29" s="3" t="s">
        <v>152</v>
      </c>
      <c r="D29" s="5" t="str">
        <f ca="1">INDIRECT("'Module Tehnologice'!BH" &amp; ($B$4+8))</f>
        <v/>
      </c>
      <c r="E29" s="15" t="str">
        <f ca="1">INDIRECT("'Module Tehnologice'!BR" &amp; ($B$4+8))</f>
        <v/>
      </c>
      <c r="F29" s="14" t="str">
        <f ca="1">INDIRECT("'Module Tehnologice'!BQ" &amp; ($B$4+8))</f>
        <v/>
      </c>
      <c r="G29" s="35" t="str">
        <f ca="1">_xlfn.TEXTJOIN(", ", TRUE, INDIRECT("'Module Tehnologice'!BI" &amp; ($B$4+8) &amp; ":BP" &amp; ($B$4+8)))</f>
        <v/>
      </c>
    </row>
    <row r="30" spans="1:7" x14ac:dyDescent="0.3">
      <c r="A30" s="55" t="s">
        <v>128</v>
      </c>
      <c r="B30" s="56"/>
      <c r="C30" s="3" t="s">
        <v>152</v>
      </c>
      <c r="D30" s="5" t="str">
        <f ca="1">INDIRECT("'Module Tehnologice'!CC" &amp; ($B$4+8))</f>
        <v/>
      </c>
      <c r="E30" s="15" t="str">
        <f ca="1">INDIRECT("'Module Tehnologice'!CM" &amp; ($B$4+8))</f>
        <v/>
      </c>
      <c r="F30" s="14" t="str">
        <f ca="1">INDIRECT("'Module Tehnologice'!CL" &amp; ($B$4+8))</f>
        <v/>
      </c>
      <c r="G30" s="35" t="str">
        <f ca="1">_xlfn.TEXTJOIN(", ", TRUE, INDIRECT("'Module Tehnologice'!CD" &amp; ($B$4+8) &amp; ":CK" &amp; ($B$4+8)))</f>
        <v/>
      </c>
    </row>
    <row r="31" spans="1:7" x14ac:dyDescent="0.3">
      <c r="A31" s="55" t="s">
        <v>129</v>
      </c>
      <c r="B31" s="56"/>
      <c r="C31" s="3" t="s">
        <v>152</v>
      </c>
      <c r="D31" s="5" t="str">
        <f ca="1">INDIRECT("'Module Tehnologice'!CX" &amp; ($B$4+8))</f>
        <v/>
      </c>
      <c r="E31" s="15" t="str">
        <f ca="1">INDIRECT("'Module Tehnologice'!DH" &amp; ($B$4+8))</f>
        <v/>
      </c>
      <c r="F31" s="14" t="str">
        <f ca="1">INDIRECT("'Module Tehnologice'!DG" &amp; ($B$4+8))</f>
        <v/>
      </c>
      <c r="G31" s="35" t="str">
        <f ca="1">_xlfn.TEXTJOIN(", ", TRUE, INDIRECT("'Module Tehnologice'!CY" &amp; ($B$4+8) &amp; ":DF" &amp; ($B$4+8)))</f>
        <v/>
      </c>
    </row>
    <row r="32" spans="1:7" x14ac:dyDescent="0.3">
      <c r="A32" s="55" t="s">
        <v>130</v>
      </c>
      <c r="B32" s="56"/>
      <c r="C32" s="3" t="s">
        <v>152</v>
      </c>
      <c r="D32" s="5" t="str">
        <f ca="1">INDIRECT("'Module Tehnologice'!DS" &amp; ($B$4+8))</f>
        <v/>
      </c>
      <c r="E32" s="15" t="str">
        <f ca="1">INDIRECT("'Module Tehnologice'!EC" &amp; ($B$4+8))</f>
        <v/>
      </c>
      <c r="F32" s="14" t="str">
        <f ca="1">INDIRECT("'Module Tehnologice'!EB" &amp; ($B$4+8))</f>
        <v/>
      </c>
      <c r="G32" s="35" t="str">
        <f ca="1">_xlfn.TEXTJOIN(", ", TRUE, INDIRECT("'Module Tehnologice'!DT" &amp; ($B$4+8) &amp; ":EA" &amp; ($B$4+8)))</f>
        <v/>
      </c>
    </row>
  </sheetData>
  <mergeCells count="24">
    <mergeCell ref="A32:B32"/>
    <mergeCell ref="A14:B14"/>
    <mergeCell ref="A17:B17"/>
    <mergeCell ref="A23:B23"/>
    <mergeCell ref="A22:B22"/>
    <mergeCell ref="A20:B20"/>
    <mergeCell ref="A29:B29"/>
    <mergeCell ref="A19:B19"/>
    <mergeCell ref="A28:B28"/>
    <mergeCell ref="A31:B31"/>
    <mergeCell ref="A24:B24"/>
    <mergeCell ref="A30:B30"/>
    <mergeCell ref="A15:B15"/>
    <mergeCell ref="A1:K1"/>
    <mergeCell ref="A16:B16"/>
    <mergeCell ref="A25:B25"/>
    <mergeCell ref="A18:B18"/>
    <mergeCell ref="A27:B27"/>
    <mergeCell ref="A11:G11"/>
    <mergeCell ref="A12:B12"/>
    <mergeCell ref="A26:B26"/>
    <mergeCell ref="A21:B21"/>
    <mergeCell ref="A2:K2"/>
    <mergeCell ref="A13:B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F21"/>
  <sheetViews>
    <sheetView workbookViewId="0"/>
  </sheetViews>
  <sheetFormatPr defaultRowHeight="14.4" x14ac:dyDescent="0.3"/>
  <cols>
    <col min="1" max="1" width="4" style="36" customWidth="1"/>
    <col min="2" max="4" width="25" style="36" customWidth="1"/>
    <col min="5" max="5" width="15" style="36" customWidth="1"/>
    <col min="6" max="6" width="25" style="36" customWidth="1"/>
  </cols>
  <sheetData>
    <row r="2" spans="2:5" ht="19.8" customHeight="1" x14ac:dyDescent="0.4">
      <c r="B2" s="21" t="s">
        <v>153</v>
      </c>
    </row>
    <row r="3" spans="2:5" x14ac:dyDescent="0.3">
      <c r="B3" s="22" t="s">
        <v>154</v>
      </c>
    </row>
    <row r="4" spans="2:5" x14ac:dyDescent="0.3">
      <c r="B4" s="43" t="s">
        <v>155</v>
      </c>
    </row>
    <row r="6" spans="2:5" ht="21" customHeight="1" x14ac:dyDescent="0.3">
      <c r="C6" s="43" t="s">
        <v>156</v>
      </c>
      <c r="E6" s="20">
        <v>1</v>
      </c>
    </row>
    <row r="8" spans="2:5" ht="21" customHeight="1" x14ac:dyDescent="0.4">
      <c r="B8" s="23" t="s">
        <v>157</v>
      </c>
    </row>
    <row r="10" spans="2:5" x14ac:dyDescent="0.3">
      <c r="B10" s="24" t="s">
        <v>158</v>
      </c>
    </row>
    <row r="11" spans="2:5" ht="18" customHeight="1" x14ac:dyDescent="0.35">
      <c r="B11" s="25" t="str">
        <f>VLOOKUP($E$6, 'Centralizator Medii'!$A$9:$D$40, 2, FALSE)</f>
        <v>ALBAC V. ALEXANDRU ANDREI</v>
      </c>
    </row>
    <row r="13" spans="2:5" x14ac:dyDescent="0.3">
      <c r="B13" s="24" t="str">
        <f>"este înscris(ă) în anul școlar 2026-2027 în clasa a IX-a TH (domeniul Turism și Alimentație - Lucrător Hotelier), având numărul matricol " &amp; VLOOKUP($E$6, 'Centralizator Medii'!$A$9:$D$40, 3, FALSE) &amp; " (RM/PG: " &amp; VLOOKUP($E$6, 'Centralizator Medii'!$A$9:$D$40, 4, FALSE) &amp; ")."</f>
        <v>este înscris(ă) în anul școlar 2026-2027 în clasa a IX-a TH (domeniul Turism și Alimentație - Lucrător Hotelier), având numărul matricol 13 (RM/PG: 126/76).</v>
      </c>
    </row>
    <row r="15" spans="2:5" x14ac:dyDescent="0.3">
      <c r="B15" s="24" t="str">
        <f>"Până la data eliberării prezentei, elevul(a) are Media Generală " &amp; IF(VLOOKUP($E$6, 'Centralizator Medii'!$A$9:$G$40, 7, FALSE)="", "-", VLOOKUP($E$6, 'Centralizator Medii'!$A$9:$G$40, 7, FALSE)) &amp; ", Nota la Purtare " &amp; VLOOKUP($E$6, 'Centralizator Medii'!$A$9:$H$40, 8, FALSE) &amp; " și un număr total de " &amp; IF(VLOOKUP($E$6, 'Absențe &amp; Purtare'!$A$7:$G$38, 7, FALSE)="", 0, VLOOKUP($E$6, 'Absențe &amp; Purtare'!$A$7:$G$38, 7, FALSE)) &amp; " absențe (din care " &amp; IF(VLOOKUP($E$6, 'Absențe &amp; Purtare'!$A$7:$E$38, 5, FALSE)="", 0, VLOOKUP($E$6, 'Absențe &amp; Purtare'!$A$7:$E$38, 5, FALSE)) &amp; " nemotivate și " &amp; IF(VLOOKUP($E$6, 'Absențe &amp; Purtare'!$A$7:$F$38, 6, FALSE)="", 0, VLOOKUP($E$6, 'Absențe &amp; Purtare'!$A$7:$F$38, 6, FALSE)) &amp; " motivate)."</f>
        <v>Până la data eliberării prezentei, elevul(a) are Media Generală -, Nota la Purtare 10 și un număr total de 0 absențe (din care 0 nemotivate și 0 motivate).</v>
      </c>
    </row>
    <row r="17" spans="2:6" x14ac:dyDescent="0.3">
      <c r="B17" s="24" t="s">
        <v>159</v>
      </c>
    </row>
    <row r="20" spans="2:6" x14ac:dyDescent="0.3">
      <c r="B20" s="43" t="s">
        <v>160</v>
      </c>
      <c r="D20" s="43" t="s">
        <v>161</v>
      </c>
      <c r="F20" s="43" t="s">
        <v>162</v>
      </c>
    </row>
    <row r="21" spans="2:6" x14ac:dyDescent="0.3">
      <c r="B21" t="s">
        <v>163</v>
      </c>
      <c r="D21" t="s">
        <v>164</v>
      </c>
      <c r="F21" t="s">
        <v>163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I36"/>
  <sheetViews>
    <sheetView workbookViewId="0">
      <selection sqref="A1:I1"/>
    </sheetView>
  </sheetViews>
  <sheetFormatPr defaultRowHeight="14.4" x14ac:dyDescent="0.3"/>
  <cols>
    <col min="1" max="1" width="28" style="36" customWidth="1"/>
    <col min="2" max="3" width="14" style="36" customWidth="1"/>
    <col min="4" max="4" width="16" style="36" customWidth="1"/>
    <col min="5" max="8" width="14" style="36" customWidth="1"/>
    <col min="9" max="9" width="22" style="36" customWidth="1"/>
  </cols>
  <sheetData>
    <row r="1" spans="1:9" ht="18" customHeight="1" x14ac:dyDescent="0.3">
      <c r="A1" s="75" t="s">
        <v>165</v>
      </c>
      <c r="B1" s="47"/>
      <c r="C1" s="47"/>
      <c r="D1" s="47"/>
      <c r="E1" s="47"/>
      <c r="F1" s="47"/>
      <c r="G1" s="47"/>
      <c r="H1" s="47"/>
      <c r="I1" s="47"/>
    </row>
    <row r="2" spans="1:9" x14ac:dyDescent="0.3">
      <c r="A2" s="67" t="s">
        <v>166</v>
      </c>
      <c r="B2" s="47"/>
      <c r="C2" s="47"/>
      <c r="D2" s="47"/>
      <c r="E2" s="47"/>
      <c r="F2" s="47"/>
      <c r="G2" s="47"/>
      <c r="H2" s="47"/>
      <c r="I2" s="47"/>
    </row>
    <row r="4" spans="1:9" x14ac:dyDescent="0.3">
      <c r="A4" s="64" t="s">
        <v>167</v>
      </c>
      <c r="B4" s="47"/>
      <c r="C4" s="47"/>
      <c r="D4" s="47"/>
      <c r="E4" s="47"/>
      <c r="F4" s="47"/>
      <c r="G4" s="47"/>
      <c r="H4" s="47"/>
      <c r="I4" s="47"/>
    </row>
    <row r="5" spans="1:9" x14ac:dyDescent="0.3">
      <c r="A5" s="63" t="s">
        <v>168</v>
      </c>
      <c r="B5" s="56"/>
      <c r="C5" s="63" t="s">
        <v>169</v>
      </c>
      <c r="D5" s="56"/>
      <c r="E5" s="63" t="s">
        <v>170</v>
      </c>
      <c r="F5" s="56"/>
      <c r="G5" s="63" t="s">
        <v>171</v>
      </c>
      <c r="H5" s="56"/>
      <c r="I5" s="41" t="s">
        <v>15</v>
      </c>
    </row>
    <row r="6" spans="1:9" ht="21" customHeight="1" x14ac:dyDescent="0.4">
      <c r="A6" s="65">
        <f>COUNTA('Centralizator Medii'!B9:B40)</f>
        <v>32</v>
      </c>
      <c r="B6" s="56"/>
      <c r="C6" s="59">
        <f>IFERROR(COUNTIF('Centralizator Medii'!I9:I40, "Promovat")/COUNTA('Centralizator Medii'!B9:B40), 0)</f>
        <v>0</v>
      </c>
      <c r="D6" s="56"/>
      <c r="E6" s="65" t="str">
        <f>IFERROR(ROUND(AVERAGE('Centralizator Medii'!G9:G40), 2), "-")</f>
        <v>-</v>
      </c>
      <c r="F6" s="56"/>
      <c r="G6" s="65">
        <f>IFERROR(ROUND(AVERAGE('Centralizator Medii'!H9:H40), 2), "-")</f>
        <v>10</v>
      </c>
      <c r="H6" s="56"/>
      <c r="I6" s="42">
        <f>'Absențe &amp; Purtare'!G41</f>
        <v>0</v>
      </c>
    </row>
    <row r="8" spans="1:9" x14ac:dyDescent="0.3">
      <c r="A8" s="64" t="s">
        <v>172</v>
      </c>
      <c r="B8" s="47"/>
      <c r="C8" s="47"/>
      <c r="D8" s="47"/>
      <c r="E8" s="47"/>
      <c r="F8" s="47"/>
      <c r="G8" s="47"/>
      <c r="H8" s="47"/>
      <c r="I8" s="47"/>
    </row>
    <row r="9" spans="1:9" x14ac:dyDescent="0.3">
      <c r="A9" s="60" t="s">
        <v>173</v>
      </c>
      <c r="B9" s="47"/>
      <c r="C9" s="47"/>
      <c r="D9" s="47"/>
      <c r="F9" s="60" t="s">
        <v>174</v>
      </c>
      <c r="G9" s="47"/>
      <c r="H9" s="47"/>
      <c r="I9" s="47"/>
    </row>
    <row r="10" spans="1:9" x14ac:dyDescent="0.3">
      <c r="A10" s="44" t="s">
        <v>175</v>
      </c>
      <c r="B10" s="69" t="s">
        <v>176</v>
      </c>
      <c r="C10" s="47"/>
      <c r="D10" s="44" t="s">
        <v>177</v>
      </c>
      <c r="F10" s="73" t="s">
        <v>178</v>
      </c>
      <c r="G10" s="47"/>
      <c r="H10" s="47"/>
      <c r="I10" s="44" t="s">
        <v>179</v>
      </c>
    </row>
    <row r="11" spans="1:9" x14ac:dyDescent="0.3">
      <c r="A11" s="40" t="s">
        <v>180</v>
      </c>
      <c r="B11" s="58">
        <f>COUNTIFS('Centralizator Medii'!G9:G40, "&gt;=9", 'Centralizator Medii'!G9:G40, "&lt;=10")</f>
        <v>0</v>
      </c>
      <c r="C11" s="56"/>
      <c r="D11" s="29">
        <f t="shared" ref="D11:D16" si="0">IFERROR(B11/$A$6, 0)</f>
        <v>0</v>
      </c>
      <c r="F11" s="61" t="s">
        <v>181</v>
      </c>
      <c r="G11" s="62"/>
      <c r="H11" s="56"/>
      <c r="I11" s="39">
        <f>'Absențe &amp; Purtare'!E41</f>
        <v>0</v>
      </c>
    </row>
    <row r="12" spans="1:9" x14ac:dyDescent="0.3">
      <c r="A12" s="40" t="s">
        <v>182</v>
      </c>
      <c r="B12" s="58">
        <f>COUNTIFS('Centralizator Medii'!G9:G40, "&gt;=8", 'Centralizator Medii'!G9:G40, "&lt;9")</f>
        <v>0</v>
      </c>
      <c r="C12" s="56"/>
      <c r="D12" s="29">
        <f t="shared" si="0"/>
        <v>0</v>
      </c>
      <c r="F12" s="61" t="s">
        <v>183</v>
      </c>
      <c r="G12" s="62"/>
      <c r="H12" s="56"/>
      <c r="I12" s="39">
        <f>'Absențe &amp; Purtare'!F41</f>
        <v>0</v>
      </c>
    </row>
    <row r="13" spans="1:9" x14ac:dyDescent="0.3">
      <c r="A13" s="40" t="s">
        <v>184</v>
      </c>
      <c r="B13" s="58">
        <f>COUNTIFS('Centralizator Medii'!G9:G40, "&gt;=7", 'Centralizator Medii'!G9:G40, "&lt;8")</f>
        <v>0</v>
      </c>
      <c r="C13" s="56"/>
      <c r="D13" s="29">
        <f t="shared" si="0"/>
        <v>0</v>
      </c>
      <c r="F13" s="61" t="s">
        <v>185</v>
      </c>
      <c r="G13" s="62"/>
      <c r="H13" s="56"/>
      <c r="I13" s="39">
        <f>'Absențe &amp; Purtare'!G41</f>
        <v>0</v>
      </c>
    </row>
    <row r="14" spans="1:9" x14ac:dyDescent="0.3">
      <c r="A14" s="40" t="s">
        <v>186</v>
      </c>
      <c r="B14" s="58">
        <f>COUNTIFS('Centralizator Medii'!G9:G40, "&gt;=6", 'Centralizator Medii'!G9:G40, "&lt;7")</f>
        <v>0</v>
      </c>
      <c r="C14" s="56"/>
      <c r="D14" s="29">
        <f t="shared" si="0"/>
        <v>0</v>
      </c>
      <c r="F14" s="61" t="s">
        <v>187</v>
      </c>
      <c r="G14" s="62"/>
      <c r="H14" s="56"/>
      <c r="I14" s="39">
        <f>IFERROR(ROUND('Absențe &amp; Purtare'!G41/A6, 1), 0)</f>
        <v>0</v>
      </c>
    </row>
    <row r="15" spans="1:9" x14ac:dyDescent="0.3">
      <c r="A15" s="40" t="s">
        <v>188</v>
      </c>
      <c r="B15" s="58">
        <f>COUNTIFS('Centralizator Medii'!G9:G40, "&gt;=5", 'Centralizator Medii'!G9:G40, "&lt;6")</f>
        <v>0</v>
      </c>
      <c r="C15" s="56"/>
      <c r="D15" s="29">
        <f t="shared" si="0"/>
        <v>0</v>
      </c>
      <c r="F15" s="61" t="s">
        <v>189</v>
      </c>
      <c r="G15" s="62"/>
      <c r="H15" s="56"/>
      <c r="I15" s="39">
        <f>COUNTIF('Centralizator Medii'!H9:H40, "&lt;10")</f>
        <v>0</v>
      </c>
    </row>
    <row r="16" spans="1:9" x14ac:dyDescent="0.3">
      <c r="A16" s="40" t="s">
        <v>190</v>
      </c>
      <c r="B16" s="58">
        <f>COUNTIFS('Centralizator Medii'!G9:G40, "&gt;0", 'Centralizator Medii'!G9:G40, "&lt;5")</f>
        <v>0</v>
      </c>
      <c r="C16" s="56"/>
      <c r="D16" s="29">
        <f t="shared" si="0"/>
        <v>0</v>
      </c>
      <c r="F16" s="61" t="s">
        <v>191</v>
      </c>
      <c r="G16" s="62"/>
      <c r="H16" s="56"/>
      <c r="I16" s="39">
        <f>COUNTIF('Absențe &amp; Purtare'!E9:E40, "&gt;=40")</f>
        <v>0</v>
      </c>
    </row>
    <row r="17" spans="1:9" x14ac:dyDescent="0.3">
      <c r="A17" s="30" t="s">
        <v>192</v>
      </c>
      <c r="B17" s="70">
        <f>SUM(B11:B16)</f>
        <v>0</v>
      </c>
      <c r="C17" s="71"/>
      <c r="D17" s="31">
        <f>SUM(D11:D16)</f>
        <v>0</v>
      </c>
    </row>
    <row r="19" spans="1:9" x14ac:dyDescent="0.3">
      <c r="A19" s="64" t="s">
        <v>193</v>
      </c>
      <c r="B19" s="47"/>
      <c r="C19" s="47"/>
      <c r="D19" s="47"/>
      <c r="E19" s="47"/>
      <c r="F19" s="47"/>
      <c r="G19" s="47"/>
      <c r="H19" s="47"/>
      <c r="I19" s="47"/>
    </row>
    <row r="20" spans="1:9" x14ac:dyDescent="0.3">
      <c r="A20" s="32" t="s">
        <v>194</v>
      </c>
      <c r="B20" s="72" t="s">
        <v>195</v>
      </c>
      <c r="C20" s="62"/>
      <c r="D20" s="56"/>
      <c r="E20" s="32" t="s">
        <v>8</v>
      </c>
      <c r="F20" s="32" t="s">
        <v>10</v>
      </c>
      <c r="G20" s="32" t="s">
        <v>196</v>
      </c>
      <c r="H20" s="32" t="s">
        <v>197</v>
      </c>
      <c r="I20" s="32" t="s">
        <v>198</v>
      </c>
    </row>
    <row r="21" spans="1:9" x14ac:dyDescent="0.3">
      <c r="A21" s="39" t="s">
        <v>199</v>
      </c>
      <c r="B21" s="61" t="str">
        <f>IFERROR(INDEX('Centralizator Medii'!$B$9:$B$40, MATCH(1, 'Centralizator Medii'!$K$9:$K$40, 0)), "-")</f>
        <v>-</v>
      </c>
      <c r="C21" s="62"/>
      <c r="D21" s="56"/>
      <c r="E21" s="28" t="str">
        <f>IFERROR(INDEX('Centralizator Medii'!$C$9:$C$40, MATCH(1, 'Centralizator Medii'!$K$9:$K$40, 0)), "-")</f>
        <v>-</v>
      </c>
      <c r="F21" s="28" t="str">
        <f>IFERROR(INDEX('Centralizator Medii'!$E$9:$E$40, MATCH(1, 'Centralizator Medii'!$K$9:$K$40, 0)), "-")</f>
        <v>-</v>
      </c>
      <c r="G21" s="28" t="str">
        <f>IFERROR(INDEX('Centralizator Medii'!$F$9:$F$40, MATCH(1, 'Centralizator Medii'!$K$9:$K$40, 0)), "-")</f>
        <v>-</v>
      </c>
      <c r="H21" s="39" t="str">
        <f>IFERROR(INDEX('Centralizator Medii'!$G$9:$G$40, MATCH(1, 'Centralizator Medii'!$K$9:$K$40, 0)), "-")</f>
        <v>-</v>
      </c>
      <c r="I21" s="28" t="str">
        <f>IFERROR(INDEX('Centralizator Medii'!$L$9:$L$40, MATCH(1, 'Centralizator Medii'!$K$9:$K$40, 0)), "-")</f>
        <v>-</v>
      </c>
    </row>
    <row r="22" spans="1:9" x14ac:dyDescent="0.3">
      <c r="A22" s="39" t="s">
        <v>200</v>
      </c>
      <c r="B22" s="61" t="str">
        <f>IFERROR(INDEX('Centralizator Medii'!$B$9:$B$40, MATCH(2, 'Centralizator Medii'!$K$9:$K$40, 0)), "-")</f>
        <v>-</v>
      </c>
      <c r="C22" s="62"/>
      <c r="D22" s="56"/>
      <c r="E22" s="28" t="str">
        <f>IFERROR(INDEX('Centralizator Medii'!$C$9:$C$40, MATCH(2, 'Centralizator Medii'!$K$9:$K$40, 0)), "-")</f>
        <v>-</v>
      </c>
      <c r="F22" s="28" t="str">
        <f>IFERROR(INDEX('Centralizator Medii'!$E$9:$E$40, MATCH(2, 'Centralizator Medii'!$K$9:$K$40, 0)), "-")</f>
        <v>-</v>
      </c>
      <c r="G22" s="28" t="str">
        <f>IFERROR(INDEX('Centralizator Medii'!$F$9:$F$40, MATCH(2, 'Centralizator Medii'!$K$9:$K$40, 0)), "-")</f>
        <v>-</v>
      </c>
      <c r="H22" s="39" t="str">
        <f>IFERROR(INDEX('Centralizator Medii'!$G$9:$G$40, MATCH(2, 'Centralizator Medii'!$K$9:$K$40, 0)), "-")</f>
        <v>-</v>
      </c>
      <c r="I22" s="28" t="str">
        <f>IFERROR(INDEX('Centralizator Medii'!$L$9:$L$40, MATCH(2, 'Centralizator Medii'!$K$9:$K$40, 0)), "-")</f>
        <v>-</v>
      </c>
    </row>
    <row r="23" spans="1:9" x14ac:dyDescent="0.3">
      <c r="A23" s="39" t="s">
        <v>201</v>
      </c>
      <c r="B23" s="61" t="str">
        <f>IFERROR(INDEX('Centralizator Medii'!$B$9:$B$40, MATCH(3, 'Centralizator Medii'!$K$9:$K$40, 0)), "-")</f>
        <v>-</v>
      </c>
      <c r="C23" s="62"/>
      <c r="D23" s="56"/>
      <c r="E23" s="28" t="str">
        <f>IFERROR(INDEX('Centralizator Medii'!$C$9:$C$40, MATCH(3, 'Centralizator Medii'!$K$9:$K$40, 0)), "-")</f>
        <v>-</v>
      </c>
      <c r="F23" s="28" t="str">
        <f>IFERROR(INDEX('Centralizator Medii'!$E$9:$E$40, MATCH(3, 'Centralizator Medii'!$K$9:$K$40, 0)), "-")</f>
        <v>-</v>
      </c>
      <c r="G23" s="28" t="str">
        <f>IFERROR(INDEX('Centralizator Medii'!$F$9:$F$40, MATCH(3, 'Centralizator Medii'!$K$9:$K$40, 0)), "-")</f>
        <v>-</v>
      </c>
      <c r="H23" s="39" t="str">
        <f>IFERROR(INDEX('Centralizator Medii'!$G$9:$G$40, MATCH(3, 'Centralizator Medii'!$K$9:$K$40, 0)), "-")</f>
        <v>-</v>
      </c>
      <c r="I23" s="28" t="str">
        <f>IFERROR(INDEX('Centralizator Medii'!$L$9:$L$40, MATCH(3, 'Centralizator Medii'!$K$9:$K$40, 0)), "-")</f>
        <v>-</v>
      </c>
    </row>
    <row r="24" spans="1:9" x14ac:dyDescent="0.3">
      <c r="A24" s="39" t="s">
        <v>202</v>
      </c>
      <c r="B24" s="61" t="str">
        <f>IFERROR(INDEX('Centralizator Medii'!$B$9:$B$40, MATCH(4, 'Centralizator Medii'!$K$9:$K$40, 0)), "-")</f>
        <v>-</v>
      </c>
      <c r="C24" s="62"/>
      <c r="D24" s="56"/>
      <c r="E24" s="28" t="str">
        <f>IFERROR(INDEX('Centralizator Medii'!$C$9:$C$40, MATCH(4, 'Centralizator Medii'!$K$9:$K$40, 0)), "-")</f>
        <v>-</v>
      </c>
      <c r="F24" s="28" t="str">
        <f>IFERROR(INDEX('Centralizator Medii'!$E$9:$E$40, MATCH(4, 'Centralizator Medii'!$K$9:$K$40, 0)), "-")</f>
        <v>-</v>
      </c>
      <c r="G24" s="28" t="str">
        <f>IFERROR(INDEX('Centralizator Medii'!$F$9:$F$40, MATCH(4, 'Centralizator Medii'!$K$9:$K$40, 0)), "-")</f>
        <v>-</v>
      </c>
      <c r="H24" s="39" t="str">
        <f>IFERROR(INDEX('Centralizator Medii'!$G$9:$G$40, MATCH(4, 'Centralizator Medii'!$K$9:$K$40, 0)), "-")</f>
        <v>-</v>
      </c>
      <c r="I24" s="28" t="str">
        <f>IFERROR(INDEX('Centralizator Medii'!$L$9:$L$40, MATCH(4, 'Centralizator Medii'!$K$9:$K$40, 0)), "-")</f>
        <v>-</v>
      </c>
    </row>
    <row r="25" spans="1:9" x14ac:dyDescent="0.3">
      <c r="A25" s="39" t="s">
        <v>203</v>
      </c>
      <c r="B25" s="61" t="str">
        <f>IFERROR(INDEX('Centralizator Medii'!$B$9:$B$40, MATCH(5, 'Centralizator Medii'!$K$9:$K$40, 0)), "-")</f>
        <v>-</v>
      </c>
      <c r="C25" s="62"/>
      <c r="D25" s="56"/>
      <c r="E25" s="28" t="str">
        <f>IFERROR(INDEX('Centralizator Medii'!$C$9:$C$40, MATCH(5, 'Centralizator Medii'!$K$9:$K$40, 0)), "-")</f>
        <v>-</v>
      </c>
      <c r="F25" s="28" t="str">
        <f>IFERROR(INDEX('Centralizator Medii'!$E$9:$E$40, MATCH(5, 'Centralizator Medii'!$K$9:$K$40, 0)), "-")</f>
        <v>-</v>
      </c>
      <c r="G25" s="28" t="str">
        <f>IFERROR(INDEX('Centralizator Medii'!$F$9:$F$40, MATCH(5, 'Centralizator Medii'!$K$9:$K$40, 0)), "-")</f>
        <v>-</v>
      </c>
      <c r="H25" s="39" t="str">
        <f>IFERROR(INDEX('Centralizator Medii'!$G$9:$G$40, MATCH(5, 'Centralizator Medii'!$K$9:$K$40, 0)), "-")</f>
        <v>-</v>
      </c>
      <c r="I25" s="28" t="str">
        <f>IFERROR(INDEX('Centralizator Medii'!$L$9:$L$40, MATCH(5, 'Centralizator Medii'!$K$9:$K$40, 0)), "-")</f>
        <v>-</v>
      </c>
    </row>
    <row r="27" spans="1:9" x14ac:dyDescent="0.3">
      <c r="A27" s="64" t="s">
        <v>204</v>
      </c>
      <c r="B27" s="47"/>
      <c r="C27" s="47"/>
      <c r="D27" s="47"/>
      <c r="E27" s="47"/>
      <c r="F27" s="47"/>
      <c r="G27" s="47"/>
      <c r="H27" s="47"/>
      <c r="I27" s="47"/>
    </row>
    <row r="28" spans="1:9" x14ac:dyDescent="0.3">
      <c r="A28" s="68" t="s">
        <v>205</v>
      </c>
      <c r="B28" s="47"/>
      <c r="C28" s="47"/>
      <c r="D28" s="47"/>
      <c r="E28" s="47"/>
      <c r="F28" s="47"/>
      <c r="G28" s="47"/>
      <c r="H28" s="47"/>
      <c r="I28" s="47"/>
    </row>
    <row r="29" spans="1:9" x14ac:dyDescent="0.3">
      <c r="A29" s="66" t="s">
        <v>206</v>
      </c>
      <c r="B29" s="47"/>
      <c r="C29" s="47"/>
      <c r="D29" s="47"/>
      <c r="E29" s="47"/>
      <c r="F29" s="47"/>
      <c r="G29" s="47"/>
      <c r="H29" s="47"/>
      <c r="I29" s="47"/>
    </row>
    <row r="30" spans="1:9" x14ac:dyDescent="0.3">
      <c r="A30" s="68" t="s">
        <v>207</v>
      </c>
      <c r="B30" s="47"/>
      <c r="C30" s="47"/>
      <c r="D30" s="47"/>
      <c r="E30" s="47"/>
      <c r="F30" s="47"/>
      <c r="G30" s="47"/>
      <c r="H30" s="47"/>
      <c r="I30" s="47"/>
    </row>
    <row r="31" spans="1:9" x14ac:dyDescent="0.3">
      <c r="A31" s="66" t="s">
        <v>206</v>
      </c>
      <c r="B31" s="47"/>
      <c r="C31" s="47"/>
      <c r="D31" s="47"/>
      <c r="E31" s="47"/>
      <c r="F31" s="47"/>
      <c r="G31" s="47"/>
      <c r="H31" s="47"/>
      <c r="I31" s="47"/>
    </row>
    <row r="32" spans="1:9" x14ac:dyDescent="0.3">
      <c r="A32" s="68" t="s">
        <v>208</v>
      </c>
      <c r="B32" s="47"/>
      <c r="C32" s="47"/>
      <c r="D32" s="47"/>
      <c r="E32" s="47"/>
      <c r="F32" s="47"/>
      <c r="G32" s="47"/>
      <c r="H32" s="47"/>
      <c r="I32" s="47"/>
    </row>
    <row r="33" spans="1:9" x14ac:dyDescent="0.3">
      <c r="A33" s="66" t="s">
        <v>206</v>
      </c>
      <c r="B33" s="47"/>
      <c r="C33" s="47"/>
      <c r="D33" s="47"/>
      <c r="E33" s="47"/>
      <c r="F33" s="47"/>
      <c r="G33" s="47"/>
      <c r="H33" s="47"/>
      <c r="I33" s="47"/>
    </row>
    <row r="35" spans="1:9" x14ac:dyDescent="0.3">
      <c r="A35" s="68" t="s">
        <v>209</v>
      </c>
      <c r="B35" s="47"/>
      <c r="C35" s="47"/>
      <c r="D35" s="69" t="s">
        <v>210</v>
      </c>
      <c r="E35" s="47"/>
      <c r="F35" s="47"/>
      <c r="G35" s="69" t="s">
        <v>160</v>
      </c>
      <c r="H35" s="47"/>
      <c r="I35" s="47"/>
    </row>
    <row r="36" spans="1:9" x14ac:dyDescent="0.3">
      <c r="D36" s="74" t="s">
        <v>211</v>
      </c>
      <c r="E36" s="47"/>
      <c r="F36" s="47"/>
      <c r="G36" s="74" t="s">
        <v>211</v>
      </c>
      <c r="H36" s="47"/>
      <c r="I36" s="47"/>
    </row>
  </sheetData>
  <mergeCells count="48">
    <mergeCell ref="G36:I36"/>
    <mergeCell ref="B15:C15"/>
    <mergeCell ref="B22:D22"/>
    <mergeCell ref="A1:I1"/>
    <mergeCell ref="D36:F36"/>
    <mergeCell ref="B21:D21"/>
    <mergeCell ref="F12:H12"/>
    <mergeCell ref="F15:H15"/>
    <mergeCell ref="D35:F35"/>
    <mergeCell ref="G5:H5"/>
    <mergeCell ref="A31:I31"/>
    <mergeCell ref="B25:D25"/>
    <mergeCell ref="F11:H11"/>
    <mergeCell ref="A30:I30"/>
    <mergeCell ref="F10:H10"/>
    <mergeCell ref="F16:H16"/>
    <mergeCell ref="A2:I2"/>
    <mergeCell ref="B11:C11"/>
    <mergeCell ref="F13:H13"/>
    <mergeCell ref="A32:I32"/>
    <mergeCell ref="G35:I35"/>
    <mergeCell ref="B14:C14"/>
    <mergeCell ref="A8:I8"/>
    <mergeCell ref="G6:H6"/>
    <mergeCell ref="B17:C17"/>
    <mergeCell ref="A35:C35"/>
    <mergeCell ref="A4:I4"/>
    <mergeCell ref="B24:D24"/>
    <mergeCell ref="B20:D20"/>
    <mergeCell ref="B13:C13"/>
    <mergeCell ref="A29:I29"/>
    <mergeCell ref="E6:F6"/>
    <mergeCell ref="A27:I27"/>
    <mergeCell ref="A6:B6"/>
    <mergeCell ref="B12:C12"/>
    <mergeCell ref="A9:D9"/>
    <mergeCell ref="A33:I33"/>
    <mergeCell ref="A19:I19"/>
    <mergeCell ref="F14:H14"/>
    <mergeCell ref="A28:I28"/>
    <mergeCell ref="B10:C10"/>
    <mergeCell ref="B16:C16"/>
    <mergeCell ref="C6:D6"/>
    <mergeCell ref="F9:I9"/>
    <mergeCell ref="B23:D23"/>
    <mergeCell ref="C5:D5"/>
    <mergeCell ref="E5:F5"/>
    <mergeCell ref="A5:B5"/>
  </mergeCells>
  <pageMargins left="0.75" right="0.75" top="1" bottom="1" header="0.5" footer="0.5"/>
  <pageSetup paperSize="9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7</vt:i4>
      </vt:variant>
    </vt:vector>
  </HeadingPairs>
  <TitlesOfParts>
    <vt:vector size="7" baseType="lpstr">
      <vt:lpstr>Centralizator Medii</vt:lpstr>
      <vt:lpstr>Cultură Generală</vt:lpstr>
      <vt:lpstr>Module Tehnologice</vt:lpstr>
      <vt:lpstr>Absențe &amp; Purtare</vt:lpstr>
      <vt:lpstr>Fișă Individuală Elev</vt:lpstr>
      <vt:lpstr>Adeverință Elev</vt:lpstr>
      <vt:lpstr>Raport Diriginte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Elev</cp:lastModifiedBy>
  <dcterms:created xsi:type="dcterms:W3CDTF">2026-09-21T20:21:54Z</dcterms:created>
  <dcterms:modified xsi:type="dcterms:W3CDTF">2026-09-22T04:53:29Z</dcterms:modified>
</cp:coreProperties>
</file>