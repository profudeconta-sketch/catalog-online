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ntralizator Medii" sheetId="1" state="visible" r:id="rId1"/>
    <sheet xmlns:r="http://schemas.openxmlformats.org/officeDocument/2006/relationships" name="Cultură Generală" sheetId="2" state="visible" r:id="rId2"/>
    <sheet xmlns:r="http://schemas.openxmlformats.org/officeDocument/2006/relationships" name="Module Tehnologice" sheetId="3" state="visible" r:id="rId3"/>
    <sheet xmlns:r="http://schemas.openxmlformats.org/officeDocument/2006/relationships" name="Absențe &amp; Purtare" sheetId="4" state="visible" r:id="rId4"/>
    <sheet xmlns:r="http://schemas.openxmlformats.org/officeDocument/2006/relationships" name="Fișă Individuală Elev" sheetId="5" state="visible" r:id="rId5"/>
    <sheet xmlns:r="http://schemas.openxmlformats.org/officeDocument/2006/relationships" name="Adeverință Elev" sheetId="6" state="visible" r:id="rId6"/>
    <sheet xmlns:r="http://schemas.openxmlformats.org/officeDocument/2006/relationships" name="Raport Dirigint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1F4E78"/>
      <sz val="15"/>
    </font>
    <font>
      <name val="Calibri"/>
      <i val="1"/>
      <color rgb="00595959"/>
      <sz val="10"/>
    </font>
    <font>
      <name val="Calibri"/>
      <b val="1"/>
      <color rgb="00595959"/>
      <sz val="9"/>
    </font>
    <font>
      <name val="Calibri"/>
      <b val="1"/>
      <color rgb="001F4E78"/>
      <sz val="16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1F4E78"/>
      <sz val="10"/>
    </font>
    <font>
      <name val="Calibri"/>
      <b val="1"/>
      <color rgb="001F4E78"/>
      <sz val="14"/>
    </font>
    <font>
      <name val="Calibri"/>
      <b val="1"/>
      <color rgb="00FFFFFF"/>
      <sz val="10"/>
    </font>
    <font>
      <name val="Calibri"/>
      <b val="1"/>
      <color rgb="00595959"/>
      <sz val="11"/>
    </font>
    <font>
      <name val="Calibri"/>
      <i val="1"/>
      <color rgb="00595959"/>
      <sz val="9"/>
    </font>
  </fonts>
  <fills count="1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2F5597"/>
        <bgColor rgb="002F5597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2DCDB"/>
        <bgColor rgb="00F2DCDB"/>
      </patternFill>
    </fill>
  </fills>
  <borders count="21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F4E78"/>
      </left>
      <right style="thin">
        <color rgb="001F4E78"/>
      </right>
      <top style="medium">
        <color rgb="001F4E78"/>
      </top>
      <bottom style="medium">
        <color rgb="001F4E78"/>
      </bottom>
    </border>
    <border>
      <top style="thin">
        <color rgb="001F4E78"/>
      </top>
      <bottom style="double">
        <color rgb="001F4E78"/>
      </bottom>
    </border>
    <border>
      <left/>
      <right/>
      <top style="medium">
        <color rgb="001F4E78"/>
      </top>
      <bottom/>
      <diagonal/>
    </border>
    <border>
      <left/>
      <right style="thin">
        <color rgb="001F4E78"/>
      </right>
      <top style="medium">
        <color rgb="001F4E78"/>
      </top>
      <bottom/>
      <diagonal/>
    </border>
    <border>
      <left/>
      <right/>
      <top style="medium">
        <color rgb="001F4E78"/>
      </top>
      <bottom style="medium">
        <color rgb="001F4E78"/>
      </bottom>
      <diagonal/>
    </border>
    <border>
      <left/>
      <right style="thin">
        <color rgb="001F4E78"/>
      </right>
      <top style="medium">
        <color rgb="001F4E78"/>
      </top>
      <bottom style="medium">
        <color rgb="001F4E78"/>
      </bottom>
      <diagonal/>
    </border>
    <border>
      <left style="thin">
        <color rgb="001F4E78"/>
      </left>
      <right/>
      <top/>
      <bottom/>
      <diagonal/>
    </border>
    <border>
      <left style="thin">
        <color rgb="001F4E78"/>
      </left>
      <right style="thin">
        <color rgb="001F4E78"/>
      </right>
      <top/>
      <bottom/>
      <diagonal/>
    </border>
    <border>
      <left style="thin">
        <color rgb="001F4E78"/>
      </left>
      <right style="thin">
        <color rgb="001F4E78"/>
      </right>
      <top/>
      <bottom style="medium">
        <color rgb="001F4E78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top style="thin">
        <color rgb="00D9D9D9"/>
      </top>
      <bottom style="double">
        <color rgb="002F5496"/>
      </bottom>
    </border>
    <border>
      <left/>
      <right/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double">
        <color rgb="002F5496"/>
      </bottom>
      <diagonal/>
    </border>
    <border>
      <right/>
      <top style="thin">
        <color rgb="00D9D9D9"/>
      </top>
      <bottom style="double">
        <color rgb="002F5496"/>
      </bottom>
    </border>
    <border>
      <left/>
      <right style="thin">
        <color rgb="001F4E78"/>
      </right>
      <top/>
      <bottom style="medium">
        <color rgb="001F4E78"/>
      </bottom>
      <diagonal/>
    </border>
    <border>
      <left/>
      <right style="thin">
        <color rgb="001F4E78"/>
      </right>
      <top/>
      <bottom/>
      <diagonal/>
    </border>
    <border>
      <left/>
      <right/>
      <top/>
      <bottom style="medium">
        <color rgb="001F4E78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right" vertical="center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9" borderId="2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0" fillId="0" borderId="6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3" pivotButton="0" quotePrefix="0" xfId="0"/>
    <xf numFmtId="0" fontId="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10" fillId="1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14" pivotButton="0" quotePrefix="0" xfId="0"/>
    <xf numFmtId="0" fontId="6" fillId="0" borderId="14" applyAlignment="1" pivotButton="0" quotePrefix="0" xfId="0">
      <alignment horizontal="center"/>
    </xf>
    <xf numFmtId="0" fontId="0" fillId="0" borderId="14" pivotButton="0" quotePrefix="0" xfId="0"/>
    <xf numFmtId="164" fontId="6" fillId="0" borderId="14" applyAlignment="1" pivotButton="0" quotePrefix="0" xfId="0">
      <alignment horizontal="center"/>
    </xf>
    <xf numFmtId="0" fontId="10" fillId="10" borderId="1" applyAlignment="1" pivotButton="0" quotePrefix="0" xfId="0">
      <alignment horizontal="center"/>
    </xf>
    <xf numFmtId="0" fontId="10" fillId="10" borderId="1" applyAlignment="1" pivotButton="0" quotePrefix="0" xfId="0">
      <alignment horizontal="left"/>
    </xf>
    <xf numFmtId="0" fontId="10" fillId="10" borderId="1" pivotButton="0" quotePrefix="0" xfId="0"/>
    <xf numFmtId="0" fontId="12" fillId="0" borderId="0" pivotButton="0" quotePrefix="0" xfId="0"/>
    <xf numFmtId="49" fontId="0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5" fillId="11" borderId="2" applyAlignment="1" pivotButton="0" quotePrefix="0" xfId="0">
      <alignment horizontal="center" vertical="center" wrapText="1"/>
    </xf>
    <xf numFmtId="0" fontId="5" fillId="11" borderId="18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18" pivotButton="0" quotePrefix="0" xfId="0"/>
    <xf numFmtId="0" fontId="5" fillId="11" borderId="0" applyAlignment="1" pivotButton="0" quotePrefix="0" xfId="0">
      <alignment horizontal="center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Distribuția Mediilor Generale pe Tranșe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'Raport Diriginte'!B10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'Raport Diriginte'!$A$11:$A$16</f>
            </numRef>
          </cat>
          <val>
            <numRef>
              <f>'Raport Diriginte'!$B$11:$B$16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Tranșă Medie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Număr Elevi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4" customWidth="1" min="8" max="8"/>
    <col width="22" customWidth="1" min="9" max="9"/>
    <col width="14" customWidth="1" min="10" max="10"/>
    <col width="20" customWidth="1" min="11" max="11"/>
  </cols>
  <sheetData>
    <row r="1">
      <c r="A1" s="1" t="inlineStr">
        <is>
          <t>COLEGIUL 'EMIL NEGRUȚIU' TURDA — CENTRALIZATOR MEDII &amp; SITUAȚIE ȘCOLARĂ</t>
        </is>
      </c>
    </row>
    <row r="2">
      <c r="A2" s="2" t="inlineStr">
        <is>
          <t>CLASA a IX-a TH — Domeniul Turism și Alimentație (Lucrător Hotelier) | An școlar 2026-2027 | Centralizare medii generale, purtare și statut școlar</t>
        </is>
      </c>
    </row>
    <row r="4">
      <c r="B4" s="3" t="inlineStr">
        <is>
          <t>TOTAL ELEVI</t>
        </is>
      </c>
      <c r="E4" s="3" t="inlineStr">
        <is>
          <t>ELEVI PROMOVATI</t>
        </is>
      </c>
      <c r="H4" s="3" t="inlineStr">
        <is>
          <t>MEDIA CLASEI</t>
        </is>
      </c>
      <c r="K4" s="3" t="inlineStr">
        <is>
          <t>ELEVI CORIGENȚI</t>
        </is>
      </c>
    </row>
    <row r="5">
      <c r="B5" s="4">
        <f>COUNTA(B9:B40)</f>
        <v/>
      </c>
      <c r="E5" s="4">
        <f>COUNTIF(I9:I40, "Promovat")</f>
        <v/>
      </c>
      <c r="H5" s="4">
        <f>IFERROR(ROUND(AVERAGE(G9:G40), 2), "")</f>
        <v/>
      </c>
      <c r="K5" s="4">
        <f>COUNTIF(I9:I40, "Corigent / Repetent")</f>
        <v/>
      </c>
    </row>
    <row r="8">
      <c r="A8" s="5" t="inlineStr">
        <is>
          <t>NR.</t>
        </is>
      </c>
      <c r="B8" s="5" t="inlineStr">
        <is>
          <t>NUME SI PRENUME</t>
        </is>
      </c>
      <c r="C8" s="5" t="inlineStr">
        <is>
          <t>NR. MATR.</t>
        </is>
      </c>
      <c r="D8" s="5" t="inlineStr">
        <is>
          <t>RM / PG</t>
        </is>
      </c>
      <c r="E8" s="5" t="inlineStr">
        <is>
          <t>MEDIA CG</t>
        </is>
      </c>
      <c r="F8" s="5" t="inlineStr">
        <is>
          <t>MEDIA MODULE</t>
        </is>
      </c>
      <c r="G8" s="5" t="inlineStr">
        <is>
          <t>MEDIA GENERALĂ</t>
        </is>
      </c>
      <c r="H8" s="5" t="inlineStr">
        <is>
          <t>NOTĂ PURTARE</t>
        </is>
      </c>
      <c r="I8" s="5" t="inlineStr">
        <is>
          <t>STATUT ȘCOLAR</t>
        </is>
      </c>
      <c r="J8" s="5" t="inlineStr">
        <is>
          <t>TOTAL ABSENȚE</t>
        </is>
      </c>
      <c r="K8" s="35" t="inlineStr">
        <is>
          <t>RANG</t>
        </is>
      </c>
      <c r="L8" s="36" t="inlineStr">
        <is>
          <t>CLASAMENT / PREMIU</t>
        </is>
      </c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6">
        <f>'Cultură Generală'!E9</f>
        <v/>
      </c>
      <c r="F9" s="6">
        <f>'Module Tehnologice'!E9</f>
        <v/>
      </c>
      <c r="G9" s="8">
        <f>IF(AND(E9="", F9=""), "", IFERROR(ROUND(AVERAGE(E9, F9), 2), ""))</f>
        <v/>
      </c>
      <c r="H9" s="6">
        <f>'Absențe &amp; Purtare'!H9</f>
        <v/>
      </c>
      <c r="I9" s="6">
        <f>IF(AND(E9="", F9=""), "", IF(OR(E9&lt;5, F9&lt;5, H9&lt;5), "Corigent / Repetent", "Promovat"))</f>
        <v/>
      </c>
      <c r="J9" s="6">
        <f>'Absențe &amp; Purtare'!G9</f>
        <v/>
      </c>
      <c r="K9" s="37">
        <f>IF(G9="", "", RANK(G9, $G$9:$G$40))</f>
        <v/>
      </c>
      <c r="L9" s="38">
        <f>IF(K9="", "", IF(K9=1, "Premiul I", IF(K9=2, "Premiul II", IF(K9=3, "Premiul III", IF(K9&lt;=7, "Mențiune", "Membru")))))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6">
        <f>'Cultură Generală'!E10</f>
        <v/>
      </c>
      <c r="F10" s="6">
        <f>'Module Tehnologice'!E10</f>
        <v/>
      </c>
      <c r="G10" s="8">
        <f>IF(AND(E10="", F10=""), "", IFERROR(ROUND(AVERAGE(E10, F10), 2), ""))</f>
        <v/>
      </c>
      <c r="H10" s="6">
        <f>'Absențe &amp; Purtare'!H10</f>
        <v/>
      </c>
      <c r="I10" s="6">
        <f>IF(AND(E10="", F10=""), "", IF(OR(E10&lt;5, F10&lt;5, H10&lt;5), "Corigent / Repetent", "Promovat"))</f>
        <v/>
      </c>
      <c r="J10" s="6">
        <f>'Absențe &amp; Purtare'!G10</f>
        <v/>
      </c>
      <c r="K10" s="37">
        <f>IF(G10="", "", RANK(G10, $G$9:$G$40))</f>
        <v/>
      </c>
      <c r="L10" s="38">
        <f>IF(K10="", "", IF(K10=1, "Premiul I", IF(K10=2, "Premiul II", IF(K10=3, "Premiul III", IF(K10&lt;=7, "Mențiune", "Membru")))))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6">
        <f>'Cultură Generală'!E11</f>
        <v/>
      </c>
      <c r="F11" s="6">
        <f>'Module Tehnologice'!E11</f>
        <v/>
      </c>
      <c r="G11" s="8">
        <f>IF(AND(E11="", F11=""), "", IFERROR(ROUND(AVERAGE(E11, F11), 2), ""))</f>
        <v/>
      </c>
      <c r="H11" s="6">
        <f>'Absențe &amp; Purtare'!H11</f>
        <v/>
      </c>
      <c r="I11" s="6">
        <f>IF(AND(E11="", F11=""), "", IF(OR(E11&lt;5, F11&lt;5, H11&lt;5), "Corigent / Repetent", "Promovat"))</f>
        <v/>
      </c>
      <c r="J11" s="6">
        <f>'Absențe &amp; Purtare'!G11</f>
        <v/>
      </c>
      <c r="K11" s="37">
        <f>IF(G11="", "", RANK(G11, $G$9:$G$40))</f>
        <v/>
      </c>
      <c r="L11" s="38">
        <f>IF(K11="", "", IF(K11=1, "Premiul I", IF(K11=2, "Premiul II", IF(K11=3, "Premiul III", IF(K11&lt;=7, "Mențiune", "Membru")))))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6">
        <f>'Cultură Generală'!E12</f>
        <v/>
      </c>
      <c r="F12" s="6">
        <f>'Module Tehnologice'!E12</f>
        <v/>
      </c>
      <c r="G12" s="8">
        <f>IF(AND(E12="", F12=""), "", IFERROR(ROUND(AVERAGE(E12, F12), 2), ""))</f>
        <v/>
      </c>
      <c r="H12" s="6">
        <f>'Absențe &amp; Purtare'!H12</f>
        <v/>
      </c>
      <c r="I12" s="6">
        <f>IF(AND(E12="", F12=""), "", IF(OR(E12&lt;5, F12&lt;5, H12&lt;5), "Corigent / Repetent", "Promovat"))</f>
        <v/>
      </c>
      <c r="J12" s="6">
        <f>'Absențe &amp; Purtare'!G12</f>
        <v/>
      </c>
      <c r="K12" s="37">
        <f>IF(G12="", "", RANK(G12, $G$9:$G$40))</f>
        <v/>
      </c>
      <c r="L12" s="38">
        <f>IF(K12="", "", IF(K12=1, "Premiul I", IF(K12=2, "Premiul II", IF(K12=3, "Premiul III", IF(K12&lt;=7, "Mențiune", "Membru")))))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6">
        <f>'Cultură Generală'!E13</f>
        <v/>
      </c>
      <c r="F13" s="6">
        <f>'Module Tehnologice'!E13</f>
        <v/>
      </c>
      <c r="G13" s="8">
        <f>IF(AND(E13="", F13=""), "", IFERROR(ROUND(AVERAGE(E13, F13), 2), ""))</f>
        <v/>
      </c>
      <c r="H13" s="6">
        <f>'Absențe &amp; Purtare'!H13</f>
        <v/>
      </c>
      <c r="I13" s="6">
        <f>IF(AND(E13="", F13=""), "", IF(OR(E13&lt;5, F13&lt;5, H13&lt;5), "Corigent / Repetent", "Promovat"))</f>
        <v/>
      </c>
      <c r="J13" s="6">
        <f>'Absențe &amp; Purtare'!G13</f>
        <v/>
      </c>
      <c r="K13" s="37">
        <f>IF(G13="", "", RANK(G13, $G$9:$G$40))</f>
        <v/>
      </c>
      <c r="L13" s="38">
        <f>IF(K13="", "", IF(K13=1, "Premiul I", IF(K13=2, "Premiul II", IF(K13=3, "Premiul III", IF(K13&lt;=7, "Mențiune", "Membru")))))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6">
        <f>'Cultură Generală'!E14</f>
        <v/>
      </c>
      <c r="F14" s="6">
        <f>'Module Tehnologice'!E14</f>
        <v/>
      </c>
      <c r="G14" s="8">
        <f>IF(AND(E14="", F14=""), "", IFERROR(ROUND(AVERAGE(E14, F14), 2), ""))</f>
        <v/>
      </c>
      <c r="H14" s="6">
        <f>'Absențe &amp; Purtare'!H14</f>
        <v/>
      </c>
      <c r="I14" s="6">
        <f>IF(AND(E14="", F14=""), "", IF(OR(E14&lt;5, F14&lt;5, H14&lt;5), "Corigent / Repetent", "Promovat"))</f>
        <v/>
      </c>
      <c r="J14" s="6">
        <f>'Absențe &amp; Purtare'!G14</f>
        <v/>
      </c>
      <c r="K14" s="37">
        <f>IF(G14="", "", RANK(G14, $G$9:$G$40))</f>
        <v/>
      </c>
      <c r="L14" s="38">
        <f>IF(K14="", "", IF(K14=1, "Premiul I", IF(K14=2, "Premiul II", IF(K14=3, "Premiul III", IF(K14&lt;=7, "Mențiune", "Membru")))))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6">
        <f>'Cultură Generală'!E15</f>
        <v/>
      </c>
      <c r="F15" s="6">
        <f>'Module Tehnologice'!E15</f>
        <v/>
      </c>
      <c r="G15" s="8">
        <f>IF(AND(E15="", F15=""), "", IFERROR(ROUND(AVERAGE(E15, F15), 2), ""))</f>
        <v/>
      </c>
      <c r="H15" s="6">
        <f>'Absențe &amp; Purtare'!H15</f>
        <v/>
      </c>
      <c r="I15" s="6">
        <f>IF(AND(E15="", F15=""), "", IF(OR(E15&lt;5, F15&lt;5, H15&lt;5), "Corigent / Repetent", "Promovat"))</f>
        <v/>
      </c>
      <c r="J15" s="6">
        <f>'Absențe &amp; Purtare'!G15</f>
        <v/>
      </c>
      <c r="K15" s="37">
        <f>IF(G15="", "", RANK(G15, $G$9:$G$40))</f>
        <v/>
      </c>
      <c r="L15" s="38">
        <f>IF(K15="", "", IF(K15=1, "Premiul I", IF(K15=2, "Premiul II", IF(K15=3, "Premiul III", IF(K15&lt;=7, "Mențiune", "Membru")))))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6">
        <f>'Cultură Generală'!E16</f>
        <v/>
      </c>
      <c r="F16" s="6">
        <f>'Module Tehnologice'!E16</f>
        <v/>
      </c>
      <c r="G16" s="8">
        <f>IF(AND(E16="", F16=""), "", IFERROR(ROUND(AVERAGE(E16, F16), 2), ""))</f>
        <v/>
      </c>
      <c r="H16" s="6">
        <f>'Absențe &amp; Purtare'!H16</f>
        <v/>
      </c>
      <c r="I16" s="6">
        <f>IF(AND(E16="", F16=""), "", IF(OR(E16&lt;5, F16&lt;5, H16&lt;5), "Corigent / Repetent", "Promovat"))</f>
        <v/>
      </c>
      <c r="J16" s="6">
        <f>'Absențe &amp; Purtare'!G16</f>
        <v/>
      </c>
      <c r="K16" s="37">
        <f>IF(G16="", "", RANK(G16, $G$9:$G$40))</f>
        <v/>
      </c>
      <c r="L16" s="38">
        <f>IF(K16="", "", IF(K16=1, "Premiul I", IF(K16=2, "Premiul II", IF(K16=3, "Premiul III", IF(K16&lt;=7, "Mențiune", "Membru")))))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6">
        <f>'Cultură Generală'!E17</f>
        <v/>
      </c>
      <c r="F17" s="6">
        <f>'Module Tehnologice'!E17</f>
        <v/>
      </c>
      <c r="G17" s="8">
        <f>IF(AND(E17="", F17=""), "", IFERROR(ROUND(AVERAGE(E17, F17), 2), ""))</f>
        <v/>
      </c>
      <c r="H17" s="6">
        <f>'Absențe &amp; Purtare'!H17</f>
        <v/>
      </c>
      <c r="I17" s="6">
        <f>IF(AND(E17="", F17=""), "", IF(OR(E17&lt;5, F17&lt;5, H17&lt;5), "Corigent / Repetent", "Promovat"))</f>
        <v/>
      </c>
      <c r="J17" s="6">
        <f>'Absențe &amp; Purtare'!G17</f>
        <v/>
      </c>
      <c r="K17" s="37">
        <f>IF(G17="", "", RANK(G17, $G$9:$G$40))</f>
        <v/>
      </c>
      <c r="L17" s="38">
        <f>IF(K17="", "", IF(K17=1, "Premiul I", IF(K17=2, "Premiul II", IF(K17=3, "Premiul III", IF(K17&lt;=7, "Mențiune", "Membru")))))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6">
        <f>'Cultură Generală'!E18</f>
        <v/>
      </c>
      <c r="F18" s="6">
        <f>'Module Tehnologice'!E18</f>
        <v/>
      </c>
      <c r="G18" s="8">
        <f>IF(AND(E18="", F18=""), "", IFERROR(ROUND(AVERAGE(E18, F18), 2), ""))</f>
        <v/>
      </c>
      <c r="H18" s="6">
        <f>'Absențe &amp; Purtare'!H18</f>
        <v/>
      </c>
      <c r="I18" s="6">
        <f>IF(AND(E18="", F18=""), "", IF(OR(E18&lt;5, F18&lt;5, H18&lt;5), "Corigent / Repetent", "Promovat"))</f>
        <v/>
      </c>
      <c r="J18" s="6">
        <f>'Absențe &amp; Purtare'!G18</f>
        <v/>
      </c>
      <c r="K18" s="37">
        <f>IF(G18="", "", RANK(G18, $G$9:$G$40))</f>
        <v/>
      </c>
      <c r="L18" s="38">
        <f>IF(K18="", "", IF(K18=1, "Premiul I", IF(K18=2, "Premiul II", IF(K18=3, "Premiul III", IF(K18&lt;=7, "Mențiune", "Membru")))))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6">
        <f>'Cultură Generală'!E19</f>
        <v/>
      </c>
      <c r="F19" s="6">
        <f>'Module Tehnologice'!E19</f>
        <v/>
      </c>
      <c r="G19" s="8">
        <f>IF(AND(E19="", F19=""), "", IFERROR(ROUND(AVERAGE(E19, F19), 2), ""))</f>
        <v/>
      </c>
      <c r="H19" s="6">
        <f>'Absențe &amp; Purtare'!H19</f>
        <v/>
      </c>
      <c r="I19" s="6">
        <f>IF(AND(E19="", F19=""), "", IF(OR(E19&lt;5, F19&lt;5, H19&lt;5), "Corigent / Repetent", "Promovat"))</f>
        <v/>
      </c>
      <c r="J19" s="6">
        <f>'Absențe &amp; Purtare'!G19</f>
        <v/>
      </c>
      <c r="K19" s="37">
        <f>IF(G19="", "", RANK(G19, $G$9:$G$40))</f>
        <v/>
      </c>
      <c r="L19" s="38">
        <f>IF(K19="", "", IF(K19=1, "Premiul I", IF(K19=2, "Premiul II", IF(K19=3, "Premiul III", IF(K19&lt;=7, "Mențiune", "Membru")))))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6">
        <f>'Cultură Generală'!E20</f>
        <v/>
      </c>
      <c r="F20" s="6">
        <f>'Module Tehnologice'!E20</f>
        <v/>
      </c>
      <c r="G20" s="8">
        <f>IF(AND(E20="", F20=""), "", IFERROR(ROUND(AVERAGE(E20, F20), 2), ""))</f>
        <v/>
      </c>
      <c r="H20" s="6">
        <f>'Absențe &amp; Purtare'!H20</f>
        <v/>
      </c>
      <c r="I20" s="6">
        <f>IF(AND(E20="", F20=""), "", IF(OR(E20&lt;5, F20&lt;5, H20&lt;5), "Corigent / Repetent", "Promovat"))</f>
        <v/>
      </c>
      <c r="J20" s="6">
        <f>'Absențe &amp; Purtare'!G20</f>
        <v/>
      </c>
      <c r="K20" s="37">
        <f>IF(G20="", "", RANK(G20, $G$9:$G$40))</f>
        <v/>
      </c>
      <c r="L20" s="38">
        <f>IF(K20="", "", IF(K20=1, "Premiul I", IF(K20=2, "Premiul II", IF(K20=3, "Premiul III", IF(K20&lt;=7, "Mențiune", "Membru")))))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6">
        <f>'Cultură Generală'!E21</f>
        <v/>
      </c>
      <c r="F21" s="6">
        <f>'Module Tehnologice'!E21</f>
        <v/>
      </c>
      <c r="G21" s="8">
        <f>IF(AND(E21="", F21=""), "", IFERROR(ROUND(AVERAGE(E21, F21), 2), ""))</f>
        <v/>
      </c>
      <c r="H21" s="6">
        <f>'Absențe &amp; Purtare'!H21</f>
        <v/>
      </c>
      <c r="I21" s="6">
        <f>IF(AND(E21="", F21=""), "", IF(OR(E21&lt;5, F21&lt;5, H21&lt;5), "Corigent / Repetent", "Promovat"))</f>
        <v/>
      </c>
      <c r="J21" s="6">
        <f>'Absențe &amp; Purtare'!G21</f>
        <v/>
      </c>
      <c r="K21" s="37">
        <f>IF(G21="", "", RANK(G21, $G$9:$G$40))</f>
        <v/>
      </c>
      <c r="L21" s="38">
        <f>IF(K21="", "", IF(K21=1, "Premiul I", IF(K21=2, "Premiul II", IF(K21=3, "Premiul III", IF(K21&lt;=7, "Mențiune", "Membru")))))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6">
        <f>'Cultură Generală'!E22</f>
        <v/>
      </c>
      <c r="F22" s="6">
        <f>'Module Tehnologice'!E22</f>
        <v/>
      </c>
      <c r="G22" s="8">
        <f>IF(AND(E22="", F22=""), "", IFERROR(ROUND(AVERAGE(E22, F22), 2), ""))</f>
        <v/>
      </c>
      <c r="H22" s="6">
        <f>'Absențe &amp; Purtare'!H22</f>
        <v/>
      </c>
      <c r="I22" s="6">
        <f>IF(AND(E22="", F22=""), "", IF(OR(E22&lt;5, F22&lt;5, H22&lt;5), "Corigent / Repetent", "Promovat"))</f>
        <v/>
      </c>
      <c r="J22" s="6">
        <f>'Absențe &amp; Purtare'!G22</f>
        <v/>
      </c>
      <c r="K22" s="37">
        <f>IF(G22="", "", RANK(G22, $G$9:$G$40))</f>
        <v/>
      </c>
      <c r="L22" s="38">
        <f>IF(K22="", "", IF(K22=1, "Premiul I", IF(K22=2, "Premiul II", IF(K22=3, "Premiul III", IF(K22&lt;=7, "Mențiune", "Membru")))))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6">
        <f>'Cultură Generală'!E23</f>
        <v/>
      </c>
      <c r="F23" s="6">
        <f>'Module Tehnologice'!E23</f>
        <v/>
      </c>
      <c r="G23" s="8">
        <f>IF(AND(E23="", F23=""), "", IFERROR(ROUND(AVERAGE(E23, F23), 2), ""))</f>
        <v/>
      </c>
      <c r="H23" s="6">
        <f>'Absențe &amp; Purtare'!H23</f>
        <v/>
      </c>
      <c r="I23" s="6">
        <f>IF(AND(E23="", F23=""), "", IF(OR(E23&lt;5, F23&lt;5, H23&lt;5), "Corigent / Repetent", "Promovat"))</f>
        <v/>
      </c>
      <c r="J23" s="6">
        <f>'Absențe &amp; Purtare'!G23</f>
        <v/>
      </c>
      <c r="K23" s="37">
        <f>IF(G23="", "", RANK(G23, $G$9:$G$40))</f>
        <v/>
      </c>
      <c r="L23" s="38">
        <f>IF(K23="", "", IF(K23=1, "Premiul I", IF(K23=2, "Premiul II", IF(K23=3, "Premiul III", IF(K23&lt;=7, "Mențiune", "Membru")))))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6">
        <f>'Cultură Generală'!E24</f>
        <v/>
      </c>
      <c r="F24" s="6">
        <f>'Module Tehnologice'!E24</f>
        <v/>
      </c>
      <c r="G24" s="8">
        <f>IF(AND(E24="", F24=""), "", IFERROR(ROUND(AVERAGE(E24, F24), 2), ""))</f>
        <v/>
      </c>
      <c r="H24" s="6">
        <f>'Absențe &amp; Purtare'!H24</f>
        <v/>
      </c>
      <c r="I24" s="6">
        <f>IF(AND(E24="", F24=""), "", IF(OR(E24&lt;5, F24&lt;5, H24&lt;5), "Corigent / Repetent", "Promovat"))</f>
        <v/>
      </c>
      <c r="J24" s="6">
        <f>'Absențe &amp; Purtare'!G24</f>
        <v/>
      </c>
      <c r="K24" s="37">
        <f>IF(G24="", "", RANK(G24, $G$9:$G$40))</f>
        <v/>
      </c>
      <c r="L24" s="38">
        <f>IF(K24="", "", IF(K24=1, "Premiul I", IF(K24=2, "Premiul II", IF(K24=3, "Premiul III", IF(K24&lt;=7, "Mențiune", "Membru")))))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6">
        <f>'Cultură Generală'!E25</f>
        <v/>
      </c>
      <c r="F25" s="6">
        <f>'Module Tehnologice'!E25</f>
        <v/>
      </c>
      <c r="G25" s="8">
        <f>IF(AND(E25="", F25=""), "", IFERROR(ROUND(AVERAGE(E25, F25), 2), ""))</f>
        <v/>
      </c>
      <c r="H25" s="6">
        <f>'Absențe &amp; Purtare'!H25</f>
        <v/>
      </c>
      <c r="I25" s="6">
        <f>IF(AND(E25="", F25=""), "", IF(OR(E25&lt;5, F25&lt;5, H25&lt;5), "Corigent / Repetent", "Promovat"))</f>
        <v/>
      </c>
      <c r="J25" s="6">
        <f>'Absențe &amp; Purtare'!G25</f>
        <v/>
      </c>
      <c r="K25" s="37">
        <f>IF(G25="", "", RANK(G25, $G$9:$G$40))</f>
        <v/>
      </c>
      <c r="L25" s="38">
        <f>IF(K25="", "", IF(K25=1, "Premiul I", IF(K25=2, "Premiul II", IF(K25=3, "Premiul III", IF(K25&lt;=7, "Mențiune", "Membru")))))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6">
        <f>'Cultură Generală'!E26</f>
        <v/>
      </c>
      <c r="F26" s="6">
        <f>'Module Tehnologice'!E26</f>
        <v/>
      </c>
      <c r="G26" s="8">
        <f>IF(AND(E26="", F26=""), "", IFERROR(ROUND(AVERAGE(E26, F26), 2), ""))</f>
        <v/>
      </c>
      <c r="H26" s="6">
        <f>'Absențe &amp; Purtare'!H26</f>
        <v/>
      </c>
      <c r="I26" s="6">
        <f>IF(AND(E26="", F26=""), "", IF(OR(E26&lt;5, F26&lt;5, H26&lt;5), "Corigent / Repetent", "Promovat"))</f>
        <v/>
      </c>
      <c r="J26" s="6">
        <f>'Absențe &amp; Purtare'!G26</f>
        <v/>
      </c>
      <c r="K26" s="37">
        <f>IF(G26="", "", RANK(G26, $G$9:$G$40))</f>
        <v/>
      </c>
      <c r="L26" s="38">
        <f>IF(K26="", "", IF(K26=1, "Premiul I", IF(K26=2, "Premiul II", IF(K26=3, "Premiul III", IF(K26&lt;=7, "Mențiune", "Membru")))))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6">
        <f>'Cultură Generală'!E27</f>
        <v/>
      </c>
      <c r="F27" s="6">
        <f>'Module Tehnologice'!E27</f>
        <v/>
      </c>
      <c r="G27" s="8">
        <f>IF(AND(E27="", F27=""), "", IFERROR(ROUND(AVERAGE(E27, F27), 2), ""))</f>
        <v/>
      </c>
      <c r="H27" s="6">
        <f>'Absențe &amp; Purtare'!H27</f>
        <v/>
      </c>
      <c r="I27" s="6">
        <f>IF(AND(E27="", F27=""), "", IF(OR(E27&lt;5, F27&lt;5, H27&lt;5), "Corigent / Repetent", "Promovat"))</f>
        <v/>
      </c>
      <c r="J27" s="6">
        <f>'Absențe &amp; Purtare'!G27</f>
        <v/>
      </c>
      <c r="K27" s="37">
        <f>IF(G27="", "", RANK(G27, $G$9:$G$40))</f>
        <v/>
      </c>
      <c r="L27" s="38">
        <f>IF(K27="", "", IF(K27=1, "Premiul I", IF(K27=2, "Premiul II", IF(K27=3, "Premiul III", IF(K27&lt;=7, "Mențiune", "Membru")))))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6">
        <f>'Cultură Generală'!E28</f>
        <v/>
      </c>
      <c r="F28" s="6">
        <f>'Module Tehnologice'!E28</f>
        <v/>
      </c>
      <c r="G28" s="8">
        <f>IF(AND(E28="", F28=""), "", IFERROR(ROUND(AVERAGE(E28, F28), 2), ""))</f>
        <v/>
      </c>
      <c r="H28" s="6">
        <f>'Absențe &amp; Purtare'!H28</f>
        <v/>
      </c>
      <c r="I28" s="6">
        <f>IF(AND(E28="", F28=""), "", IF(OR(E28&lt;5, F28&lt;5, H28&lt;5), "Corigent / Repetent", "Promovat"))</f>
        <v/>
      </c>
      <c r="J28" s="6">
        <f>'Absențe &amp; Purtare'!G28</f>
        <v/>
      </c>
      <c r="K28" s="37">
        <f>IF(G28="", "", RANK(G28, $G$9:$G$40))</f>
        <v/>
      </c>
      <c r="L28" s="38">
        <f>IF(K28="", "", IF(K28=1, "Premiul I", IF(K28=2, "Premiul II", IF(K28=3, "Premiul III", IF(K28&lt;=7, "Mențiune", "Membru")))))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6">
        <f>'Cultură Generală'!E29</f>
        <v/>
      </c>
      <c r="F29" s="6">
        <f>'Module Tehnologice'!E29</f>
        <v/>
      </c>
      <c r="G29" s="8">
        <f>IF(AND(E29="", F29=""), "", IFERROR(ROUND(AVERAGE(E29, F29), 2), ""))</f>
        <v/>
      </c>
      <c r="H29" s="6">
        <f>'Absențe &amp; Purtare'!H29</f>
        <v/>
      </c>
      <c r="I29" s="6">
        <f>IF(AND(E29="", F29=""), "", IF(OR(E29&lt;5, F29&lt;5, H29&lt;5), "Corigent / Repetent", "Promovat"))</f>
        <v/>
      </c>
      <c r="J29" s="6">
        <f>'Absențe &amp; Purtare'!G29</f>
        <v/>
      </c>
      <c r="K29" s="37">
        <f>IF(G29="", "", RANK(G29, $G$9:$G$40))</f>
        <v/>
      </c>
      <c r="L29" s="38">
        <f>IF(K29="", "", IF(K29=1, "Premiul I", IF(K29=2, "Premiul II", IF(K29=3, "Premiul III", IF(K29&lt;=7, "Mențiune", "Membru")))))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6">
        <f>'Cultură Generală'!E30</f>
        <v/>
      </c>
      <c r="F30" s="6">
        <f>'Module Tehnologice'!E30</f>
        <v/>
      </c>
      <c r="G30" s="8">
        <f>IF(AND(E30="", F30=""), "", IFERROR(ROUND(AVERAGE(E30, F30), 2), ""))</f>
        <v/>
      </c>
      <c r="H30" s="6">
        <f>'Absențe &amp; Purtare'!H30</f>
        <v/>
      </c>
      <c r="I30" s="6">
        <f>IF(AND(E30="", F30=""), "", IF(OR(E30&lt;5, F30&lt;5, H30&lt;5), "Corigent / Repetent", "Promovat"))</f>
        <v/>
      </c>
      <c r="J30" s="6">
        <f>'Absențe &amp; Purtare'!G30</f>
        <v/>
      </c>
      <c r="K30" s="37">
        <f>IF(G30="", "", RANK(G30, $G$9:$G$40))</f>
        <v/>
      </c>
      <c r="L30" s="38">
        <f>IF(K30="", "", IF(K30=1, "Premiul I", IF(K30=2, "Premiul II", IF(K30=3, "Premiul III", IF(K30&lt;=7, "Mențiune", "Membru")))))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6">
        <f>'Cultură Generală'!E31</f>
        <v/>
      </c>
      <c r="F31" s="6">
        <f>'Module Tehnologice'!E31</f>
        <v/>
      </c>
      <c r="G31" s="8">
        <f>IF(AND(E31="", F31=""), "", IFERROR(ROUND(AVERAGE(E31, F31), 2), ""))</f>
        <v/>
      </c>
      <c r="H31" s="6">
        <f>'Absențe &amp; Purtare'!H31</f>
        <v/>
      </c>
      <c r="I31" s="6">
        <f>IF(AND(E31="", F31=""), "", IF(OR(E31&lt;5, F31&lt;5, H31&lt;5), "Corigent / Repetent", "Promovat"))</f>
        <v/>
      </c>
      <c r="J31" s="6">
        <f>'Absențe &amp; Purtare'!G31</f>
        <v/>
      </c>
      <c r="K31" s="37">
        <f>IF(G31="", "", RANK(G31, $G$9:$G$40))</f>
        <v/>
      </c>
      <c r="L31" s="38">
        <f>IF(K31="", "", IF(K31=1, "Premiul I", IF(K31=2, "Premiul II", IF(K31=3, "Premiul III", IF(K31&lt;=7, "Mențiune", "Membru")))))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6">
        <f>'Cultură Generală'!E32</f>
        <v/>
      </c>
      <c r="F32" s="6">
        <f>'Module Tehnologice'!E32</f>
        <v/>
      </c>
      <c r="G32" s="8">
        <f>IF(AND(E32="", F32=""), "", IFERROR(ROUND(AVERAGE(E32, F32), 2), ""))</f>
        <v/>
      </c>
      <c r="H32" s="6">
        <f>'Absențe &amp; Purtare'!H32</f>
        <v/>
      </c>
      <c r="I32" s="6">
        <f>IF(AND(E32="", F32=""), "", IF(OR(E32&lt;5, F32&lt;5, H32&lt;5), "Corigent / Repetent", "Promovat"))</f>
        <v/>
      </c>
      <c r="J32" s="6">
        <f>'Absențe &amp; Purtare'!G32</f>
        <v/>
      </c>
      <c r="K32" s="37">
        <f>IF(G32="", "", RANK(G32, $G$9:$G$40))</f>
        <v/>
      </c>
      <c r="L32" s="38">
        <f>IF(K32="", "", IF(K32=1, "Premiul I", IF(K32=2, "Premiul II", IF(K32=3, "Premiul III", IF(K32&lt;=7, "Mențiune", "Membru")))))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6">
        <f>'Cultură Generală'!E33</f>
        <v/>
      </c>
      <c r="F33" s="6">
        <f>'Module Tehnologice'!E33</f>
        <v/>
      </c>
      <c r="G33" s="8">
        <f>IF(AND(E33="", F33=""), "", IFERROR(ROUND(AVERAGE(E33, F33), 2), ""))</f>
        <v/>
      </c>
      <c r="H33" s="6">
        <f>'Absențe &amp; Purtare'!H33</f>
        <v/>
      </c>
      <c r="I33" s="6">
        <f>IF(AND(E33="", F33=""), "", IF(OR(E33&lt;5, F33&lt;5, H33&lt;5), "Corigent / Repetent", "Promovat"))</f>
        <v/>
      </c>
      <c r="J33" s="6">
        <f>'Absențe &amp; Purtare'!G33</f>
        <v/>
      </c>
      <c r="K33" s="37">
        <f>IF(G33="", "", RANK(G33, $G$9:$G$40))</f>
        <v/>
      </c>
      <c r="L33" s="38">
        <f>IF(K33="", "", IF(K33=1, "Premiul I", IF(K33=2, "Premiul II", IF(K33=3, "Premiul III", IF(K33&lt;=7, "Mențiune", "Membru")))))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6">
        <f>'Cultură Generală'!E34</f>
        <v/>
      </c>
      <c r="F34" s="6">
        <f>'Module Tehnologice'!E34</f>
        <v/>
      </c>
      <c r="G34" s="8">
        <f>IF(AND(E34="", F34=""), "", IFERROR(ROUND(AVERAGE(E34, F34), 2), ""))</f>
        <v/>
      </c>
      <c r="H34" s="6">
        <f>'Absențe &amp; Purtare'!H34</f>
        <v/>
      </c>
      <c r="I34" s="6">
        <f>IF(AND(E34="", F34=""), "", IF(OR(E34&lt;5, F34&lt;5, H34&lt;5), "Corigent / Repetent", "Promovat"))</f>
        <v/>
      </c>
      <c r="J34" s="6">
        <f>'Absențe &amp; Purtare'!G34</f>
        <v/>
      </c>
      <c r="K34" s="37">
        <f>IF(G34="", "", RANK(G34, $G$9:$G$40))</f>
        <v/>
      </c>
      <c r="L34" s="38">
        <f>IF(K34="", "", IF(K34=1, "Premiul I", IF(K34=2, "Premiul II", IF(K34=3, "Premiul III", IF(K34&lt;=7, "Mențiune", "Membru")))))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6">
        <f>'Cultură Generală'!E35</f>
        <v/>
      </c>
      <c r="F35" s="6">
        <f>'Module Tehnologice'!E35</f>
        <v/>
      </c>
      <c r="G35" s="8">
        <f>IF(AND(E35="", F35=""), "", IFERROR(ROUND(AVERAGE(E35, F35), 2), ""))</f>
        <v/>
      </c>
      <c r="H35" s="6">
        <f>'Absențe &amp; Purtare'!H35</f>
        <v/>
      </c>
      <c r="I35" s="6">
        <f>IF(AND(E35="", F35=""), "", IF(OR(E35&lt;5, F35&lt;5, H35&lt;5), "Corigent / Repetent", "Promovat"))</f>
        <v/>
      </c>
      <c r="J35" s="6">
        <f>'Absențe &amp; Purtare'!G35</f>
        <v/>
      </c>
      <c r="K35" s="37">
        <f>IF(G35="", "", RANK(G35, $G$9:$G$40))</f>
        <v/>
      </c>
      <c r="L35" s="38">
        <f>IF(K35="", "", IF(K35=1, "Premiul I", IF(K35=2, "Premiul II", IF(K35=3, "Premiul III", IF(K35&lt;=7, "Mențiune", "Membru")))))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6">
        <f>'Cultură Generală'!E36</f>
        <v/>
      </c>
      <c r="F36" s="6">
        <f>'Module Tehnologice'!E36</f>
        <v/>
      </c>
      <c r="G36" s="8">
        <f>IF(AND(E36="", F36=""), "", IFERROR(ROUND(AVERAGE(E36, F36), 2), ""))</f>
        <v/>
      </c>
      <c r="H36" s="6">
        <f>'Absențe &amp; Purtare'!H36</f>
        <v/>
      </c>
      <c r="I36" s="6">
        <f>IF(AND(E36="", F36=""), "", IF(OR(E36&lt;5, F36&lt;5, H36&lt;5), "Corigent / Repetent", "Promovat"))</f>
        <v/>
      </c>
      <c r="J36" s="6">
        <f>'Absențe &amp; Purtare'!G36</f>
        <v/>
      </c>
      <c r="K36" s="37">
        <f>IF(G36="", "", RANK(G36, $G$9:$G$40))</f>
        <v/>
      </c>
      <c r="L36" s="38">
        <f>IF(K36="", "", IF(K36=1, "Premiul I", IF(K36=2, "Premiul II", IF(K36=3, "Premiul III", IF(K36&lt;=7, "Mențiune", "Membru")))))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6">
        <f>'Cultură Generală'!E37</f>
        <v/>
      </c>
      <c r="F37" s="6">
        <f>'Module Tehnologice'!E37</f>
        <v/>
      </c>
      <c r="G37" s="8">
        <f>IF(AND(E37="", F37=""), "", IFERROR(ROUND(AVERAGE(E37, F37), 2), ""))</f>
        <v/>
      </c>
      <c r="H37" s="6">
        <f>'Absențe &amp; Purtare'!H37</f>
        <v/>
      </c>
      <c r="I37" s="6">
        <f>IF(AND(E37="", F37=""), "", IF(OR(E37&lt;5, F37&lt;5, H37&lt;5), "Corigent / Repetent", "Promovat"))</f>
        <v/>
      </c>
      <c r="J37" s="6">
        <f>'Absențe &amp; Purtare'!G37</f>
        <v/>
      </c>
      <c r="K37" s="37">
        <f>IF(G37="", "", RANK(G37, $G$9:$G$40))</f>
        <v/>
      </c>
      <c r="L37" s="38">
        <f>IF(K37="", "", IF(K37=1, "Premiul I", IF(K37=2, "Premiul II", IF(K37=3, "Premiul III", IF(K37&lt;=7, "Mențiune", "Membru")))))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6">
        <f>'Cultură Generală'!E38</f>
        <v/>
      </c>
      <c r="F38" s="6">
        <f>'Module Tehnologice'!E38</f>
        <v/>
      </c>
      <c r="G38" s="8">
        <f>IF(AND(E38="", F38=""), "", IFERROR(ROUND(AVERAGE(E38, F38), 2), ""))</f>
        <v/>
      </c>
      <c r="H38" s="6">
        <f>'Absențe &amp; Purtare'!H38</f>
        <v/>
      </c>
      <c r="I38" s="6">
        <f>IF(AND(E38="", F38=""), "", IF(OR(E38&lt;5, F38&lt;5, H38&lt;5), "Corigent / Repetent", "Promovat"))</f>
        <v/>
      </c>
      <c r="J38" s="6">
        <f>'Absențe &amp; Purtare'!G38</f>
        <v/>
      </c>
      <c r="K38" s="37">
        <f>IF(G38="", "", RANK(G38, $G$9:$G$40))</f>
        <v/>
      </c>
      <c r="L38" s="38">
        <f>IF(K38="", "", IF(K38=1, "Premiul I", IF(K38=2, "Premiul II", IF(K38=3, "Premiul III", IF(K38&lt;=7, "Mențiune", "Membru")))))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6">
        <f>'Cultură Generală'!E39</f>
        <v/>
      </c>
      <c r="F39" s="6">
        <f>'Module Tehnologice'!E39</f>
        <v/>
      </c>
      <c r="G39" s="8">
        <f>IF(AND(E39="", F39=""), "", IFERROR(ROUND(AVERAGE(E39, F39), 2), ""))</f>
        <v/>
      </c>
      <c r="H39" s="6">
        <f>'Absențe &amp; Purtare'!H39</f>
        <v/>
      </c>
      <c r="I39" s="6">
        <f>IF(AND(E39="", F39=""), "", IF(OR(E39&lt;5, F39&lt;5, H39&lt;5), "Corigent / Repetent", "Promovat"))</f>
        <v/>
      </c>
      <c r="J39" s="6">
        <f>'Absențe &amp; Purtare'!G39</f>
        <v/>
      </c>
      <c r="K39" s="37">
        <f>IF(G39="", "", RANK(G39, $G$9:$G$40))</f>
        <v/>
      </c>
      <c r="L39" s="38">
        <f>IF(K39="", "", IF(K39=1, "Premiul I", IF(K39=2, "Premiul II", IF(K39=3, "Premiul III", IF(K39&lt;=7, "Mențiune", "Membru")))))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6">
        <f>'Cultură Generală'!E40</f>
        <v/>
      </c>
      <c r="F40" s="6">
        <f>'Module Tehnologice'!E40</f>
        <v/>
      </c>
      <c r="G40" s="8">
        <f>IF(AND(E40="", F40=""), "", IFERROR(ROUND(AVERAGE(E40, F40), 2), ""))</f>
        <v/>
      </c>
      <c r="H40" s="6">
        <f>'Absențe &amp; Purtare'!H40</f>
        <v/>
      </c>
      <c r="I40" s="6">
        <f>IF(AND(E40="", F40=""), "", IF(OR(E40&lt;5, F40&lt;5, H40&lt;5), "Corigent / Repetent", "Promovat"))</f>
        <v/>
      </c>
      <c r="J40" s="6">
        <f>'Absențe &amp; Purtare'!G40</f>
        <v/>
      </c>
      <c r="K40" s="37">
        <f>IF(G40="", "", RANK(G40, $G$9:$G$40))</f>
        <v/>
      </c>
      <c r="L40" s="38">
        <f>IF(K40="", "", IF(K40=1, "Premiul I", IF(K40=2, "Premiul II", IF(K40=3, "Premiul III", IF(K40&lt;=7, "Mențiune", "Membru")))))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V40"/>
  <sheetViews>
    <sheetView showGridLines="1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8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8.5" customWidth="1" min="59" max="59"/>
    <col width="8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8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8.5" customWidth="1" min="112" max="112"/>
    <col width="8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8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8.5" customWidth="1" min="165" max="165"/>
    <col width="8.5" customWidth="1" min="166" max="166"/>
    <col width="5.5" customWidth="1" min="167" max="167"/>
    <col width="5.5" customWidth="1" min="168" max="168"/>
    <col width="5.5" customWidth="1" min="169" max="169"/>
    <col width="5.5" customWidth="1" min="170" max="170"/>
    <col width="5.5" customWidth="1" min="171" max="171"/>
    <col width="5.5" customWidth="1" min="172" max="172"/>
    <col width="5.5" customWidth="1" min="173" max="173"/>
    <col width="5.5" customWidth="1" min="174" max="174"/>
    <col width="5.5" customWidth="1" min="175" max="175"/>
    <col width="5.5" customWidth="1" min="176" max="176"/>
    <col width="5.5" customWidth="1" min="177" max="177"/>
    <col width="5.5" customWidth="1" min="178" max="178"/>
    <col width="5.5" customWidth="1" min="179" max="179"/>
    <col width="5.5" customWidth="1" min="180" max="180"/>
    <col width="5.5" customWidth="1" min="181" max="181"/>
    <col width="5.5" customWidth="1" min="182" max="182"/>
    <col width="5.5" customWidth="1" min="183" max="183"/>
    <col width="5.5" customWidth="1" min="184" max="184"/>
    <col width="5.5" customWidth="1" min="185" max="185"/>
    <col width="5.5" customWidth="1" min="186" max="186"/>
    <col width="8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8.5" customWidth="1" min="218" max="218"/>
    <col width="8.5" customWidth="1" min="219" max="219"/>
    <col width="5.5" customWidth="1" min="220" max="220"/>
    <col width="5.5" customWidth="1" min="221" max="221"/>
    <col width="5.5" customWidth="1" min="222" max="222"/>
    <col width="5.5" customWidth="1" min="223" max="223"/>
    <col width="5.5" customWidth="1" min="224" max="224"/>
    <col width="5.5" customWidth="1" min="225" max="225"/>
    <col width="5.5" customWidth="1" min="226" max="226"/>
    <col width="5.5" customWidth="1" min="227" max="227"/>
    <col width="5.5" customWidth="1" min="228" max="228"/>
    <col width="5.5" customWidth="1" min="229" max="229"/>
    <col width="5.5" customWidth="1" min="230" max="230"/>
    <col width="5.5" customWidth="1" min="231" max="231"/>
    <col width="5.5" customWidth="1" min="232" max="232"/>
    <col width="5.5" customWidth="1" min="233" max="233"/>
    <col width="5.5" customWidth="1" min="234" max="234"/>
    <col width="5.5" customWidth="1" min="235" max="235"/>
    <col width="5.5" customWidth="1" min="236" max="236"/>
    <col width="5.5" customWidth="1" min="237" max="237"/>
    <col width="5.5" customWidth="1" min="238" max="238"/>
    <col width="5.5" customWidth="1" min="239" max="239"/>
    <col width="8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8.5" customWidth="1" min="271" max="271"/>
    <col width="8.5" customWidth="1" min="272" max="272"/>
    <col width="5.5" customWidth="1" min="273" max="273"/>
    <col width="5.5" customWidth="1" min="274" max="274"/>
    <col width="5.5" customWidth="1" min="275" max="275"/>
    <col width="5.5" customWidth="1" min="276" max="276"/>
    <col width="5.5" customWidth="1" min="277" max="277"/>
    <col width="5.5" customWidth="1" min="278" max="278"/>
    <col width="5.5" customWidth="1" min="279" max="279"/>
    <col width="5.5" customWidth="1" min="280" max="280"/>
    <col width="5.5" customWidth="1" min="281" max="281"/>
    <col width="5.5" customWidth="1" min="282" max="282"/>
    <col width="5.5" customWidth="1" min="283" max="283"/>
    <col width="5.5" customWidth="1" min="284" max="284"/>
    <col width="5.5" customWidth="1" min="285" max="285"/>
    <col width="5.5" customWidth="1" min="286" max="286"/>
    <col width="5.5" customWidth="1" min="287" max="287"/>
    <col width="5.5" customWidth="1" min="288" max="288"/>
    <col width="5.5" customWidth="1" min="289" max="289"/>
    <col width="5.5" customWidth="1" min="290" max="290"/>
    <col width="5.5" customWidth="1" min="291" max="291"/>
    <col width="5.5" customWidth="1" min="292" max="292"/>
    <col width="8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8.5" customWidth="1" min="324" max="324"/>
    <col width="8.5" customWidth="1" min="325" max="325"/>
    <col width="5.5" customWidth="1" min="326" max="326"/>
    <col width="5.5" customWidth="1" min="327" max="327"/>
    <col width="5.5" customWidth="1" min="328" max="328"/>
    <col width="5.5" customWidth="1" min="329" max="329"/>
    <col width="5.5" customWidth="1" min="330" max="330"/>
    <col width="5.5" customWidth="1" min="331" max="331"/>
    <col width="5.5" customWidth="1" min="332" max="332"/>
    <col width="5.5" customWidth="1" min="333" max="333"/>
    <col width="5.5" customWidth="1" min="334" max="334"/>
    <col width="5.5" customWidth="1" min="335" max="335"/>
    <col width="5.5" customWidth="1" min="336" max="336"/>
    <col width="5.5" customWidth="1" min="337" max="337"/>
    <col width="5.5" customWidth="1" min="338" max="338"/>
    <col width="5.5" customWidth="1" min="339" max="339"/>
    <col width="5.5" customWidth="1" min="340" max="340"/>
    <col width="5.5" customWidth="1" min="341" max="341"/>
    <col width="5.5" customWidth="1" min="342" max="342"/>
    <col width="5.5" customWidth="1" min="343" max="343"/>
    <col width="5.5" customWidth="1" min="344" max="344"/>
    <col width="5.5" customWidth="1" min="345" max="345"/>
    <col width="8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6" customWidth="1" min="369" max="369"/>
    <col width="6" customWidth="1" min="370" max="370"/>
    <col width="6" customWidth="1" min="371" max="371"/>
    <col width="6" customWidth="1" min="372" max="372"/>
    <col width="6" customWidth="1" min="373" max="373"/>
    <col width="6" customWidth="1" min="374" max="374"/>
    <col width="6" customWidth="1" min="375" max="375"/>
    <col width="6" customWidth="1" min="376" max="376"/>
    <col width="8.5" customWidth="1" min="377" max="377"/>
    <col width="8.5" customWidth="1" min="378" max="378"/>
    <col width="5.5" customWidth="1" min="379" max="379"/>
    <col width="5.5" customWidth="1" min="380" max="380"/>
    <col width="5.5" customWidth="1" min="381" max="381"/>
    <col width="5.5" customWidth="1" min="382" max="382"/>
    <col width="5.5" customWidth="1" min="383" max="383"/>
    <col width="5.5" customWidth="1" min="384" max="384"/>
    <col width="5.5" customWidth="1" min="385" max="385"/>
    <col width="5.5" customWidth="1" min="386" max="386"/>
    <col width="5.5" customWidth="1" min="387" max="387"/>
    <col width="5.5" customWidth="1" min="388" max="388"/>
    <col width="5.5" customWidth="1" min="389" max="389"/>
    <col width="5.5" customWidth="1" min="390" max="390"/>
    <col width="5.5" customWidth="1" min="391" max="391"/>
    <col width="5.5" customWidth="1" min="392" max="392"/>
    <col width="5.5" customWidth="1" min="393" max="393"/>
    <col width="5.5" customWidth="1" min="394" max="394"/>
    <col width="5.5" customWidth="1" min="395" max="395"/>
    <col width="5.5" customWidth="1" min="396" max="396"/>
    <col width="5.5" customWidth="1" min="397" max="397"/>
    <col width="5.5" customWidth="1" min="398" max="398"/>
    <col width="8" customWidth="1" min="399" max="399"/>
    <col width="6" customWidth="1" min="400" max="400"/>
    <col width="6" customWidth="1" min="401" max="401"/>
    <col width="6" customWidth="1" min="402" max="402"/>
    <col width="6" customWidth="1" min="403" max="403"/>
    <col width="6" customWidth="1" min="404" max="404"/>
    <col width="6" customWidth="1" min="405" max="405"/>
    <col width="6" customWidth="1" min="406" max="406"/>
    <col width="6" customWidth="1" min="407" max="407"/>
    <col width="6" customWidth="1" min="408" max="408"/>
    <col width="6" customWidth="1" min="409" max="409"/>
    <col width="6" customWidth="1" min="410" max="410"/>
    <col width="6" customWidth="1" min="411" max="411"/>
    <col width="6" customWidth="1" min="412" max="412"/>
    <col width="6" customWidth="1" min="413" max="413"/>
    <col width="6" customWidth="1" min="414" max="414"/>
    <col width="6" customWidth="1" min="415" max="415"/>
    <col width="6" customWidth="1" min="416" max="416"/>
    <col width="6" customWidth="1" min="417" max="417"/>
    <col width="6" customWidth="1" min="418" max="418"/>
    <col width="6" customWidth="1" min="419" max="419"/>
    <col width="6" customWidth="1" min="420" max="420"/>
    <col width="6" customWidth="1" min="421" max="421"/>
    <col width="6" customWidth="1" min="422" max="422"/>
    <col width="6" customWidth="1" min="423" max="423"/>
    <col width="6" customWidth="1" min="424" max="424"/>
    <col width="6" customWidth="1" min="425" max="425"/>
    <col width="6" customWidth="1" min="426" max="426"/>
    <col width="6" customWidth="1" min="427" max="427"/>
    <col width="6" customWidth="1" min="428" max="428"/>
    <col width="6" customWidth="1" min="429" max="429"/>
    <col width="8.5" customWidth="1" min="430" max="430"/>
    <col width="8.5" customWidth="1" min="431" max="431"/>
    <col width="5.5" customWidth="1" min="432" max="432"/>
    <col width="5.5" customWidth="1" min="433" max="433"/>
    <col width="5.5" customWidth="1" min="434" max="434"/>
    <col width="5.5" customWidth="1" min="435" max="435"/>
    <col width="5.5" customWidth="1" min="436" max="436"/>
    <col width="5.5" customWidth="1" min="437" max="437"/>
    <col width="5.5" customWidth="1" min="438" max="438"/>
    <col width="5.5" customWidth="1" min="439" max="439"/>
    <col width="5.5" customWidth="1" min="440" max="440"/>
    <col width="5.5" customWidth="1" min="441" max="441"/>
    <col width="5.5" customWidth="1" min="442" max="442"/>
    <col width="5.5" customWidth="1" min="443" max="443"/>
    <col width="5.5" customWidth="1" min="444" max="444"/>
    <col width="5.5" customWidth="1" min="445" max="445"/>
    <col width="5.5" customWidth="1" min="446" max="446"/>
    <col width="5.5" customWidth="1" min="447" max="447"/>
    <col width="5.5" customWidth="1" min="448" max="448"/>
    <col width="5.5" customWidth="1" min="449" max="449"/>
    <col width="5.5" customWidth="1" min="450" max="450"/>
    <col width="5.5" customWidth="1" min="451" max="451"/>
    <col width="8" customWidth="1" min="452" max="452"/>
    <col width="6" customWidth="1" min="453" max="453"/>
    <col width="6" customWidth="1" min="454" max="454"/>
    <col width="6" customWidth="1" min="455" max="455"/>
    <col width="6" customWidth="1" min="456" max="456"/>
    <col width="6" customWidth="1" min="457" max="457"/>
    <col width="6" customWidth="1" min="458" max="458"/>
    <col width="6" customWidth="1" min="459" max="459"/>
    <col width="6" customWidth="1" min="460" max="460"/>
    <col width="6" customWidth="1" min="461" max="461"/>
    <col width="6" customWidth="1" min="462" max="462"/>
    <col width="6" customWidth="1" min="463" max="463"/>
    <col width="6" customWidth="1" min="464" max="464"/>
    <col width="6" customWidth="1" min="465" max="465"/>
    <col width="6" customWidth="1" min="466" max="466"/>
    <col width="6" customWidth="1" min="467" max="467"/>
    <col width="6" customWidth="1" min="468" max="468"/>
    <col width="6" customWidth="1" min="469" max="469"/>
    <col width="6" customWidth="1" min="470" max="470"/>
    <col width="6" customWidth="1" min="471" max="471"/>
    <col width="6" customWidth="1" min="472" max="472"/>
    <col width="6" customWidth="1" min="473" max="473"/>
    <col width="6" customWidth="1" min="474" max="474"/>
    <col width="6" customWidth="1" min="475" max="475"/>
    <col width="6" customWidth="1" min="476" max="476"/>
    <col width="6" customWidth="1" min="477" max="477"/>
    <col width="6" customWidth="1" min="478" max="478"/>
    <col width="6" customWidth="1" min="479" max="479"/>
    <col width="6" customWidth="1" min="480" max="480"/>
    <col width="6" customWidth="1" min="481" max="481"/>
    <col width="6" customWidth="1" min="482" max="482"/>
    <col width="8.5" customWidth="1" min="483" max="483"/>
    <col width="8.5" customWidth="1" min="484" max="484"/>
    <col width="5.5" customWidth="1" min="485" max="485"/>
    <col width="5.5" customWidth="1" min="486" max="486"/>
    <col width="5.5" customWidth="1" min="487" max="487"/>
    <col width="5.5" customWidth="1" min="488" max="488"/>
    <col width="5.5" customWidth="1" min="489" max="489"/>
    <col width="5.5" customWidth="1" min="490" max="490"/>
    <col width="5.5" customWidth="1" min="491" max="491"/>
    <col width="5.5" customWidth="1" min="492" max="492"/>
    <col width="5.5" customWidth="1" min="493" max="493"/>
    <col width="5.5" customWidth="1" min="494" max="494"/>
    <col width="5.5" customWidth="1" min="495" max="495"/>
    <col width="5.5" customWidth="1" min="496" max="496"/>
    <col width="5.5" customWidth="1" min="497" max="497"/>
    <col width="5.5" customWidth="1" min="498" max="498"/>
    <col width="5.5" customWidth="1" min="499" max="499"/>
    <col width="5.5" customWidth="1" min="500" max="500"/>
    <col width="5.5" customWidth="1" min="501" max="501"/>
    <col width="5.5" customWidth="1" min="502" max="502"/>
    <col width="5.5" customWidth="1" min="503" max="503"/>
    <col width="5.5" customWidth="1" min="504" max="504"/>
    <col width="8" customWidth="1" min="505" max="505"/>
    <col width="6" customWidth="1" min="506" max="506"/>
    <col width="6" customWidth="1" min="507" max="507"/>
    <col width="6" customWidth="1" min="508" max="508"/>
    <col width="6" customWidth="1" min="509" max="509"/>
    <col width="6" customWidth="1" min="510" max="510"/>
    <col width="6" customWidth="1" min="511" max="511"/>
    <col width="6" customWidth="1" min="512" max="512"/>
    <col width="6" customWidth="1" min="513" max="513"/>
    <col width="6" customWidth="1" min="514" max="514"/>
    <col width="6" customWidth="1" min="515" max="515"/>
    <col width="6" customWidth="1" min="516" max="516"/>
    <col width="6" customWidth="1" min="517" max="517"/>
    <col width="6" customWidth="1" min="518" max="518"/>
    <col width="6" customWidth="1" min="519" max="519"/>
    <col width="6" customWidth="1" min="520" max="520"/>
    <col width="6" customWidth="1" min="521" max="521"/>
    <col width="6" customWidth="1" min="522" max="522"/>
    <col width="6" customWidth="1" min="523" max="523"/>
    <col width="6" customWidth="1" min="524" max="524"/>
    <col width="6" customWidth="1" min="525" max="525"/>
    <col width="6" customWidth="1" min="526" max="526"/>
    <col width="6" customWidth="1" min="527" max="527"/>
    <col width="6" customWidth="1" min="528" max="528"/>
    <col width="6" customWidth="1" min="529" max="529"/>
    <col width="6" customWidth="1" min="530" max="530"/>
    <col width="6" customWidth="1" min="531" max="531"/>
    <col width="6" customWidth="1" min="532" max="532"/>
    <col width="6" customWidth="1" min="533" max="533"/>
    <col width="6" customWidth="1" min="534" max="534"/>
    <col width="6" customWidth="1" min="535" max="535"/>
    <col width="8.5" customWidth="1" min="536" max="536"/>
    <col width="8.5" customWidth="1" min="537" max="537"/>
    <col width="5.5" customWidth="1" min="538" max="538"/>
    <col width="5.5" customWidth="1" min="539" max="539"/>
    <col width="5.5" customWidth="1" min="540" max="540"/>
    <col width="5.5" customWidth="1" min="541" max="541"/>
    <col width="5.5" customWidth="1" min="542" max="542"/>
    <col width="5.5" customWidth="1" min="543" max="543"/>
    <col width="5.5" customWidth="1" min="544" max="544"/>
    <col width="5.5" customWidth="1" min="545" max="545"/>
    <col width="5.5" customWidth="1" min="546" max="546"/>
    <col width="5.5" customWidth="1" min="547" max="547"/>
    <col width="5.5" customWidth="1" min="548" max="548"/>
    <col width="5.5" customWidth="1" min="549" max="549"/>
    <col width="5.5" customWidth="1" min="550" max="550"/>
    <col width="5.5" customWidth="1" min="551" max="551"/>
    <col width="5.5" customWidth="1" min="552" max="552"/>
    <col width="5.5" customWidth="1" min="553" max="553"/>
    <col width="5.5" customWidth="1" min="554" max="554"/>
    <col width="5.5" customWidth="1" min="555" max="555"/>
    <col width="5.5" customWidth="1" min="556" max="556"/>
    <col width="5.5" customWidth="1" min="557" max="557"/>
    <col width="8" customWidth="1" min="558" max="558"/>
    <col width="6" customWidth="1" min="559" max="559"/>
    <col width="6" customWidth="1" min="560" max="560"/>
    <col width="6" customWidth="1" min="561" max="561"/>
    <col width="6" customWidth="1" min="562" max="562"/>
    <col width="6" customWidth="1" min="563" max="563"/>
    <col width="6" customWidth="1" min="564" max="564"/>
    <col width="6" customWidth="1" min="565" max="565"/>
    <col width="6" customWidth="1" min="566" max="566"/>
    <col width="6" customWidth="1" min="567" max="567"/>
    <col width="6" customWidth="1" min="568" max="568"/>
    <col width="6" customWidth="1" min="569" max="569"/>
    <col width="6" customWidth="1" min="570" max="570"/>
    <col width="6" customWidth="1" min="571" max="571"/>
    <col width="6" customWidth="1" min="572" max="572"/>
    <col width="6" customWidth="1" min="573" max="573"/>
    <col width="6" customWidth="1" min="574" max="574"/>
    <col width="6" customWidth="1" min="575" max="575"/>
    <col width="6" customWidth="1" min="576" max="576"/>
    <col width="6" customWidth="1" min="577" max="577"/>
    <col width="6" customWidth="1" min="578" max="578"/>
    <col width="6" customWidth="1" min="579" max="579"/>
    <col width="6" customWidth="1" min="580" max="580"/>
    <col width="6" customWidth="1" min="581" max="581"/>
    <col width="6" customWidth="1" min="582" max="582"/>
    <col width="6" customWidth="1" min="583" max="583"/>
    <col width="6" customWidth="1" min="584" max="584"/>
    <col width="6" customWidth="1" min="585" max="585"/>
    <col width="6" customWidth="1" min="586" max="586"/>
    <col width="6" customWidth="1" min="587" max="587"/>
    <col width="6" customWidth="1" min="588" max="588"/>
    <col width="8.5" customWidth="1" min="589" max="589"/>
    <col width="8.5" customWidth="1" min="590" max="590"/>
    <col width="5.5" customWidth="1" min="591" max="591"/>
    <col width="5.5" customWidth="1" min="592" max="592"/>
    <col width="5.5" customWidth="1" min="593" max="593"/>
    <col width="5.5" customWidth="1" min="594" max="594"/>
    <col width="5.5" customWidth="1" min="595" max="595"/>
    <col width="5.5" customWidth="1" min="596" max="596"/>
    <col width="5.5" customWidth="1" min="597" max="597"/>
    <col width="5.5" customWidth="1" min="598" max="598"/>
    <col width="5.5" customWidth="1" min="599" max="599"/>
    <col width="5.5" customWidth="1" min="600" max="600"/>
    <col width="5.5" customWidth="1" min="601" max="601"/>
    <col width="5.5" customWidth="1" min="602" max="602"/>
    <col width="5.5" customWidth="1" min="603" max="603"/>
    <col width="5.5" customWidth="1" min="604" max="604"/>
    <col width="5.5" customWidth="1" min="605" max="605"/>
    <col width="5.5" customWidth="1" min="606" max="606"/>
    <col width="5.5" customWidth="1" min="607" max="607"/>
    <col width="5.5" customWidth="1" min="608" max="608"/>
    <col width="5.5" customWidth="1" min="609" max="609"/>
    <col width="5.5" customWidth="1" min="610" max="610"/>
    <col width="8" customWidth="1" min="611" max="611"/>
    <col width="6" customWidth="1" min="612" max="612"/>
    <col width="6" customWidth="1" min="613" max="613"/>
    <col width="6" customWidth="1" min="614" max="614"/>
    <col width="6" customWidth="1" min="615" max="615"/>
    <col width="6" customWidth="1" min="616" max="616"/>
    <col width="6" customWidth="1" min="617" max="617"/>
    <col width="6" customWidth="1" min="618" max="618"/>
    <col width="6" customWidth="1" min="619" max="619"/>
    <col width="6" customWidth="1" min="620" max="620"/>
    <col width="6" customWidth="1" min="621" max="621"/>
    <col width="6" customWidth="1" min="622" max="622"/>
    <col width="6" customWidth="1" min="623" max="623"/>
    <col width="6" customWidth="1" min="624" max="624"/>
    <col width="6" customWidth="1" min="625" max="625"/>
    <col width="6" customWidth="1" min="626" max="626"/>
    <col width="6" customWidth="1" min="627" max="627"/>
    <col width="6" customWidth="1" min="628" max="628"/>
    <col width="6" customWidth="1" min="629" max="629"/>
    <col width="6" customWidth="1" min="630" max="630"/>
    <col width="6" customWidth="1" min="631" max="631"/>
    <col width="6" customWidth="1" min="632" max="632"/>
    <col width="6" customWidth="1" min="633" max="633"/>
    <col width="6" customWidth="1" min="634" max="634"/>
    <col width="6" customWidth="1" min="635" max="635"/>
    <col width="6" customWidth="1" min="636" max="636"/>
    <col width="6" customWidth="1" min="637" max="637"/>
    <col width="6" customWidth="1" min="638" max="638"/>
    <col width="6" customWidth="1" min="639" max="639"/>
    <col width="6" customWidth="1" min="640" max="640"/>
    <col width="6" customWidth="1" min="641" max="641"/>
    <col width="8.5" customWidth="1" min="642" max="642"/>
    <col width="8.5" customWidth="1" min="643" max="643"/>
    <col width="5.5" customWidth="1" min="644" max="644"/>
    <col width="5.5" customWidth="1" min="645" max="645"/>
    <col width="5.5" customWidth="1" min="646" max="646"/>
    <col width="5.5" customWidth="1" min="647" max="647"/>
    <col width="5.5" customWidth="1" min="648" max="648"/>
    <col width="5.5" customWidth="1" min="649" max="649"/>
    <col width="5.5" customWidth="1" min="650" max="650"/>
    <col width="5.5" customWidth="1" min="651" max="651"/>
    <col width="5.5" customWidth="1" min="652" max="652"/>
    <col width="5.5" customWidth="1" min="653" max="653"/>
    <col width="5.5" customWidth="1" min="654" max="654"/>
    <col width="5.5" customWidth="1" min="655" max="655"/>
    <col width="5.5" customWidth="1" min="656" max="656"/>
    <col width="5.5" customWidth="1" min="657" max="657"/>
    <col width="5.5" customWidth="1" min="658" max="658"/>
    <col width="5.5" customWidth="1" min="659" max="659"/>
    <col width="5.5" customWidth="1" min="660" max="660"/>
    <col width="5.5" customWidth="1" min="661" max="661"/>
    <col width="5.5" customWidth="1" min="662" max="662"/>
    <col width="5.5" customWidth="1" min="663" max="663"/>
    <col width="8" customWidth="1" min="664" max="664"/>
    <col width="6" customWidth="1" min="665" max="665"/>
    <col width="6" customWidth="1" min="666" max="666"/>
    <col width="6" customWidth="1" min="667" max="667"/>
    <col width="6" customWidth="1" min="668" max="668"/>
    <col width="6" customWidth="1" min="669" max="669"/>
    <col width="6" customWidth="1" min="670" max="670"/>
    <col width="6" customWidth="1" min="671" max="671"/>
    <col width="6" customWidth="1" min="672" max="672"/>
    <col width="6" customWidth="1" min="673" max="673"/>
    <col width="6" customWidth="1" min="674" max="674"/>
    <col width="6" customWidth="1" min="675" max="675"/>
    <col width="6" customWidth="1" min="676" max="676"/>
    <col width="6" customWidth="1" min="677" max="677"/>
    <col width="6" customWidth="1" min="678" max="678"/>
    <col width="6" customWidth="1" min="679" max="679"/>
    <col width="6" customWidth="1" min="680" max="680"/>
    <col width="6" customWidth="1" min="681" max="681"/>
    <col width="6" customWidth="1" min="682" max="682"/>
    <col width="6" customWidth="1" min="683" max="683"/>
    <col width="6" customWidth="1" min="684" max="684"/>
    <col width="6" customWidth="1" min="685" max="685"/>
    <col width="6" customWidth="1" min="686" max="686"/>
    <col width="6" customWidth="1" min="687" max="687"/>
    <col width="6" customWidth="1" min="688" max="688"/>
    <col width="6" customWidth="1" min="689" max="689"/>
    <col width="6" customWidth="1" min="690" max="690"/>
    <col width="6" customWidth="1" min="691" max="691"/>
    <col width="6" customWidth="1" min="692" max="692"/>
    <col width="6" customWidth="1" min="693" max="693"/>
    <col width="6" customWidth="1" min="694" max="694"/>
    <col width="8.5" customWidth="1" min="695" max="695"/>
    <col width="8.5" customWidth="1" min="696" max="696"/>
    <col width="5.5" customWidth="1" min="697" max="697"/>
    <col width="5.5" customWidth="1" min="698" max="698"/>
    <col width="5.5" customWidth="1" min="699" max="699"/>
    <col width="5.5" customWidth="1" min="700" max="700"/>
    <col width="5.5" customWidth="1" min="701" max="701"/>
    <col width="5.5" customWidth="1" min="702" max="702"/>
    <col width="5.5" customWidth="1" min="703" max="703"/>
    <col width="5.5" customWidth="1" min="704" max="704"/>
    <col width="5.5" customWidth="1" min="705" max="705"/>
    <col width="5.5" customWidth="1" min="706" max="706"/>
    <col width="5.5" customWidth="1" min="707" max="707"/>
    <col width="5.5" customWidth="1" min="708" max="708"/>
    <col width="5.5" customWidth="1" min="709" max="709"/>
    <col width="5.5" customWidth="1" min="710" max="710"/>
    <col width="5.5" customWidth="1" min="711" max="711"/>
    <col width="5.5" customWidth="1" min="712" max="712"/>
    <col width="5.5" customWidth="1" min="713" max="713"/>
    <col width="5.5" customWidth="1" min="714" max="714"/>
    <col width="5.5" customWidth="1" min="715" max="715"/>
    <col width="5.5" customWidth="1" min="716" max="716"/>
    <col width="8" customWidth="1" min="717" max="717"/>
    <col width="6" customWidth="1" min="718" max="718"/>
    <col width="6" customWidth="1" min="719" max="719"/>
    <col width="6" customWidth="1" min="720" max="720"/>
    <col width="6" customWidth="1" min="721" max="721"/>
    <col width="6" customWidth="1" min="722" max="722"/>
    <col width="6" customWidth="1" min="723" max="723"/>
    <col width="6" customWidth="1" min="724" max="724"/>
    <col width="6" customWidth="1" min="725" max="725"/>
    <col width="6" customWidth="1" min="726" max="726"/>
    <col width="6" customWidth="1" min="727" max="727"/>
    <col width="6" customWidth="1" min="728" max="728"/>
    <col width="6" customWidth="1" min="729" max="729"/>
    <col width="6" customWidth="1" min="730" max="730"/>
    <col width="6" customWidth="1" min="731" max="731"/>
    <col width="6" customWidth="1" min="732" max="732"/>
    <col width="6" customWidth="1" min="733" max="733"/>
    <col width="6" customWidth="1" min="734" max="734"/>
    <col width="6" customWidth="1" min="735" max="735"/>
    <col width="6" customWidth="1" min="736" max="736"/>
    <col width="6" customWidth="1" min="737" max="737"/>
    <col width="6" customWidth="1" min="738" max="738"/>
    <col width="6" customWidth="1" min="739" max="739"/>
    <col width="6" customWidth="1" min="740" max="740"/>
    <col width="6" customWidth="1" min="741" max="741"/>
    <col width="6" customWidth="1" min="742" max="742"/>
    <col width="6" customWidth="1" min="743" max="743"/>
    <col width="6" customWidth="1" min="744" max="744"/>
    <col width="6" customWidth="1" min="745" max="745"/>
    <col width="6" customWidth="1" min="746" max="746"/>
    <col width="6" customWidth="1" min="747" max="747"/>
    <col width="8.5" customWidth="1" min="748" max="748"/>
    <col width="8.5" customWidth="1" min="749" max="749"/>
  </cols>
  <sheetData>
    <row r="1">
      <c r="A1" s="1" t="inlineStr">
        <is>
          <t>COLEGIUL 'EMIL NEGRUȚIU' TURDA — DISCIPLINE CULTURĂ GENERALĂ (TRUNCHI COMUN)</t>
        </is>
      </c>
    </row>
    <row r="2">
      <c r="A2" s="2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3"/>
    <row r="4"/>
    <row r="5"/>
    <row r="6">
      <c r="A6" s="5" t="inlineStr">
        <is>
          <t>NR.</t>
        </is>
      </c>
      <c r="B6" s="5" t="inlineStr">
        <is>
          <t>NUME SI PRENUME</t>
        </is>
      </c>
      <c r="C6" s="5" t="inlineStr">
        <is>
          <t>NR. MATR.</t>
        </is>
      </c>
      <c r="D6" s="5" t="inlineStr">
        <is>
          <t>RM/PG</t>
        </is>
      </c>
      <c r="E6" s="5" t="inlineStr">
        <is>
          <t>MEDIA GEN. CLASĂ</t>
        </is>
      </c>
      <c r="F6" s="5" t="inlineStr">
        <is>
          <t>TOT. ABS. NEM</t>
        </is>
      </c>
      <c r="G6" s="5" t="inlineStr">
        <is>
          <t>TOT. ABS. MOT</t>
        </is>
      </c>
      <c r="H6" s="68" t="inlineStr">
        <is>
          <t>Limba și literatura română</t>
        </is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40" t="n"/>
      <c r="BI6" s="69" t="inlineStr">
        <is>
          <t>Limba engleză (L1)</t>
        </is>
      </c>
      <c r="BJ6" s="70" t="n"/>
      <c r="BK6" s="70" t="n"/>
      <c r="BL6" s="70" t="n"/>
      <c r="BM6" s="70" t="n"/>
      <c r="BN6" s="70" t="n"/>
      <c r="BO6" s="70" t="n"/>
      <c r="BP6" s="70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0" t="n"/>
      <c r="CA6" s="70" t="n"/>
      <c r="CB6" s="70" t="n"/>
      <c r="CC6" s="70" t="n"/>
      <c r="CD6" s="70" t="n"/>
      <c r="CE6" s="70" t="n"/>
      <c r="CF6" s="70" t="n"/>
      <c r="CG6" s="70" t="n"/>
      <c r="CH6" s="70" t="n"/>
      <c r="CI6" s="70" t="n"/>
      <c r="CJ6" s="70" t="n"/>
      <c r="CK6" s="70" t="n"/>
      <c r="CL6" s="70" t="n"/>
      <c r="CM6" s="70" t="n"/>
      <c r="CN6" s="70" t="n"/>
      <c r="CO6" s="70" t="n"/>
      <c r="CP6" s="70" t="n"/>
      <c r="CQ6" s="70" t="n"/>
      <c r="CR6" s="70" t="n"/>
      <c r="CS6" s="70" t="n"/>
      <c r="CT6" s="70" t="n"/>
      <c r="CU6" s="70" t="n"/>
      <c r="CV6" s="70" t="n"/>
      <c r="CW6" s="70" t="n"/>
      <c r="CX6" s="70" t="n"/>
      <c r="CY6" s="70" t="n"/>
      <c r="CZ6" s="70" t="n"/>
      <c r="DA6" s="70" t="n"/>
      <c r="DB6" s="70" t="n"/>
      <c r="DC6" s="70" t="n"/>
      <c r="DD6" s="70" t="n"/>
      <c r="DE6" s="70" t="n"/>
      <c r="DF6" s="70" t="n"/>
      <c r="DG6" s="70" t="n"/>
      <c r="DH6" s="70" t="n"/>
      <c r="DI6" s="71" t="n"/>
      <c r="DJ6" s="72" t="inlineStr">
        <is>
          <t>Limba franceză (L2)</t>
        </is>
      </c>
      <c r="FK6" s="72" t="inlineStr">
        <is>
          <t>Matematică</t>
        </is>
      </c>
      <c r="HL6" s="72" t="inlineStr">
        <is>
          <t>Fizică</t>
        </is>
      </c>
      <c r="JM6" s="72" t="inlineStr">
        <is>
          <t>Chimie</t>
        </is>
      </c>
      <c r="LN6" s="72" t="inlineStr">
        <is>
          <t>Biologie</t>
        </is>
      </c>
      <c r="NO6" s="72" t="inlineStr">
        <is>
          <t>Istorie</t>
        </is>
      </c>
      <c r="PP6" s="72" t="inlineStr">
        <is>
          <t>Geografie</t>
        </is>
      </c>
      <c r="RQ6" s="72" t="inlineStr">
        <is>
          <t>Logică, argumentare și comunicare</t>
        </is>
      </c>
      <c r="TR6" s="72" t="inlineStr">
        <is>
          <t>Informatică / TIC</t>
        </is>
      </c>
      <c r="VS6" s="72" t="inlineStr">
        <is>
          <t>Educație fizică</t>
        </is>
      </c>
      <c r="XT6" s="72" t="inlineStr">
        <is>
          <t>Religie</t>
        </is>
      </c>
      <c r="ZU6" s="72" t="inlineStr">
        <is>
          <t>Arte vizuale și educație plastică</t>
        </is>
      </c>
    </row>
    <row r="7">
      <c r="H7" s="73" t="inlineStr">
        <is>
          <t>N1</t>
        </is>
      </c>
      <c r="I7" s="73" t="inlineStr">
        <is>
          <t>D1</t>
        </is>
      </c>
      <c r="J7" s="73" t="inlineStr">
        <is>
          <t>N2</t>
        </is>
      </c>
      <c r="K7" s="73" t="inlineStr">
        <is>
          <t>D2</t>
        </is>
      </c>
      <c r="L7" s="73" t="inlineStr">
        <is>
          <t>N3</t>
        </is>
      </c>
      <c r="M7" s="73" t="inlineStr">
        <is>
          <t>D3</t>
        </is>
      </c>
      <c r="N7" s="73" t="inlineStr">
        <is>
          <t>N4</t>
        </is>
      </c>
      <c r="O7" s="73" t="inlineStr">
        <is>
          <t>D4</t>
        </is>
      </c>
      <c r="P7" s="73" t="inlineStr">
        <is>
          <t>N5</t>
        </is>
      </c>
      <c r="Q7" s="73" t="inlineStr">
        <is>
          <t>D5</t>
        </is>
      </c>
      <c r="R7" s="73" t="inlineStr">
        <is>
          <t>N6</t>
        </is>
      </c>
      <c r="S7" s="73" t="inlineStr">
        <is>
          <t>D6</t>
        </is>
      </c>
      <c r="T7" s="73" t="inlineStr">
        <is>
          <t>N7</t>
        </is>
      </c>
      <c r="U7" s="73" t="inlineStr">
        <is>
          <t>D7</t>
        </is>
      </c>
      <c r="V7" s="73" t="inlineStr">
        <is>
          <t>N8</t>
        </is>
      </c>
      <c r="W7" s="73" t="inlineStr">
        <is>
          <t>D8</t>
        </is>
      </c>
      <c r="X7" s="73" t="inlineStr">
        <is>
          <t>N9</t>
        </is>
      </c>
      <c r="Y7" s="73" t="inlineStr">
        <is>
          <t>D9</t>
        </is>
      </c>
      <c r="Z7" s="73" t="inlineStr">
        <is>
          <t>N10</t>
        </is>
      </c>
      <c r="AA7" s="73" t="inlineStr">
        <is>
          <t>D10</t>
        </is>
      </c>
      <c r="AB7" s="74" t="inlineStr">
        <is>
          <t>MEDIE</t>
        </is>
      </c>
      <c r="AC7" s="75" t="inlineStr">
        <is>
          <t>A1</t>
        </is>
      </c>
      <c r="AD7" s="75" t="inlineStr">
        <is>
          <t>A2</t>
        </is>
      </c>
      <c r="AE7" s="75" t="inlineStr">
        <is>
          <t>A3</t>
        </is>
      </c>
      <c r="AF7" s="75" t="inlineStr">
        <is>
          <t>A4</t>
        </is>
      </c>
      <c r="AG7" s="75" t="inlineStr">
        <is>
          <t>A5</t>
        </is>
      </c>
      <c r="AH7" s="75" t="inlineStr">
        <is>
          <t>A6</t>
        </is>
      </c>
      <c r="AI7" s="75" t="inlineStr">
        <is>
          <t>A7</t>
        </is>
      </c>
      <c r="AJ7" s="75" t="inlineStr">
        <is>
          <t>A8</t>
        </is>
      </c>
      <c r="AK7" s="75" t="inlineStr">
        <is>
          <t>A9</t>
        </is>
      </c>
      <c r="AL7" s="75" t="inlineStr">
        <is>
          <t>A10</t>
        </is>
      </c>
      <c r="AM7" s="75" t="inlineStr">
        <is>
          <t>A11</t>
        </is>
      </c>
      <c r="AN7" s="75" t="inlineStr">
        <is>
          <t>A12</t>
        </is>
      </c>
      <c r="AO7" s="75" t="inlineStr">
        <is>
          <t>A13</t>
        </is>
      </c>
      <c r="AP7" s="75" t="inlineStr">
        <is>
          <t>A14</t>
        </is>
      </c>
      <c r="AQ7" s="75" t="inlineStr">
        <is>
          <t>A15</t>
        </is>
      </c>
      <c r="AR7" s="75" t="inlineStr">
        <is>
          <t>A16</t>
        </is>
      </c>
      <c r="AS7" s="75" t="inlineStr">
        <is>
          <t>A17</t>
        </is>
      </c>
      <c r="AT7" s="75" t="inlineStr">
        <is>
          <t>A18</t>
        </is>
      </c>
      <c r="AU7" s="75" t="inlineStr">
        <is>
          <t>A19</t>
        </is>
      </c>
      <c r="AV7" s="75" t="inlineStr">
        <is>
          <t>A20</t>
        </is>
      </c>
      <c r="AW7" s="75" t="inlineStr">
        <is>
          <t>A21</t>
        </is>
      </c>
      <c r="AX7" s="75" t="inlineStr">
        <is>
          <t>A22</t>
        </is>
      </c>
      <c r="AY7" s="75" t="inlineStr">
        <is>
          <t>A23</t>
        </is>
      </c>
      <c r="AZ7" s="75" t="inlineStr">
        <is>
          <t>A24</t>
        </is>
      </c>
      <c r="BA7" s="75" t="inlineStr">
        <is>
          <t>A25</t>
        </is>
      </c>
      <c r="BB7" s="75" t="inlineStr">
        <is>
          <t>A26</t>
        </is>
      </c>
      <c r="BC7" s="75" t="inlineStr">
        <is>
          <t>A27</t>
        </is>
      </c>
      <c r="BD7" s="75" t="inlineStr">
        <is>
          <t>A28</t>
        </is>
      </c>
      <c r="BE7" s="75" t="inlineStr">
        <is>
          <t>A29</t>
        </is>
      </c>
      <c r="BF7" s="75" t="inlineStr">
        <is>
          <t>A30</t>
        </is>
      </c>
      <c r="BG7" s="73" t="inlineStr">
        <is>
          <t>ABS.MOT</t>
        </is>
      </c>
      <c r="BH7" s="73" t="inlineStr">
        <is>
          <t>ABS.NEM</t>
        </is>
      </c>
      <c r="BI7" s="73" t="inlineStr">
        <is>
          <t>N1</t>
        </is>
      </c>
      <c r="BJ7" s="73" t="inlineStr">
        <is>
          <t>D1</t>
        </is>
      </c>
      <c r="BK7" s="73" t="inlineStr">
        <is>
          <t>N2</t>
        </is>
      </c>
      <c r="BL7" s="73" t="inlineStr">
        <is>
          <t>D2</t>
        </is>
      </c>
      <c r="BM7" s="73" t="inlineStr">
        <is>
          <t>N3</t>
        </is>
      </c>
      <c r="BN7" s="73" t="inlineStr">
        <is>
          <t>D3</t>
        </is>
      </c>
      <c r="BO7" s="73" t="inlineStr">
        <is>
          <t>N4</t>
        </is>
      </c>
      <c r="BP7" s="73" t="inlineStr">
        <is>
          <t>D4</t>
        </is>
      </c>
      <c r="BQ7" s="73" t="inlineStr">
        <is>
          <t>N5</t>
        </is>
      </c>
      <c r="BR7" s="73" t="inlineStr">
        <is>
          <t>D5</t>
        </is>
      </c>
      <c r="BS7" s="73" t="inlineStr">
        <is>
          <t>N6</t>
        </is>
      </c>
      <c r="BT7" s="73" t="inlineStr">
        <is>
          <t>D6</t>
        </is>
      </c>
      <c r="BU7" s="73" t="inlineStr">
        <is>
          <t>N7</t>
        </is>
      </c>
      <c r="BV7" s="73" t="inlineStr">
        <is>
          <t>D7</t>
        </is>
      </c>
      <c r="BW7" s="73" t="inlineStr">
        <is>
          <t>N8</t>
        </is>
      </c>
      <c r="BX7" s="73" t="inlineStr">
        <is>
          <t>D8</t>
        </is>
      </c>
      <c r="BY7" s="73" t="inlineStr">
        <is>
          <t>N9</t>
        </is>
      </c>
      <c r="BZ7" s="73" t="inlineStr">
        <is>
          <t>D9</t>
        </is>
      </c>
      <c r="CA7" s="73" t="inlineStr">
        <is>
          <t>N10</t>
        </is>
      </c>
      <c r="CB7" s="73" t="inlineStr">
        <is>
          <t>D10</t>
        </is>
      </c>
      <c r="CC7" s="74" t="inlineStr">
        <is>
          <t>MEDIE</t>
        </is>
      </c>
      <c r="CD7" s="75" t="inlineStr">
        <is>
          <t>A1</t>
        </is>
      </c>
      <c r="CE7" s="75" t="inlineStr">
        <is>
          <t>A2</t>
        </is>
      </c>
      <c r="CF7" s="75" t="inlineStr">
        <is>
          <t>A3</t>
        </is>
      </c>
      <c r="CG7" s="75" t="inlineStr">
        <is>
          <t>A4</t>
        </is>
      </c>
      <c r="CH7" s="75" t="inlineStr">
        <is>
          <t>A5</t>
        </is>
      </c>
      <c r="CI7" s="75" t="inlineStr">
        <is>
          <t>A6</t>
        </is>
      </c>
      <c r="CJ7" s="75" t="inlineStr">
        <is>
          <t>A7</t>
        </is>
      </c>
      <c r="CK7" s="75" t="inlineStr">
        <is>
          <t>A8</t>
        </is>
      </c>
      <c r="CL7" s="75" t="inlineStr">
        <is>
          <t>A9</t>
        </is>
      </c>
      <c r="CM7" s="75" t="inlineStr">
        <is>
          <t>A10</t>
        </is>
      </c>
      <c r="CN7" s="75" t="inlineStr">
        <is>
          <t>A11</t>
        </is>
      </c>
      <c r="CO7" s="75" t="inlineStr">
        <is>
          <t>A12</t>
        </is>
      </c>
      <c r="CP7" s="75" t="inlineStr">
        <is>
          <t>A13</t>
        </is>
      </c>
      <c r="CQ7" s="75" t="inlineStr">
        <is>
          <t>A14</t>
        </is>
      </c>
      <c r="CR7" s="75" t="inlineStr">
        <is>
          <t>A15</t>
        </is>
      </c>
      <c r="CS7" s="75" t="inlineStr">
        <is>
          <t>A16</t>
        </is>
      </c>
      <c r="CT7" s="75" t="inlineStr">
        <is>
          <t>A17</t>
        </is>
      </c>
      <c r="CU7" s="75" t="inlineStr">
        <is>
          <t>A18</t>
        </is>
      </c>
      <c r="CV7" s="75" t="inlineStr">
        <is>
          <t>A19</t>
        </is>
      </c>
      <c r="CW7" s="75" t="inlineStr">
        <is>
          <t>A20</t>
        </is>
      </c>
      <c r="CX7" s="75" t="inlineStr">
        <is>
          <t>A21</t>
        </is>
      </c>
      <c r="CY7" s="75" t="inlineStr">
        <is>
          <t>A22</t>
        </is>
      </c>
      <c r="CZ7" s="75" t="inlineStr">
        <is>
          <t>A23</t>
        </is>
      </c>
      <c r="DA7" s="75" t="inlineStr">
        <is>
          <t>A24</t>
        </is>
      </c>
      <c r="DB7" s="75" t="inlineStr">
        <is>
          <t>A25</t>
        </is>
      </c>
      <c r="DC7" s="75" t="inlineStr">
        <is>
          <t>A26</t>
        </is>
      </c>
      <c r="DD7" s="75" t="inlineStr">
        <is>
          <t>A27</t>
        </is>
      </c>
      <c r="DE7" s="75" t="inlineStr">
        <is>
          <t>A28</t>
        </is>
      </c>
      <c r="DF7" s="75" t="inlineStr">
        <is>
          <t>A29</t>
        </is>
      </c>
      <c r="DG7" s="75" t="inlineStr">
        <is>
          <t>A30</t>
        </is>
      </c>
      <c r="DH7" s="73" t="inlineStr">
        <is>
          <t>ABS.MOT</t>
        </is>
      </c>
      <c r="DI7" s="73" t="inlineStr">
        <is>
          <t>ABS.NEM</t>
        </is>
      </c>
      <c r="DJ7" s="73" t="inlineStr">
        <is>
          <t>N1</t>
        </is>
      </c>
      <c r="DK7" s="73" t="inlineStr">
        <is>
          <t>D1</t>
        </is>
      </c>
      <c r="DL7" s="73" t="inlineStr">
        <is>
          <t>N2</t>
        </is>
      </c>
      <c r="DM7" s="73" t="inlineStr">
        <is>
          <t>D2</t>
        </is>
      </c>
      <c r="DN7" s="73" t="inlineStr">
        <is>
          <t>N3</t>
        </is>
      </c>
      <c r="DO7" s="73" t="inlineStr">
        <is>
          <t>D3</t>
        </is>
      </c>
      <c r="DP7" s="73" t="inlineStr">
        <is>
          <t>N4</t>
        </is>
      </c>
      <c r="DQ7" s="73" t="inlineStr">
        <is>
          <t>D4</t>
        </is>
      </c>
      <c r="DR7" s="73" t="inlineStr">
        <is>
          <t>N5</t>
        </is>
      </c>
      <c r="DS7" s="73" t="inlineStr">
        <is>
          <t>D5</t>
        </is>
      </c>
      <c r="DT7" s="73" t="inlineStr">
        <is>
          <t>N6</t>
        </is>
      </c>
      <c r="DU7" s="73" t="inlineStr">
        <is>
          <t>D6</t>
        </is>
      </c>
      <c r="DV7" s="73" t="inlineStr">
        <is>
          <t>N7</t>
        </is>
      </c>
      <c r="DW7" s="73" t="inlineStr">
        <is>
          <t>D7</t>
        </is>
      </c>
      <c r="DX7" s="73" t="inlineStr">
        <is>
          <t>N8</t>
        </is>
      </c>
      <c r="DY7" s="73" t="inlineStr">
        <is>
          <t>D8</t>
        </is>
      </c>
      <c r="DZ7" s="73" t="inlineStr">
        <is>
          <t>N9</t>
        </is>
      </c>
      <c r="EA7" s="73" t="inlineStr">
        <is>
          <t>D9</t>
        </is>
      </c>
      <c r="EB7" s="73" t="inlineStr">
        <is>
          <t>N10</t>
        </is>
      </c>
      <c r="EC7" s="73" t="inlineStr">
        <is>
          <t>D10</t>
        </is>
      </c>
      <c r="ED7" s="74" t="inlineStr">
        <is>
          <t>MEDIE</t>
        </is>
      </c>
      <c r="EE7" s="75" t="inlineStr">
        <is>
          <t>A1</t>
        </is>
      </c>
      <c r="EF7" s="75" t="inlineStr">
        <is>
          <t>A2</t>
        </is>
      </c>
      <c r="EG7" s="75" t="inlineStr">
        <is>
          <t>A3</t>
        </is>
      </c>
      <c r="EH7" s="75" t="inlineStr">
        <is>
          <t>A4</t>
        </is>
      </c>
      <c r="EI7" s="75" t="inlineStr">
        <is>
          <t>A5</t>
        </is>
      </c>
      <c r="EJ7" s="75" t="inlineStr">
        <is>
          <t>A6</t>
        </is>
      </c>
      <c r="EK7" s="75" t="inlineStr">
        <is>
          <t>A7</t>
        </is>
      </c>
      <c r="EL7" s="75" t="inlineStr">
        <is>
          <t>A8</t>
        </is>
      </c>
      <c r="EM7" s="75" t="inlineStr">
        <is>
          <t>A9</t>
        </is>
      </c>
      <c r="EN7" s="75" t="inlineStr">
        <is>
          <t>A10</t>
        </is>
      </c>
      <c r="EO7" s="75" t="inlineStr">
        <is>
          <t>A11</t>
        </is>
      </c>
      <c r="EP7" s="75" t="inlineStr">
        <is>
          <t>A12</t>
        </is>
      </c>
      <c r="EQ7" s="75" t="inlineStr">
        <is>
          <t>A13</t>
        </is>
      </c>
      <c r="ER7" s="75" t="inlineStr">
        <is>
          <t>A14</t>
        </is>
      </c>
      <c r="ES7" s="75" t="inlineStr">
        <is>
          <t>A15</t>
        </is>
      </c>
      <c r="ET7" s="75" t="inlineStr">
        <is>
          <t>A16</t>
        </is>
      </c>
      <c r="EU7" s="75" t="inlineStr">
        <is>
          <t>A17</t>
        </is>
      </c>
      <c r="EV7" s="75" t="inlineStr">
        <is>
          <t>A18</t>
        </is>
      </c>
      <c r="EW7" s="75" t="inlineStr">
        <is>
          <t>A19</t>
        </is>
      </c>
      <c r="EX7" s="75" t="inlineStr">
        <is>
          <t>A20</t>
        </is>
      </c>
      <c r="EY7" s="75" t="inlineStr">
        <is>
          <t>A21</t>
        </is>
      </c>
      <c r="EZ7" s="75" t="inlineStr">
        <is>
          <t>A22</t>
        </is>
      </c>
      <c r="FA7" s="75" t="inlineStr">
        <is>
          <t>A23</t>
        </is>
      </c>
      <c r="FB7" s="75" t="inlineStr">
        <is>
          <t>A24</t>
        </is>
      </c>
      <c r="FC7" s="75" t="inlineStr">
        <is>
          <t>A25</t>
        </is>
      </c>
      <c r="FD7" s="75" t="inlineStr">
        <is>
          <t>A26</t>
        </is>
      </c>
      <c r="FE7" s="75" t="inlineStr">
        <is>
          <t>A27</t>
        </is>
      </c>
      <c r="FF7" s="75" t="inlineStr">
        <is>
          <t>A28</t>
        </is>
      </c>
      <c r="FG7" s="75" t="inlineStr">
        <is>
          <t>A29</t>
        </is>
      </c>
      <c r="FH7" s="75" t="inlineStr">
        <is>
          <t>A30</t>
        </is>
      </c>
      <c r="FI7" s="73" t="inlineStr">
        <is>
          <t>ABS.MOT</t>
        </is>
      </c>
      <c r="FJ7" s="73" t="inlineStr">
        <is>
          <t>ABS.NEM</t>
        </is>
      </c>
      <c r="FK7" s="73" t="inlineStr">
        <is>
          <t>N1</t>
        </is>
      </c>
      <c r="FL7" s="73" t="inlineStr">
        <is>
          <t>D1</t>
        </is>
      </c>
      <c r="FM7" s="73" t="inlineStr">
        <is>
          <t>N2</t>
        </is>
      </c>
      <c r="FN7" s="73" t="inlineStr">
        <is>
          <t>D2</t>
        </is>
      </c>
      <c r="FO7" s="73" t="inlineStr">
        <is>
          <t>N3</t>
        </is>
      </c>
      <c r="FP7" s="73" t="inlineStr">
        <is>
          <t>D3</t>
        </is>
      </c>
      <c r="FQ7" s="73" t="inlineStr">
        <is>
          <t>N4</t>
        </is>
      </c>
      <c r="FR7" s="73" t="inlineStr">
        <is>
          <t>D4</t>
        </is>
      </c>
      <c r="FS7" s="73" t="inlineStr">
        <is>
          <t>N5</t>
        </is>
      </c>
      <c r="FT7" s="73" t="inlineStr">
        <is>
          <t>D5</t>
        </is>
      </c>
      <c r="FU7" s="73" t="inlineStr">
        <is>
          <t>N6</t>
        </is>
      </c>
      <c r="FV7" s="73" t="inlineStr">
        <is>
          <t>D6</t>
        </is>
      </c>
      <c r="FW7" s="73" t="inlineStr">
        <is>
          <t>N7</t>
        </is>
      </c>
      <c r="FX7" s="73" t="inlineStr">
        <is>
          <t>D7</t>
        </is>
      </c>
      <c r="FY7" s="73" t="inlineStr">
        <is>
          <t>N8</t>
        </is>
      </c>
      <c r="FZ7" s="73" t="inlineStr">
        <is>
          <t>D8</t>
        </is>
      </c>
      <c r="GA7" s="73" t="inlineStr">
        <is>
          <t>N9</t>
        </is>
      </c>
      <c r="GB7" s="73" t="inlineStr">
        <is>
          <t>D9</t>
        </is>
      </c>
      <c r="GC7" s="73" t="inlineStr">
        <is>
          <t>N10</t>
        </is>
      </c>
      <c r="GD7" s="73" t="inlineStr">
        <is>
          <t>D10</t>
        </is>
      </c>
      <c r="GE7" s="74" t="inlineStr">
        <is>
          <t>MEDIE</t>
        </is>
      </c>
      <c r="GF7" s="75" t="inlineStr">
        <is>
          <t>A1</t>
        </is>
      </c>
      <c r="GG7" s="75" t="inlineStr">
        <is>
          <t>A2</t>
        </is>
      </c>
      <c r="GH7" s="75" t="inlineStr">
        <is>
          <t>A3</t>
        </is>
      </c>
      <c r="GI7" s="75" t="inlineStr">
        <is>
          <t>A4</t>
        </is>
      </c>
      <c r="GJ7" s="75" t="inlineStr">
        <is>
          <t>A5</t>
        </is>
      </c>
      <c r="GK7" s="75" t="inlineStr">
        <is>
          <t>A6</t>
        </is>
      </c>
      <c r="GL7" s="75" t="inlineStr">
        <is>
          <t>A7</t>
        </is>
      </c>
      <c r="GM7" s="75" t="inlineStr">
        <is>
          <t>A8</t>
        </is>
      </c>
      <c r="GN7" s="75" t="inlineStr">
        <is>
          <t>A9</t>
        </is>
      </c>
      <c r="GO7" s="75" t="inlineStr">
        <is>
          <t>A10</t>
        </is>
      </c>
      <c r="GP7" s="75" t="inlineStr">
        <is>
          <t>A11</t>
        </is>
      </c>
      <c r="GQ7" s="75" t="inlineStr">
        <is>
          <t>A12</t>
        </is>
      </c>
      <c r="GR7" s="75" t="inlineStr">
        <is>
          <t>A13</t>
        </is>
      </c>
      <c r="GS7" s="75" t="inlineStr">
        <is>
          <t>A14</t>
        </is>
      </c>
      <c r="GT7" s="75" t="inlineStr">
        <is>
          <t>A15</t>
        </is>
      </c>
      <c r="GU7" s="75" t="inlineStr">
        <is>
          <t>A16</t>
        </is>
      </c>
      <c r="GV7" s="75" t="inlineStr">
        <is>
          <t>A17</t>
        </is>
      </c>
      <c r="GW7" s="75" t="inlineStr">
        <is>
          <t>A18</t>
        </is>
      </c>
      <c r="GX7" s="75" t="inlineStr">
        <is>
          <t>A19</t>
        </is>
      </c>
      <c r="GY7" s="75" t="inlineStr">
        <is>
          <t>A20</t>
        </is>
      </c>
      <c r="GZ7" s="75" t="inlineStr">
        <is>
          <t>A21</t>
        </is>
      </c>
      <c r="HA7" s="75" t="inlineStr">
        <is>
          <t>A22</t>
        </is>
      </c>
      <c r="HB7" s="75" t="inlineStr">
        <is>
          <t>A23</t>
        </is>
      </c>
      <c r="HC7" s="75" t="inlineStr">
        <is>
          <t>A24</t>
        </is>
      </c>
      <c r="HD7" s="75" t="inlineStr">
        <is>
          <t>A25</t>
        </is>
      </c>
      <c r="HE7" s="75" t="inlineStr">
        <is>
          <t>A26</t>
        </is>
      </c>
      <c r="HF7" s="75" t="inlineStr">
        <is>
          <t>A27</t>
        </is>
      </c>
      <c r="HG7" s="75" t="inlineStr">
        <is>
          <t>A28</t>
        </is>
      </c>
      <c r="HH7" s="75" t="inlineStr">
        <is>
          <t>A29</t>
        </is>
      </c>
      <c r="HI7" s="75" t="inlineStr">
        <is>
          <t>A30</t>
        </is>
      </c>
      <c r="HJ7" s="73" t="inlineStr">
        <is>
          <t>ABS.MOT</t>
        </is>
      </c>
      <c r="HK7" s="73" t="inlineStr">
        <is>
          <t>ABS.NEM</t>
        </is>
      </c>
      <c r="HL7" s="73" t="inlineStr">
        <is>
          <t>N1</t>
        </is>
      </c>
      <c r="HM7" s="73" t="inlineStr">
        <is>
          <t>D1</t>
        </is>
      </c>
      <c r="HN7" s="73" t="inlineStr">
        <is>
          <t>N2</t>
        </is>
      </c>
      <c r="HO7" s="73" t="inlineStr">
        <is>
          <t>D2</t>
        </is>
      </c>
      <c r="HP7" s="73" t="inlineStr">
        <is>
          <t>N3</t>
        </is>
      </c>
      <c r="HQ7" s="73" t="inlineStr">
        <is>
          <t>D3</t>
        </is>
      </c>
      <c r="HR7" s="73" t="inlineStr">
        <is>
          <t>N4</t>
        </is>
      </c>
      <c r="HS7" s="73" t="inlineStr">
        <is>
          <t>D4</t>
        </is>
      </c>
      <c r="HT7" s="73" t="inlineStr">
        <is>
          <t>N5</t>
        </is>
      </c>
      <c r="HU7" s="73" t="inlineStr">
        <is>
          <t>D5</t>
        </is>
      </c>
      <c r="HV7" s="73" t="inlineStr">
        <is>
          <t>N6</t>
        </is>
      </c>
      <c r="HW7" s="73" t="inlineStr">
        <is>
          <t>D6</t>
        </is>
      </c>
      <c r="HX7" s="73" t="inlineStr">
        <is>
          <t>N7</t>
        </is>
      </c>
      <c r="HY7" s="73" t="inlineStr">
        <is>
          <t>D7</t>
        </is>
      </c>
      <c r="HZ7" s="73" t="inlineStr">
        <is>
          <t>N8</t>
        </is>
      </c>
      <c r="IA7" s="73" t="inlineStr">
        <is>
          <t>D8</t>
        </is>
      </c>
      <c r="IB7" s="73" t="inlineStr">
        <is>
          <t>N9</t>
        </is>
      </c>
      <c r="IC7" s="73" t="inlineStr">
        <is>
          <t>D9</t>
        </is>
      </c>
      <c r="ID7" s="73" t="inlineStr">
        <is>
          <t>N10</t>
        </is>
      </c>
      <c r="IE7" s="73" t="inlineStr">
        <is>
          <t>D10</t>
        </is>
      </c>
      <c r="IF7" s="74" t="inlineStr">
        <is>
          <t>MEDIE</t>
        </is>
      </c>
      <c r="IG7" s="75" t="inlineStr">
        <is>
          <t>A1</t>
        </is>
      </c>
      <c r="IH7" s="75" t="inlineStr">
        <is>
          <t>A2</t>
        </is>
      </c>
      <c r="II7" s="75" t="inlineStr">
        <is>
          <t>A3</t>
        </is>
      </c>
      <c r="IJ7" s="75" t="inlineStr">
        <is>
          <t>A4</t>
        </is>
      </c>
      <c r="IK7" s="75" t="inlineStr">
        <is>
          <t>A5</t>
        </is>
      </c>
      <c r="IL7" s="75" t="inlineStr">
        <is>
          <t>A6</t>
        </is>
      </c>
      <c r="IM7" s="75" t="inlineStr">
        <is>
          <t>A7</t>
        </is>
      </c>
      <c r="IN7" s="75" t="inlineStr">
        <is>
          <t>A8</t>
        </is>
      </c>
      <c r="IO7" s="75" t="inlineStr">
        <is>
          <t>A9</t>
        </is>
      </c>
      <c r="IP7" s="75" t="inlineStr">
        <is>
          <t>A10</t>
        </is>
      </c>
      <c r="IQ7" s="75" t="inlineStr">
        <is>
          <t>A11</t>
        </is>
      </c>
      <c r="IR7" s="75" t="inlineStr">
        <is>
          <t>A12</t>
        </is>
      </c>
      <c r="IS7" s="75" t="inlineStr">
        <is>
          <t>A13</t>
        </is>
      </c>
      <c r="IT7" s="75" t="inlineStr">
        <is>
          <t>A14</t>
        </is>
      </c>
      <c r="IU7" s="75" t="inlineStr">
        <is>
          <t>A15</t>
        </is>
      </c>
      <c r="IV7" s="75" t="inlineStr">
        <is>
          <t>A16</t>
        </is>
      </c>
      <c r="IW7" s="75" t="inlineStr">
        <is>
          <t>A17</t>
        </is>
      </c>
      <c r="IX7" s="75" t="inlineStr">
        <is>
          <t>A18</t>
        </is>
      </c>
      <c r="IY7" s="75" t="inlineStr">
        <is>
          <t>A19</t>
        </is>
      </c>
      <c r="IZ7" s="75" t="inlineStr">
        <is>
          <t>A20</t>
        </is>
      </c>
      <c r="JA7" s="75" t="inlineStr">
        <is>
          <t>A21</t>
        </is>
      </c>
      <c r="JB7" s="75" t="inlineStr">
        <is>
          <t>A22</t>
        </is>
      </c>
      <c r="JC7" s="75" t="inlineStr">
        <is>
          <t>A23</t>
        </is>
      </c>
      <c r="JD7" s="75" t="inlineStr">
        <is>
          <t>A24</t>
        </is>
      </c>
      <c r="JE7" s="75" t="inlineStr">
        <is>
          <t>A25</t>
        </is>
      </c>
      <c r="JF7" s="75" t="inlineStr">
        <is>
          <t>A26</t>
        </is>
      </c>
      <c r="JG7" s="75" t="inlineStr">
        <is>
          <t>A27</t>
        </is>
      </c>
      <c r="JH7" s="75" t="inlineStr">
        <is>
          <t>A28</t>
        </is>
      </c>
      <c r="JI7" s="75" t="inlineStr">
        <is>
          <t>A29</t>
        </is>
      </c>
      <c r="JJ7" s="75" t="inlineStr">
        <is>
          <t>A30</t>
        </is>
      </c>
      <c r="JK7" s="73" t="inlineStr">
        <is>
          <t>ABS.MOT</t>
        </is>
      </c>
      <c r="JL7" s="73" t="inlineStr">
        <is>
          <t>ABS.NEM</t>
        </is>
      </c>
      <c r="JM7" s="73" t="inlineStr">
        <is>
          <t>N1</t>
        </is>
      </c>
      <c r="JN7" s="73" t="inlineStr">
        <is>
          <t>D1</t>
        </is>
      </c>
      <c r="JO7" s="73" t="inlineStr">
        <is>
          <t>N2</t>
        </is>
      </c>
      <c r="JP7" s="73" t="inlineStr">
        <is>
          <t>D2</t>
        </is>
      </c>
      <c r="JQ7" s="73" t="inlineStr">
        <is>
          <t>N3</t>
        </is>
      </c>
      <c r="JR7" s="73" t="inlineStr">
        <is>
          <t>D3</t>
        </is>
      </c>
      <c r="JS7" s="73" t="inlineStr">
        <is>
          <t>N4</t>
        </is>
      </c>
      <c r="JT7" s="73" t="inlineStr">
        <is>
          <t>D4</t>
        </is>
      </c>
      <c r="JU7" s="73" t="inlineStr">
        <is>
          <t>N5</t>
        </is>
      </c>
      <c r="JV7" s="73" t="inlineStr">
        <is>
          <t>D5</t>
        </is>
      </c>
      <c r="JW7" s="73" t="inlineStr">
        <is>
          <t>N6</t>
        </is>
      </c>
      <c r="JX7" s="73" t="inlineStr">
        <is>
          <t>D6</t>
        </is>
      </c>
      <c r="JY7" s="73" t="inlineStr">
        <is>
          <t>N7</t>
        </is>
      </c>
      <c r="JZ7" s="73" t="inlineStr">
        <is>
          <t>D7</t>
        </is>
      </c>
      <c r="KA7" s="73" t="inlineStr">
        <is>
          <t>N8</t>
        </is>
      </c>
      <c r="KB7" s="73" t="inlineStr">
        <is>
          <t>D8</t>
        </is>
      </c>
      <c r="KC7" s="73" t="inlineStr">
        <is>
          <t>N9</t>
        </is>
      </c>
      <c r="KD7" s="73" t="inlineStr">
        <is>
          <t>D9</t>
        </is>
      </c>
      <c r="KE7" s="73" t="inlineStr">
        <is>
          <t>N10</t>
        </is>
      </c>
      <c r="KF7" s="73" t="inlineStr">
        <is>
          <t>D10</t>
        </is>
      </c>
      <c r="KG7" s="74" t="inlineStr">
        <is>
          <t>MEDIE</t>
        </is>
      </c>
      <c r="KH7" s="75" t="inlineStr">
        <is>
          <t>A1</t>
        </is>
      </c>
      <c r="KI7" s="75" t="inlineStr">
        <is>
          <t>A2</t>
        </is>
      </c>
      <c r="KJ7" s="75" t="inlineStr">
        <is>
          <t>A3</t>
        </is>
      </c>
      <c r="KK7" s="75" t="inlineStr">
        <is>
          <t>A4</t>
        </is>
      </c>
      <c r="KL7" s="75" t="inlineStr">
        <is>
          <t>A5</t>
        </is>
      </c>
      <c r="KM7" s="75" t="inlineStr">
        <is>
          <t>A6</t>
        </is>
      </c>
      <c r="KN7" s="75" t="inlineStr">
        <is>
          <t>A7</t>
        </is>
      </c>
      <c r="KO7" s="75" t="inlineStr">
        <is>
          <t>A8</t>
        </is>
      </c>
      <c r="KP7" s="76" t="inlineStr">
        <is>
          <t>A9</t>
        </is>
      </c>
      <c r="KQ7" s="76" t="inlineStr">
        <is>
          <t>A10</t>
        </is>
      </c>
      <c r="KR7" s="76" t="inlineStr">
        <is>
          <t>A11</t>
        </is>
      </c>
      <c r="KS7" s="76" t="inlineStr">
        <is>
          <t>A12</t>
        </is>
      </c>
      <c r="KT7" s="76" t="inlineStr">
        <is>
          <t>A13</t>
        </is>
      </c>
      <c r="KU7" s="76" t="inlineStr">
        <is>
          <t>A14</t>
        </is>
      </c>
      <c r="KV7" s="76" t="inlineStr">
        <is>
          <t>A15</t>
        </is>
      </c>
      <c r="KW7" s="76" t="inlineStr">
        <is>
          <t>A16</t>
        </is>
      </c>
      <c r="KX7" s="76" t="inlineStr">
        <is>
          <t>A17</t>
        </is>
      </c>
      <c r="KY7" s="76" t="inlineStr">
        <is>
          <t>A18</t>
        </is>
      </c>
      <c r="KZ7" s="76" t="inlineStr">
        <is>
          <t>A19</t>
        </is>
      </c>
      <c r="LA7" s="76" t="inlineStr">
        <is>
          <t>A20</t>
        </is>
      </c>
      <c r="LB7" s="76" t="inlineStr">
        <is>
          <t>A21</t>
        </is>
      </c>
      <c r="LC7" s="76" t="inlineStr">
        <is>
          <t>A22</t>
        </is>
      </c>
      <c r="LD7" s="76" t="inlineStr">
        <is>
          <t>A23</t>
        </is>
      </c>
      <c r="LE7" s="76" t="inlineStr">
        <is>
          <t>A24</t>
        </is>
      </c>
      <c r="LF7" s="76" t="inlineStr">
        <is>
          <t>A25</t>
        </is>
      </c>
      <c r="LG7" s="76" t="inlineStr">
        <is>
          <t>A26</t>
        </is>
      </c>
      <c r="LH7" s="76" t="inlineStr">
        <is>
          <t>A27</t>
        </is>
      </c>
      <c r="LI7" s="76" t="inlineStr">
        <is>
          <t>A28</t>
        </is>
      </c>
      <c r="LJ7" s="76" t="inlineStr">
        <is>
          <t>A29</t>
        </is>
      </c>
      <c r="LK7" s="76" t="inlineStr">
        <is>
          <t>A30</t>
        </is>
      </c>
      <c r="LL7" s="77" t="inlineStr">
        <is>
          <t>ABS.MOT</t>
        </is>
      </c>
      <c r="LM7" s="77" t="inlineStr">
        <is>
          <t>ABS.NEM</t>
        </is>
      </c>
      <c r="LN7" s="77" t="inlineStr">
        <is>
          <t>N1</t>
        </is>
      </c>
      <c r="LO7" s="77" t="inlineStr">
        <is>
          <t>D1</t>
        </is>
      </c>
      <c r="LP7" s="77" t="inlineStr">
        <is>
          <t>N2</t>
        </is>
      </c>
      <c r="LQ7" s="77" t="inlineStr">
        <is>
          <t>D2</t>
        </is>
      </c>
      <c r="LR7" s="77" t="inlineStr">
        <is>
          <t>N3</t>
        </is>
      </c>
      <c r="LS7" s="77" t="inlineStr">
        <is>
          <t>D3</t>
        </is>
      </c>
      <c r="LT7" s="77" t="inlineStr">
        <is>
          <t>N4</t>
        </is>
      </c>
      <c r="LU7" s="77" t="inlineStr">
        <is>
          <t>D4</t>
        </is>
      </c>
      <c r="LV7" s="77" t="inlineStr">
        <is>
          <t>N5</t>
        </is>
      </c>
      <c r="LW7" s="77" t="inlineStr">
        <is>
          <t>D5</t>
        </is>
      </c>
      <c r="LX7" s="77" t="inlineStr">
        <is>
          <t>N6</t>
        </is>
      </c>
      <c r="LY7" s="77" t="inlineStr">
        <is>
          <t>D6</t>
        </is>
      </c>
      <c r="LZ7" s="77" t="inlineStr">
        <is>
          <t>N7</t>
        </is>
      </c>
      <c r="MA7" s="77" t="inlineStr">
        <is>
          <t>D7</t>
        </is>
      </c>
      <c r="MB7" s="77" t="inlineStr">
        <is>
          <t>N8</t>
        </is>
      </c>
      <c r="MC7" s="77" t="inlineStr">
        <is>
          <t>D8</t>
        </is>
      </c>
      <c r="MD7" s="77" t="inlineStr">
        <is>
          <t>N9</t>
        </is>
      </c>
      <c r="ME7" s="77" t="inlineStr">
        <is>
          <t>D9</t>
        </is>
      </c>
      <c r="MF7" s="77" t="inlineStr">
        <is>
          <t>N10</t>
        </is>
      </c>
      <c r="MG7" s="77" t="inlineStr">
        <is>
          <t>D10</t>
        </is>
      </c>
      <c r="MH7" s="78" t="inlineStr">
        <is>
          <t>MEDIE</t>
        </is>
      </c>
      <c r="MI7" s="76" t="inlineStr">
        <is>
          <t>A1</t>
        </is>
      </c>
      <c r="MJ7" s="76" t="inlineStr">
        <is>
          <t>A2</t>
        </is>
      </c>
      <c r="MK7" s="76" t="inlineStr">
        <is>
          <t>A3</t>
        </is>
      </c>
      <c r="ML7" s="76" t="inlineStr">
        <is>
          <t>A4</t>
        </is>
      </c>
      <c r="MM7" s="76" t="inlineStr">
        <is>
          <t>A5</t>
        </is>
      </c>
      <c r="MN7" s="76" t="inlineStr">
        <is>
          <t>A6</t>
        </is>
      </c>
      <c r="MO7" s="76" t="inlineStr">
        <is>
          <t>A7</t>
        </is>
      </c>
      <c r="MP7" s="76" t="inlineStr">
        <is>
          <t>A8</t>
        </is>
      </c>
      <c r="MQ7" s="76" t="inlineStr">
        <is>
          <t>A9</t>
        </is>
      </c>
      <c r="MR7" s="76" t="inlineStr">
        <is>
          <t>A10</t>
        </is>
      </c>
      <c r="MS7" s="76" t="inlineStr">
        <is>
          <t>A11</t>
        </is>
      </c>
      <c r="MT7" s="76" t="inlineStr">
        <is>
          <t>A12</t>
        </is>
      </c>
      <c r="MU7" s="76" t="inlineStr">
        <is>
          <t>A13</t>
        </is>
      </c>
      <c r="MV7" s="76" t="inlineStr">
        <is>
          <t>A14</t>
        </is>
      </c>
      <c r="MW7" s="76" t="inlineStr">
        <is>
          <t>A15</t>
        </is>
      </c>
      <c r="MX7" s="76" t="inlineStr">
        <is>
          <t>A16</t>
        </is>
      </c>
      <c r="MY7" s="76" t="inlineStr">
        <is>
          <t>A17</t>
        </is>
      </c>
      <c r="MZ7" s="76" t="inlineStr">
        <is>
          <t>A18</t>
        </is>
      </c>
      <c r="NA7" s="76" t="inlineStr">
        <is>
          <t>A19</t>
        </is>
      </c>
      <c r="NB7" s="76" t="inlineStr">
        <is>
          <t>A20</t>
        </is>
      </c>
      <c r="NC7" s="76" t="inlineStr">
        <is>
          <t>A21</t>
        </is>
      </c>
      <c r="ND7" s="76" t="inlineStr">
        <is>
          <t>A22</t>
        </is>
      </c>
      <c r="NE7" s="76" t="inlineStr">
        <is>
          <t>A23</t>
        </is>
      </c>
      <c r="NF7" s="76" t="inlineStr">
        <is>
          <t>A24</t>
        </is>
      </c>
      <c r="NG7" s="76" t="inlineStr">
        <is>
          <t>A25</t>
        </is>
      </c>
      <c r="NH7" s="76" t="inlineStr">
        <is>
          <t>A26</t>
        </is>
      </c>
      <c r="NI7" s="76" t="inlineStr">
        <is>
          <t>A27</t>
        </is>
      </c>
      <c r="NJ7" s="76" t="inlineStr">
        <is>
          <t>A28</t>
        </is>
      </c>
      <c r="NK7" s="76" t="inlineStr">
        <is>
          <t>A29</t>
        </is>
      </c>
      <c r="NL7" s="76" t="inlineStr">
        <is>
          <t>A30</t>
        </is>
      </c>
      <c r="NM7" s="77" t="inlineStr">
        <is>
          <t>ABS.MOT</t>
        </is>
      </c>
      <c r="NN7" s="77" t="inlineStr">
        <is>
          <t>ABS.NEM</t>
        </is>
      </c>
      <c r="NO7" s="77" t="inlineStr">
        <is>
          <t>N1</t>
        </is>
      </c>
      <c r="NP7" s="77" t="inlineStr">
        <is>
          <t>D1</t>
        </is>
      </c>
      <c r="NQ7" s="77" t="inlineStr">
        <is>
          <t>N2</t>
        </is>
      </c>
      <c r="NR7" s="77" t="inlineStr">
        <is>
          <t>D2</t>
        </is>
      </c>
      <c r="NS7" s="77" t="inlineStr">
        <is>
          <t>N3</t>
        </is>
      </c>
      <c r="NT7" s="77" t="inlineStr">
        <is>
          <t>D3</t>
        </is>
      </c>
      <c r="NU7" s="77" t="inlineStr">
        <is>
          <t>N4</t>
        </is>
      </c>
      <c r="NV7" s="77" t="inlineStr">
        <is>
          <t>D4</t>
        </is>
      </c>
      <c r="NW7" s="77" t="inlineStr">
        <is>
          <t>N5</t>
        </is>
      </c>
      <c r="NX7" s="77" t="inlineStr">
        <is>
          <t>D5</t>
        </is>
      </c>
      <c r="NY7" s="77" t="inlineStr">
        <is>
          <t>N6</t>
        </is>
      </c>
      <c r="NZ7" s="77" t="inlineStr">
        <is>
          <t>D6</t>
        </is>
      </c>
      <c r="OA7" s="77" t="inlineStr">
        <is>
          <t>N7</t>
        </is>
      </c>
      <c r="OB7" s="77" t="inlineStr">
        <is>
          <t>D7</t>
        </is>
      </c>
      <c r="OC7" s="77" t="inlineStr">
        <is>
          <t>N8</t>
        </is>
      </c>
      <c r="OD7" s="77" t="inlineStr">
        <is>
          <t>D8</t>
        </is>
      </c>
      <c r="OE7" s="77" t="inlineStr">
        <is>
          <t>N9</t>
        </is>
      </c>
      <c r="OF7" s="77" t="inlineStr">
        <is>
          <t>D9</t>
        </is>
      </c>
      <c r="OG7" s="77" t="inlineStr">
        <is>
          <t>N10</t>
        </is>
      </c>
      <c r="OH7" s="77" t="inlineStr">
        <is>
          <t>D10</t>
        </is>
      </c>
      <c r="OI7" s="78" t="inlineStr">
        <is>
          <t>MEDIE</t>
        </is>
      </c>
      <c r="OJ7" s="76" t="inlineStr">
        <is>
          <t>A1</t>
        </is>
      </c>
      <c r="OK7" s="76" t="inlineStr">
        <is>
          <t>A2</t>
        </is>
      </c>
      <c r="OL7" s="76" t="inlineStr">
        <is>
          <t>A3</t>
        </is>
      </c>
      <c r="OM7" s="76" t="inlineStr">
        <is>
          <t>A4</t>
        </is>
      </c>
      <c r="ON7" s="76" t="inlineStr">
        <is>
          <t>A5</t>
        </is>
      </c>
      <c r="OO7" s="76" t="inlineStr">
        <is>
          <t>A6</t>
        </is>
      </c>
      <c r="OP7" s="76" t="inlineStr">
        <is>
          <t>A7</t>
        </is>
      </c>
      <c r="OQ7" s="76" t="inlineStr">
        <is>
          <t>A8</t>
        </is>
      </c>
      <c r="OR7" s="76" t="inlineStr">
        <is>
          <t>A9</t>
        </is>
      </c>
      <c r="OS7" s="76" t="inlineStr">
        <is>
          <t>A10</t>
        </is>
      </c>
      <c r="OT7" s="76" t="inlineStr">
        <is>
          <t>A11</t>
        </is>
      </c>
      <c r="OU7" s="76" t="inlineStr">
        <is>
          <t>A12</t>
        </is>
      </c>
      <c r="OV7" s="76" t="inlineStr">
        <is>
          <t>A13</t>
        </is>
      </c>
      <c r="OW7" s="76" t="inlineStr">
        <is>
          <t>A14</t>
        </is>
      </c>
      <c r="OX7" s="76" t="inlineStr">
        <is>
          <t>A15</t>
        </is>
      </c>
      <c r="OY7" s="76" t="inlineStr">
        <is>
          <t>A16</t>
        </is>
      </c>
      <c r="OZ7" s="76" t="inlineStr">
        <is>
          <t>A17</t>
        </is>
      </c>
      <c r="PA7" s="76" t="inlineStr">
        <is>
          <t>A18</t>
        </is>
      </c>
      <c r="PB7" s="76" t="inlineStr">
        <is>
          <t>A19</t>
        </is>
      </c>
      <c r="PC7" s="76" t="inlineStr">
        <is>
          <t>A20</t>
        </is>
      </c>
      <c r="PD7" s="76" t="inlineStr">
        <is>
          <t>A21</t>
        </is>
      </c>
      <c r="PE7" s="76" t="inlineStr">
        <is>
          <t>A22</t>
        </is>
      </c>
      <c r="PF7" s="76" t="inlineStr">
        <is>
          <t>A23</t>
        </is>
      </c>
      <c r="PG7" s="76" t="inlineStr">
        <is>
          <t>A24</t>
        </is>
      </c>
      <c r="PH7" s="76" t="inlineStr">
        <is>
          <t>A25</t>
        </is>
      </c>
      <c r="PI7" s="76" t="inlineStr">
        <is>
          <t>A26</t>
        </is>
      </c>
      <c r="PJ7" s="76" t="inlineStr">
        <is>
          <t>A27</t>
        </is>
      </c>
      <c r="PK7" s="76" t="inlineStr">
        <is>
          <t>A28</t>
        </is>
      </c>
      <c r="PL7" s="76" t="inlineStr">
        <is>
          <t>A29</t>
        </is>
      </c>
      <c r="PM7" s="76" t="inlineStr">
        <is>
          <t>A30</t>
        </is>
      </c>
      <c r="PN7" s="77" t="inlineStr">
        <is>
          <t>ABS.MOT</t>
        </is>
      </c>
      <c r="PO7" s="77" t="inlineStr">
        <is>
          <t>ABS.NEM</t>
        </is>
      </c>
      <c r="PP7" s="77" t="inlineStr">
        <is>
          <t>N1</t>
        </is>
      </c>
      <c r="PQ7" s="77" t="inlineStr">
        <is>
          <t>D1</t>
        </is>
      </c>
      <c r="PR7" s="77" t="inlineStr">
        <is>
          <t>N2</t>
        </is>
      </c>
      <c r="PS7" s="77" t="inlineStr">
        <is>
          <t>D2</t>
        </is>
      </c>
      <c r="PT7" s="77" t="inlineStr">
        <is>
          <t>N3</t>
        </is>
      </c>
      <c r="PU7" s="77" t="inlineStr">
        <is>
          <t>D3</t>
        </is>
      </c>
      <c r="PV7" s="77" t="inlineStr">
        <is>
          <t>N4</t>
        </is>
      </c>
      <c r="PW7" s="77" t="inlineStr">
        <is>
          <t>D4</t>
        </is>
      </c>
      <c r="PX7" s="77" t="inlineStr">
        <is>
          <t>N5</t>
        </is>
      </c>
      <c r="PY7" s="77" t="inlineStr">
        <is>
          <t>D5</t>
        </is>
      </c>
      <c r="PZ7" s="77" t="inlineStr">
        <is>
          <t>N6</t>
        </is>
      </c>
      <c r="QA7" s="77" t="inlineStr">
        <is>
          <t>D6</t>
        </is>
      </c>
      <c r="QB7" s="77" t="inlineStr">
        <is>
          <t>N7</t>
        </is>
      </c>
      <c r="QC7" s="77" t="inlineStr">
        <is>
          <t>D7</t>
        </is>
      </c>
      <c r="QD7" s="77" t="inlineStr">
        <is>
          <t>N8</t>
        </is>
      </c>
      <c r="QE7" s="77" t="inlineStr">
        <is>
          <t>D8</t>
        </is>
      </c>
      <c r="QF7" s="77" t="inlineStr">
        <is>
          <t>N9</t>
        </is>
      </c>
      <c r="QG7" s="77" t="inlineStr">
        <is>
          <t>D9</t>
        </is>
      </c>
      <c r="QH7" s="77" t="inlineStr">
        <is>
          <t>N10</t>
        </is>
      </c>
      <c r="QI7" s="77" t="inlineStr">
        <is>
          <t>D10</t>
        </is>
      </c>
      <c r="QJ7" s="78" t="inlineStr">
        <is>
          <t>MEDIE</t>
        </is>
      </c>
      <c r="QK7" s="76" t="inlineStr">
        <is>
          <t>A1</t>
        </is>
      </c>
      <c r="QL7" s="76" t="inlineStr">
        <is>
          <t>A2</t>
        </is>
      </c>
      <c r="QM7" s="76" t="inlineStr">
        <is>
          <t>A3</t>
        </is>
      </c>
      <c r="QN7" s="76" t="inlineStr">
        <is>
          <t>A4</t>
        </is>
      </c>
      <c r="QO7" s="76" t="inlineStr">
        <is>
          <t>A5</t>
        </is>
      </c>
      <c r="QP7" s="76" t="inlineStr">
        <is>
          <t>A6</t>
        </is>
      </c>
      <c r="QQ7" s="76" t="inlineStr">
        <is>
          <t>A7</t>
        </is>
      </c>
      <c r="QR7" s="76" t="inlineStr">
        <is>
          <t>A8</t>
        </is>
      </c>
      <c r="QS7" s="76" t="inlineStr">
        <is>
          <t>A9</t>
        </is>
      </c>
      <c r="QT7" s="76" t="inlineStr">
        <is>
          <t>A10</t>
        </is>
      </c>
      <c r="QU7" s="76" t="inlineStr">
        <is>
          <t>A11</t>
        </is>
      </c>
      <c r="QV7" s="76" t="inlineStr">
        <is>
          <t>A12</t>
        </is>
      </c>
      <c r="QW7" s="76" t="inlineStr">
        <is>
          <t>A13</t>
        </is>
      </c>
      <c r="QX7" s="76" t="inlineStr">
        <is>
          <t>A14</t>
        </is>
      </c>
      <c r="QY7" s="76" t="inlineStr">
        <is>
          <t>A15</t>
        </is>
      </c>
      <c r="QZ7" s="76" t="inlineStr">
        <is>
          <t>A16</t>
        </is>
      </c>
      <c r="RA7" s="76" t="inlineStr">
        <is>
          <t>A17</t>
        </is>
      </c>
      <c r="RB7" s="76" t="inlineStr">
        <is>
          <t>A18</t>
        </is>
      </c>
      <c r="RC7" s="76" t="inlineStr">
        <is>
          <t>A19</t>
        </is>
      </c>
      <c r="RD7" s="76" t="inlineStr">
        <is>
          <t>A20</t>
        </is>
      </c>
      <c r="RE7" s="76" t="inlineStr">
        <is>
          <t>A21</t>
        </is>
      </c>
      <c r="RF7" s="76" t="inlineStr">
        <is>
          <t>A22</t>
        </is>
      </c>
      <c r="RG7" s="76" t="inlineStr">
        <is>
          <t>A23</t>
        </is>
      </c>
      <c r="RH7" s="76" t="inlineStr">
        <is>
          <t>A24</t>
        </is>
      </c>
      <c r="RI7" s="76" t="inlineStr">
        <is>
          <t>A25</t>
        </is>
      </c>
      <c r="RJ7" s="76" t="inlineStr">
        <is>
          <t>A26</t>
        </is>
      </c>
      <c r="RK7" s="76" t="inlineStr">
        <is>
          <t>A27</t>
        </is>
      </c>
      <c r="RL7" s="76" t="inlineStr">
        <is>
          <t>A28</t>
        </is>
      </c>
      <c r="RM7" s="76" t="inlineStr">
        <is>
          <t>A29</t>
        </is>
      </c>
      <c r="RN7" s="76" t="inlineStr">
        <is>
          <t>A30</t>
        </is>
      </c>
      <c r="RO7" s="77" t="inlineStr">
        <is>
          <t>ABS.MOT</t>
        </is>
      </c>
      <c r="RP7" s="77" t="inlineStr">
        <is>
          <t>ABS.NEM</t>
        </is>
      </c>
      <c r="RQ7" s="77" t="inlineStr">
        <is>
          <t>N1</t>
        </is>
      </c>
      <c r="RR7" s="77" t="inlineStr">
        <is>
          <t>D1</t>
        </is>
      </c>
      <c r="RS7" s="77" t="inlineStr">
        <is>
          <t>N2</t>
        </is>
      </c>
      <c r="RT7" s="77" t="inlineStr">
        <is>
          <t>D2</t>
        </is>
      </c>
      <c r="RU7" s="77" t="inlineStr">
        <is>
          <t>N3</t>
        </is>
      </c>
      <c r="RV7" s="77" t="inlineStr">
        <is>
          <t>D3</t>
        </is>
      </c>
      <c r="RW7" s="77" t="inlineStr">
        <is>
          <t>N4</t>
        </is>
      </c>
      <c r="RX7" s="77" t="inlineStr">
        <is>
          <t>D4</t>
        </is>
      </c>
      <c r="RY7" s="77" t="inlineStr">
        <is>
          <t>N5</t>
        </is>
      </c>
      <c r="RZ7" s="77" t="inlineStr">
        <is>
          <t>D5</t>
        </is>
      </c>
      <c r="SA7" s="77" t="inlineStr">
        <is>
          <t>N6</t>
        </is>
      </c>
      <c r="SB7" s="77" t="inlineStr">
        <is>
          <t>D6</t>
        </is>
      </c>
      <c r="SC7" s="77" t="inlineStr">
        <is>
          <t>N7</t>
        </is>
      </c>
      <c r="SD7" s="77" t="inlineStr">
        <is>
          <t>D7</t>
        </is>
      </c>
      <c r="SE7" s="77" t="inlineStr">
        <is>
          <t>N8</t>
        </is>
      </c>
      <c r="SF7" s="77" t="inlineStr">
        <is>
          <t>D8</t>
        </is>
      </c>
      <c r="SG7" s="77" t="inlineStr">
        <is>
          <t>N9</t>
        </is>
      </c>
      <c r="SH7" s="77" t="inlineStr">
        <is>
          <t>D9</t>
        </is>
      </c>
      <c r="SI7" s="77" t="inlineStr">
        <is>
          <t>N10</t>
        </is>
      </c>
      <c r="SJ7" s="77" t="inlineStr">
        <is>
          <t>D10</t>
        </is>
      </c>
      <c r="SK7" s="78" t="inlineStr">
        <is>
          <t>MEDIE</t>
        </is>
      </c>
      <c r="SL7" s="76" t="inlineStr">
        <is>
          <t>A1</t>
        </is>
      </c>
      <c r="SM7" s="76" t="inlineStr">
        <is>
          <t>A2</t>
        </is>
      </c>
      <c r="SN7" s="76" t="inlineStr">
        <is>
          <t>A3</t>
        </is>
      </c>
      <c r="SO7" s="76" t="inlineStr">
        <is>
          <t>A4</t>
        </is>
      </c>
      <c r="SP7" s="76" t="inlineStr">
        <is>
          <t>A5</t>
        </is>
      </c>
      <c r="SQ7" s="76" t="inlineStr">
        <is>
          <t>A6</t>
        </is>
      </c>
      <c r="SR7" s="76" t="inlineStr">
        <is>
          <t>A7</t>
        </is>
      </c>
      <c r="SS7" s="76" t="inlineStr">
        <is>
          <t>A8</t>
        </is>
      </c>
      <c r="ST7" s="76" t="inlineStr">
        <is>
          <t>A9</t>
        </is>
      </c>
      <c r="SU7" s="76" t="inlineStr">
        <is>
          <t>A10</t>
        </is>
      </c>
      <c r="SV7" s="76" t="inlineStr">
        <is>
          <t>A11</t>
        </is>
      </c>
      <c r="SW7" s="76" t="inlineStr">
        <is>
          <t>A12</t>
        </is>
      </c>
      <c r="SX7" s="76" t="inlineStr">
        <is>
          <t>A13</t>
        </is>
      </c>
      <c r="SY7" s="76" t="inlineStr">
        <is>
          <t>A14</t>
        </is>
      </c>
      <c r="SZ7" s="76" t="inlineStr">
        <is>
          <t>A15</t>
        </is>
      </c>
      <c r="TA7" s="76" t="inlineStr">
        <is>
          <t>A16</t>
        </is>
      </c>
      <c r="TB7" s="76" t="inlineStr">
        <is>
          <t>A17</t>
        </is>
      </c>
      <c r="TC7" s="76" t="inlineStr">
        <is>
          <t>A18</t>
        </is>
      </c>
      <c r="TD7" s="76" t="inlineStr">
        <is>
          <t>A19</t>
        </is>
      </c>
      <c r="TE7" s="76" t="inlineStr">
        <is>
          <t>A20</t>
        </is>
      </c>
      <c r="TF7" s="76" t="inlineStr">
        <is>
          <t>A21</t>
        </is>
      </c>
      <c r="TG7" s="76" t="inlineStr">
        <is>
          <t>A22</t>
        </is>
      </c>
      <c r="TH7" s="76" t="inlineStr">
        <is>
          <t>A23</t>
        </is>
      </c>
      <c r="TI7" s="76" t="inlineStr">
        <is>
          <t>A24</t>
        </is>
      </c>
      <c r="TJ7" s="76" t="inlineStr">
        <is>
          <t>A25</t>
        </is>
      </c>
      <c r="TK7" s="76" t="inlineStr">
        <is>
          <t>A26</t>
        </is>
      </c>
      <c r="TL7" s="76" t="inlineStr">
        <is>
          <t>A27</t>
        </is>
      </c>
      <c r="TM7" s="76" t="inlineStr">
        <is>
          <t>A28</t>
        </is>
      </c>
      <c r="TN7" s="76" t="inlineStr">
        <is>
          <t>A29</t>
        </is>
      </c>
      <c r="TO7" s="76" t="inlineStr">
        <is>
          <t>A30</t>
        </is>
      </c>
      <c r="TP7" s="77" t="inlineStr">
        <is>
          <t>ABS.MOT</t>
        </is>
      </c>
      <c r="TQ7" s="77" t="inlineStr">
        <is>
          <t>ABS.NEM</t>
        </is>
      </c>
      <c r="TR7" s="77" t="inlineStr">
        <is>
          <t>N1</t>
        </is>
      </c>
      <c r="TS7" s="77" t="inlineStr">
        <is>
          <t>D1</t>
        </is>
      </c>
      <c r="TT7" s="77" t="inlineStr">
        <is>
          <t>N2</t>
        </is>
      </c>
      <c r="TU7" s="77" t="inlineStr">
        <is>
          <t>D2</t>
        </is>
      </c>
      <c r="TV7" s="77" t="inlineStr">
        <is>
          <t>N3</t>
        </is>
      </c>
      <c r="TW7" s="77" t="inlineStr">
        <is>
          <t>D3</t>
        </is>
      </c>
      <c r="TX7" s="77" t="inlineStr">
        <is>
          <t>N4</t>
        </is>
      </c>
      <c r="TY7" s="77" t="inlineStr">
        <is>
          <t>D4</t>
        </is>
      </c>
      <c r="TZ7" s="77" t="inlineStr">
        <is>
          <t>N5</t>
        </is>
      </c>
      <c r="UA7" s="77" t="inlineStr">
        <is>
          <t>D5</t>
        </is>
      </c>
      <c r="UB7" s="77" t="inlineStr">
        <is>
          <t>N6</t>
        </is>
      </c>
      <c r="UC7" s="77" t="inlineStr">
        <is>
          <t>D6</t>
        </is>
      </c>
      <c r="UD7" s="77" t="inlineStr">
        <is>
          <t>N7</t>
        </is>
      </c>
      <c r="UE7" s="77" t="inlineStr">
        <is>
          <t>D7</t>
        </is>
      </c>
      <c r="UF7" s="77" t="inlineStr">
        <is>
          <t>N8</t>
        </is>
      </c>
      <c r="UG7" s="77" t="inlineStr">
        <is>
          <t>D8</t>
        </is>
      </c>
      <c r="UH7" s="77" t="inlineStr">
        <is>
          <t>N9</t>
        </is>
      </c>
      <c r="UI7" s="77" t="inlineStr">
        <is>
          <t>D9</t>
        </is>
      </c>
      <c r="UJ7" s="77" t="inlineStr">
        <is>
          <t>N10</t>
        </is>
      </c>
      <c r="UK7" s="77" t="inlineStr">
        <is>
          <t>D10</t>
        </is>
      </c>
      <c r="UL7" s="78" t="inlineStr">
        <is>
          <t>MEDIE</t>
        </is>
      </c>
      <c r="UM7" s="76" t="inlineStr">
        <is>
          <t>A1</t>
        </is>
      </c>
      <c r="UN7" s="76" t="inlineStr">
        <is>
          <t>A2</t>
        </is>
      </c>
      <c r="UO7" s="76" t="inlineStr">
        <is>
          <t>A3</t>
        </is>
      </c>
      <c r="UP7" s="76" t="inlineStr">
        <is>
          <t>A4</t>
        </is>
      </c>
      <c r="UQ7" s="76" t="inlineStr">
        <is>
          <t>A5</t>
        </is>
      </c>
      <c r="UR7" s="76" t="inlineStr">
        <is>
          <t>A6</t>
        </is>
      </c>
      <c r="US7" s="76" t="inlineStr">
        <is>
          <t>A7</t>
        </is>
      </c>
      <c r="UT7" s="76" t="inlineStr">
        <is>
          <t>A8</t>
        </is>
      </c>
      <c r="UU7" s="76" t="inlineStr">
        <is>
          <t>A9</t>
        </is>
      </c>
      <c r="UV7" s="76" t="inlineStr">
        <is>
          <t>A10</t>
        </is>
      </c>
      <c r="UW7" s="76" t="inlineStr">
        <is>
          <t>A11</t>
        </is>
      </c>
      <c r="UX7" s="76" t="inlineStr">
        <is>
          <t>A12</t>
        </is>
      </c>
      <c r="UY7" s="76" t="inlineStr">
        <is>
          <t>A13</t>
        </is>
      </c>
      <c r="UZ7" s="76" t="inlineStr">
        <is>
          <t>A14</t>
        </is>
      </c>
      <c r="VA7" s="76" t="inlineStr">
        <is>
          <t>A15</t>
        </is>
      </c>
      <c r="VB7" s="76" t="inlineStr">
        <is>
          <t>A16</t>
        </is>
      </c>
      <c r="VC7" s="76" t="inlineStr">
        <is>
          <t>A17</t>
        </is>
      </c>
      <c r="VD7" s="76" t="inlineStr">
        <is>
          <t>A18</t>
        </is>
      </c>
      <c r="VE7" s="76" t="inlineStr">
        <is>
          <t>A19</t>
        </is>
      </c>
      <c r="VF7" s="76" t="inlineStr">
        <is>
          <t>A20</t>
        </is>
      </c>
      <c r="VG7" s="76" t="inlineStr">
        <is>
          <t>A21</t>
        </is>
      </c>
      <c r="VH7" s="76" t="inlineStr">
        <is>
          <t>A22</t>
        </is>
      </c>
      <c r="VI7" s="76" t="inlineStr">
        <is>
          <t>A23</t>
        </is>
      </c>
      <c r="VJ7" s="76" t="inlineStr">
        <is>
          <t>A24</t>
        </is>
      </c>
      <c r="VK7" s="76" t="inlineStr">
        <is>
          <t>A25</t>
        </is>
      </c>
      <c r="VL7" s="76" t="inlineStr">
        <is>
          <t>A26</t>
        </is>
      </c>
      <c r="VM7" s="76" t="inlineStr">
        <is>
          <t>A27</t>
        </is>
      </c>
      <c r="VN7" s="76" t="inlineStr">
        <is>
          <t>A28</t>
        </is>
      </c>
      <c r="VO7" s="76" t="inlineStr">
        <is>
          <t>A29</t>
        </is>
      </c>
      <c r="VP7" s="76" t="inlineStr">
        <is>
          <t>A30</t>
        </is>
      </c>
      <c r="VQ7" s="77" t="inlineStr">
        <is>
          <t>ABS.MOT</t>
        </is>
      </c>
      <c r="VR7" s="77" t="inlineStr">
        <is>
          <t>ABS.NEM</t>
        </is>
      </c>
      <c r="VS7" s="77" t="inlineStr">
        <is>
          <t>N1</t>
        </is>
      </c>
      <c r="VT7" s="77" t="inlineStr">
        <is>
          <t>D1</t>
        </is>
      </c>
      <c r="VU7" s="77" t="inlineStr">
        <is>
          <t>N2</t>
        </is>
      </c>
      <c r="VV7" s="77" t="inlineStr">
        <is>
          <t>D2</t>
        </is>
      </c>
      <c r="VW7" s="77" t="inlineStr">
        <is>
          <t>N3</t>
        </is>
      </c>
      <c r="VX7" s="77" t="inlineStr">
        <is>
          <t>D3</t>
        </is>
      </c>
      <c r="VY7" s="77" t="inlineStr">
        <is>
          <t>N4</t>
        </is>
      </c>
      <c r="VZ7" s="77" t="inlineStr">
        <is>
          <t>D4</t>
        </is>
      </c>
      <c r="WA7" s="77" t="inlineStr">
        <is>
          <t>N5</t>
        </is>
      </c>
      <c r="WB7" s="77" t="inlineStr">
        <is>
          <t>D5</t>
        </is>
      </c>
      <c r="WC7" s="77" t="inlineStr">
        <is>
          <t>N6</t>
        </is>
      </c>
      <c r="WD7" s="77" t="inlineStr">
        <is>
          <t>D6</t>
        </is>
      </c>
      <c r="WE7" s="77" t="inlineStr">
        <is>
          <t>N7</t>
        </is>
      </c>
      <c r="WF7" s="77" t="inlineStr">
        <is>
          <t>D7</t>
        </is>
      </c>
      <c r="WG7" s="77" t="inlineStr">
        <is>
          <t>N8</t>
        </is>
      </c>
      <c r="WH7" s="77" t="inlineStr">
        <is>
          <t>D8</t>
        </is>
      </c>
      <c r="WI7" s="77" t="inlineStr">
        <is>
          <t>N9</t>
        </is>
      </c>
      <c r="WJ7" s="77" t="inlineStr">
        <is>
          <t>D9</t>
        </is>
      </c>
      <c r="WK7" s="77" t="inlineStr">
        <is>
          <t>N10</t>
        </is>
      </c>
      <c r="WL7" s="77" t="inlineStr">
        <is>
          <t>D10</t>
        </is>
      </c>
      <c r="WM7" s="78" t="inlineStr">
        <is>
          <t>MEDIE</t>
        </is>
      </c>
      <c r="WN7" s="76" t="inlineStr">
        <is>
          <t>A1</t>
        </is>
      </c>
      <c r="WO7" s="76" t="inlineStr">
        <is>
          <t>A2</t>
        </is>
      </c>
      <c r="WP7" s="76" t="inlineStr">
        <is>
          <t>A3</t>
        </is>
      </c>
      <c r="WQ7" s="76" t="inlineStr">
        <is>
          <t>A4</t>
        </is>
      </c>
      <c r="WR7" s="76" t="inlineStr">
        <is>
          <t>A5</t>
        </is>
      </c>
      <c r="WS7" s="76" t="inlineStr">
        <is>
          <t>A6</t>
        </is>
      </c>
      <c r="WT7" s="76" t="inlineStr">
        <is>
          <t>A7</t>
        </is>
      </c>
      <c r="WU7" s="76" t="inlineStr">
        <is>
          <t>A8</t>
        </is>
      </c>
      <c r="WV7" s="76" t="inlineStr">
        <is>
          <t>A9</t>
        </is>
      </c>
      <c r="WW7" s="76" t="inlineStr">
        <is>
          <t>A10</t>
        </is>
      </c>
      <c r="WX7" s="76" t="inlineStr">
        <is>
          <t>A11</t>
        </is>
      </c>
      <c r="WY7" s="76" t="inlineStr">
        <is>
          <t>A12</t>
        </is>
      </c>
      <c r="WZ7" s="76" t="inlineStr">
        <is>
          <t>A13</t>
        </is>
      </c>
      <c r="XA7" s="76" t="inlineStr">
        <is>
          <t>A14</t>
        </is>
      </c>
      <c r="XB7" s="76" t="inlineStr">
        <is>
          <t>A15</t>
        </is>
      </c>
      <c r="XC7" s="76" t="inlineStr">
        <is>
          <t>A16</t>
        </is>
      </c>
      <c r="XD7" s="76" t="inlineStr">
        <is>
          <t>A17</t>
        </is>
      </c>
      <c r="XE7" s="76" t="inlineStr">
        <is>
          <t>A18</t>
        </is>
      </c>
      <c r="XF7" s="76" t="inlineStr">
        <is>
          <t>A19</t>
        </is>
      </c>
      <c r="XG7" s="76" t="inlineStr">
        <is>
          <t>A20</t>
        </is>
      </c>
      <c r="XH7" s="76" t="inlineStr">
        <is>
          <t>A21</t>
        </is>
      </c>
      <c r="XI7" s="76" t="inlineStr">
        <is>
          <t>A22</t>
        </is>
      </c>
      <c r="XJ7" s="76" t="inlineStr">
        <is>
          <t>A23</t>
        </is>
      </c>
      <c r="XK7" s="76" t="inlineStr">
        <is>
          <t>A24</t>
        </is>
      </c>
      <c r="XL7" s="76" t="inlineStr">
        <is>
          <t>A25</t>
        </is>
      </c>
      <c r="XM7" s="76" t="inlineStr">
        <is>
          <t>A26</t>
        </is>
      </c>
      <c r="XN7" s="76" t="inlineStr">
        <is>
          <t>A27</t>
        </is>
      </c>
      <c r="XO7" s="76" t="inlineStr">
        <is>
          <t>A28</t>
        </is>
      </c>
      <c r="XP7" s="76" t="inlineStr">
        <is>
          <t>A29</t>
        </is>
      </c>
      <c r="XQ7" s="76" t="inlineStr">
        <is>
          <t>A30</t>
        </is>
      </c>
      <c r="XR7" s="77" t="inlineStr">
        <is>
          <t>ABS.MOT</t>
        </is>
      </c>
      <c r="XS7" s="77" t="inlineStr">
        <is>
          <t>ABS.NEM</t>
        </is>
      </c>
      <c r="XT7" s="77" t="inlineStr">
        <is>
          <t>N1</t>
        </is>
      </c>
      <c r="XU7" s="77" t="inlineStr">
        <is>
          <t>D1</t>
        </is>
      </c>
      <c r="XV7" s="77" t="inlineStr">
        <is>
          <t>N2</t>
        </is>
      </c>
      <c r="XW7" s="77" t="inlineStr">
        <is>
          <t>D2</t>
        </is>
      </c>
      <c r="XX7" s="77" t="inlineStr">
        <is>
          <t>N3</t>
        </is>
      </c>
      <c r="XY7" s="77" t="inlineStr">
        <is>
          <t>D3</t>
        </is>
      </c>
      <c r="XZ7" s="77" t="inlineStr">
        <is>
          <t>N4</t>
        </is>
      </c>
      <c r="YA7" s="77" t="inlineStr">
        <is>
          <t>D4</t>
        </is>
      </c>
      <c r="YB7" s="77" t="inlineStr">
        <is>
          <t>N5</t>
        </is>
      </c>
      <c r="YC7" s="77" t="inlineStr">
        <is>
          <t>D5</t>
        </is>
      </c>
      <c r="YD7" s="77" t="inlineStr">
        <is>
          <t>N6</t>
        </is>
      </c>
      <c r="YE7" s="77" t="inlineStr">
        <is>
          <t>D6</t>
        </is>
      </c>
      <c r="YF7" s="77" t="inlineStr">
        <is>
          <t>N7</t>
        </is>
      </c>
      <c r="YG7" s="77" t="inlineStr">
        <is>
          <t>D7</t>
        </is>
      </c>
      <c r="YH7" s="77" t="inlineStr">
        <is>
          <t>N8</t>
        </is>
      </c>
      <c r="YI7" s="77" t="inlineStr">
        <is>
          <t>D8</t>
        </is>
      </c>
      <c r="YJ7" s="77" t="inlineStr">
        <is>
          <t>N9</t>
        </is>
      </c>
      <c r="YK7" s="77" t="inlineStr">
        <is>
          <t>D9</t>
        </is>
      </c>
      <c r="YL7" s="77" t="inlineStr">
        <is>
          <t>N10</t>
        </is>
      </c>
      <c r="YM7" s="77" t="inlineStr">
        <is>
          <t>D10</t>
        </is>
      </c>
      <c r="YN7" s="78" t="inlineStr">
        <is>
          <t>MEDIE</t>
        </is>
      </c>
      <c r="YO7" s="76" t="inlineStr">
        <is>
          <t>A1</t>
        </is>
      </c>
      <c r="YP7" s="76" t="inlineStr">
        <is>
          <t>A2</t>
        </is>
      </c>
      <c r="YQ7" s="76" t="inlineStr">
        <is>
          <t>A3</t>
        </is>
      </c>
      <c r="YR7" s="76" t="inlineStr">
        <is>
          <t>A4</t>
        </is>
      </c>
      <c r="YS7" s="76" t="inlineStr">
        <is>
          <t>A5</t>
        </is>
      </c>
      <c r="YT7" s="76" t="inlineStr">
        <is>
          <t>A6</t>
        </is>
      </c>
      <c r="YU7" s="76" t="inlineStr">
        <is>
          <t>A7</t>
        </is>
      </c>
      <c r="YV7" s="76" t="inlineStr">
        <is>
          <t>A8</t>
        </is>
      </c>
      <c r="YW7" s="76" t="inlineStr">
        <is>
          <t>A9</t>
        </is>
      </c>
      <c r="YX7" s="76" t="inlineStr">
        <is>
          <t>A10</t>
        </is>
      </c>
      <c r="YY7" s="76" t="inlineStr">
        <is>
          <t>A11</t>
        </is>
      </c>
      <c r="YZ7" s="76" t="inlineStr">
        <is>
          <t>A12</t>
        </is>
      </c>
      <c r="ZA7" s="76" t="inlineStr">
        <is>
          <t>A13</t>
        </is>
      </c>
      <c r="ZB7" s="76" t="inlineStr">
        <is>
          <t>A14</t>
        </is>
      </c>
      <c r="ZC7" s="76" t="inlineStr">
        <is>
          <t>A15</t>
        </is>
      </c>
      <c r="ZD7" s="76" t="inlineStr">
        <is>
          <t>A16</t>
        </is>
      </c>
      <c r="ZE7" s="76" t="inlineStr">
        <is>
          <t>A17</t>
        </is>
      </c>
      <c r="ZF7" s="76" t="inlineStr">
        <is>
          <t>A18</t>
        </is>
      </c>
      <c r="ZG7" s="76" t="inlineStr">
        <is>
          <t>A19</t>
        </is>
      </c>
      <c r="ZH7" s="76" t="inlineStr">
        <is>
          <t>A20</t>
        </is>
      </c>
      <c r="ZI7" s="76" t="inlineStr">
        <is>
          <t>A21</t>
        </is>
      </c>
      <c r="ZJ7" s="76" t="inlineStr">
        <is>
          <t>A22</t>
        </is>
      </c>
      <c r="ZK7" s="76" t="inlineStr">
        <is>
          <t>A23</t>
        </is>
      </c>
      <c r="ZL7" s="76" t="inlineStr">
        <is>
          <t>A24</t>
        </is>
      </c>
      <c r="ZM7" s="76" t="inlineStr">
        <is>
          <t>A25</t>
        </is>
      </c>
      <c r="ZN7" s="76" t="inlineStr">
        <is>
          <t>A26</t>
        </is>
      </c>
      <c r="ZO7" s="76" t="inlineStr">
        <is>
          <t>A27</t>
        </is>
      </c>
      <c r="ZP7" s="76" t="inlineStr">
        <is>
          <t>A28</t>
        </is>
      </c>
      <c r="ZQ7" s="76" t="inlineStr">
        <is>
          <t>A29</t>
        </is>
      </c>
      <c r="ZR7" s="76" t="inlineStr">
        <is>
          <t>A30</t>
        </is>
      </c>
      <c r="ZS7" s="77" t="inlineStr">
        <is>
          <t>ABS.MOT</t>
        </is>
      </c>
      <c r="ZT7" s="77" t="inlineStr">
        <is>
          <t>ABS.NEM</t>
        </is>
      </c>
      <c r="ZU7" s="77" t="inlineStr">
        <is>
          <t>N1</t>
        </is>
      </c>
      <c r="ZV7" s="77" t="inlineStr">
        <is>
          <t>D1</t>
        </is>
      </c>
      <c r="ZW7" s="77" t="inlineStr">
        <is>
          <t>N2</t>
        </is>
      </c>
      <c r="ZX7" s="77" t="inlineStr">
        <is>
          <t>D2</t>
        </is>
      </c>
      <c r="ZY7" s="77" t="inlineStr">
        <is>
          <t>N3</t>
        </is>
      </c>
      <c r="ZZ7" s="77" t="inlineStr">
        <is>
          <t>D3</t>
        </is>
      </c>
      <c r="AAA7" s="77" t="inlineStr">
        <is>
          <t>N4</t>
        </is>
      </c>
      <c r="AAB7" s="77" t="inlineStr">
        <is>
          <t>D4</t>
        </is>
      </c>
      <c r="AAC7" s="77" t="inlineStr">
        <is>
          <t>N5</t>
        </is>
      </c>
      <c r="AAD7" s="77" t="inlineStr">
        <is>
          <t>D5</t>
        </is>
      </c>
      <c r="AAE7" s="77" t="inlineStr">
        <is>
          <t>N6</t>
        </is>
      </c>
      <c r="AAF7" s="77" t="inlineStr">
        <is>
          <t>D6</t>
        </is>
      </c>
      <c r="AAG7" s="77" t="inlineStr">
        <is>
          <t>N7</t>
        </is>
      </c>
      <c r="AAH7" s="77" t="inlineStr">
        <is>
          <t>D7</t>
        </is>
      </c>
      <c r="AAI7" s="77" t="inlineStr">
        <is>
          <t>N8</t>
        </is>
      </c>
      <c r="AAJ7" s="77" t="inlineStr">
        <is>
          <t>D8</t>
        </is>
      </c>
      <c r="AAK7" s="77" t="inlineStr">
        <is>
          <t>N9</t>
        </is>
      </c>
      <c r="AAL7" s="77" t="inlineStr">
        <is>
          <t>D9</t>
        </is>
      </c>
      <c r="AAM7" s="77" t="inlineStr">
        <is>
          <t>N10</t>
        </is>
      </c>
      <c r="AAN7" s="77" t="inlineStr">
        <is>
          <t>D10</t>
        </is>
      </c>
      <c r="AAO7" s="78" t="inlineStr">
        <is>
          <t>MEDIE</t>
        </is>
      </c>
      <c r="AAP7" s="76" t="inlineStr">
        <is>
          <t>A1</t>
        </is>
      </c>
      <c r="AAQ7" s="76" t="inlineStr">
        <is>
          <t>A2</t>
        </is>
      </c>
      <c r="AAR7" s="76" t="inlineStr">
        <is>
          <t>A3</t>
        </is>
      </c>
      <c r="AAS7" s="76" t="inlineStr">
        <is>
          <t>A4</t>
        </is>
      </c>
      <c r="AAT7" s="76" t="inlineStr">
        <is>
          <t>A5</t>
        </is>
      </c>
      <c r="AAU7" s="76" t="inlineStr">
        <is>
          <t>A6</t>
        </is>
      </c>
      <c r="AAV7" s="76" t="inlineStr">
        <is>
          <t>A7</t>
        </is>
      </c>
      <c r="AAW7" s="76" t="inlineStr">
        <is>
          <t>A8</t>
        </is>
      </c>
      <c r="AAX7" s="76" t="inlineStr">
        <is>
          <t>A9</t>
        </is>
      </c>
      <c r="AAY7" s="76" t="inlineStr">
        <is>
          <t>A10</t>
        </is>
      </c>
      <c r="AAZ7" s="76" t="inlineStr">
        <is>
          <t>A11</t>
        </is>
      </c>
      <c r="ABA7" s="76" t="inlineStr">
        <is>
          <t>A12</t>
        </is>
      </c>
      <c r="ABB7" s="76" t="inlineStr">
        <is>
          <t>A13</t>
        </is>
      </c>
      <c r="ABC7" s="76" t="inlineStr">
        <is>
          <t>A14</t>
        </is>
      </c>
      <c r="ABD7" s="76" t="inlineStr">
        <is>
          <t>A15</t>
        </is>
      </c>
      <c r="ABE7" s="76" t="inlineStr">
        <is>
          <t>A16</t>
        </is>
      </c>
      <c r="ABF7" s="76" t="inlineStr">
        <is>
          <t>A17</t>
        </is>
      </c>
      <c r="ABG7" s="76" t="inlineStr">
        <is>
          <t>A18</t>
        </is>
      </c>
      <c r="ABH7" s="76" t="inlineStr">
        <is>
          <t>A19</t>
        </is>
      </c>
      <c r="ABI7" s="76" t="inlineStr">
        <is>
          <t>A20</t>
        </is>
      </c>
      <c r="ABJ7" s="76" t="inlineStr">
        <is>
          <t>A21</t>
        </is>
      </c>
      <c r="ABK7" s="76" t="inlineStr">
        <is>
          <t>A22</t>
        </is>
      </c>
      <c r="ABL7" s="76" t="inlineStr">
        <is>
          <t>A23</t>
        </is>
      </c>
      <c r="ABM7" s="76" t="inlineStr">
        <is>
          <t>A24</t>
        </is>
      </c>
      <c r="ABN7" s="76" t="inlineStr">
        <is>
          <t>A25</t>
        </is>
      </c>
      <c r="ABO7" s="76" t="inlineStr">
        <is>
          <t>A26</t>
        </is>
      </c>
      <c r="ABP7" s="76" t="inlineStr">
        <is>
          <t>A27</t>
        </is>
      </c>
      <c r="ABQ7" s="76" t="inlineStr">
        <is>
          <t>A28</t>
        </is>
      </c>
      <c r="ABR7" s="76" t="inlineStr">
        <is>
          <t>A29</t>
        </is>
      </c>
      <c r="ABS7" s="76" t="inlineStr">
        <is>
          <t>A30</t>
        </is>
      </c>
      <c r="ABT7" s="77" t="inlineStr">
        <is>
          <t>ABS.MOT</t>
        </is>
      </c>
      <c r="ABU7" s="77" t="inlineStr">
        <is>
          <t>ABS.NEM</t>
        </is>
      </c>
    </row>
    <row r="8">
      <c r="I8" s="63" t="n"/>
      <c r="K8" s="63" t="n"/>
      <c r="M8" s="63" t="n"/>
      <c r="O8" s="63" t="n"/>
      <c r="Q8" s="63" t="n"/>
      <c r="S8" s="63" t="n"/>
      <c r="T8" s="63" t="n"/>
      <c r="U8" s="63" t="n"/>
      <c r="V8" s="63" t="n"/>
      <c r="W8" s="63" t="n"/>
      <c r="X8" s="63" t="n"/>
      <c r="Y8" s="63" t="n"/>
      <c r="Z8" s="63" t="n"/>
      <c r="AD8" s="63" t="n"/>
      <c r="AF8" s="63" t="n"/>
      <c r="AH8" s="63" t="n"/>
      <c r="AJ8" s="63" t="n"/>
      <c r="AL8" s="63" t="n"/>
      <c r="AN8" s="63" t="n"/>
      <c r="AO8" s="63" t="n"/>
      <c r="AP8" s="63" t="n"/>
      <c r="AQ8" s="63" t="n"/>
      <c r="AR8" s="63" t="n"/>
      <c r="AS8" s="63" t="n"/>
      <c r="AT8" s="63" t="n"/>
      <c r="AU8" s="63" t="n"/>
      <c r="AY8" s="63" t="n"/>
      <c r="BA8" s="63" t="n"/>
      <c r="BC8" s="63" t="n"/>
      <c r="BE8" s="63" t="n"/>
      <c r="BG8" s="63" t="n"/>
      <c r="BI8" s="63" t="n"/>
      <c r="BJ8" s="63" t="n"/>
      <c r="BK8" s="63" t="n"/>
      <c r="BL8" s="63" t="n"/>
      <c r="BM8" s="63" t="n"/>
      <c r="BN8" s="63" t="n"/>
      <c r="BO8" s="63" t="n"/>
      <c r="BP8" s="63" t="n"/>
      <c r="BT8" s="63" t="n"/>
      <c r="BV8" s="63" t="n"/>
      <c r="BX8" s="63" t="n"/>
      <c r="BZ8" s="63" t="n"/>
      <c r="CB8" s="63" t="n"/>
      <c r="CD8" s="63" t="n"/>
      <c r="CE8" s="63" t="n"/>
      <c r="CF8" s="63" t="n"/>
      <c r="CG8" s="63" t="n"/>
      <c r="CH8" s="63" t="n"/>
      <c r="CI8" s="63" t="n"/>
      <c r="CJ8" s="63" t="n"/>
      <c r="CK8" s="63" t="n"/>
      <c r="CO8" s="63" t="n"/>
      <c r="CQ8" s="63" t="n"/>
      <c r="CS8" s="63" t="n"/>
      <c r="CU8" s="63" t="n"/>
      <c r="CW8" s="63" t="n"/>
      <c r="CY8" s="63" t="n"/>
      <c r="CZ8" s="63" t="n"/>
      <c r="DA8" s="63" t="n"/>
      <c r="DB8" s="63" t="n"/>
      <c r="DC8" s="63" t="n"/>
      <c r="DD8" s="63" t="n"/>
      <c r="DE8" s="63" t="n"/>
      <c r="DF8" s="63" t="n"/>
      <c r="DJ8" s="63" t="n"/>
      <c r="DL8" s="63" t="n"/>
      <c r="DN8" s="63" t="n"/>
      <c r="DP8" s="63" t="n"/>
      <c r="DR8" s="63" t="n"/>
      <c r="DT8" s="63" t="n"/>
      <c r="DU8" s="63" t="n"/>
      <c r="DV8" s="63" t="n"/>
      <c r="DW8" s="63" t="n"/>
      <c r="DX8" s="63" t="n"/>
      <c r="DY8" s="63" t="n"/>
      <c r="DZ8" s="63" t="n"/>
      <c r="EA8" s="63" t="n"/>
      <c r="EE8" s="63" t="n"/>
      <c r="EG8" s="63" t="n"/>
      <c r="EI8" s="63" t="n"/>
      <c r="EK8" s="63" t="n"/>
      <c r="EM8" s="63" t="n"/>
      <c r="EO8" s="63" t="n"/>
      <c r="EP8" s="63" t="n"/>
      <c r="EQ8" s="63" t="n"/>
      <c r="ER8" s="63" t="n"/>
      <c r="ES8" s="63" t="n"/>
      <c r="ET8" s="63" t="n"/>
      <c r="EU8" s="63" t="n"/>
      <c r="EV8" s="63" t="n"/>
      <c r="EZ8" s="63" t="n"/>
      <c r="FB8" s="63" t="n"/>
      <c r="FD8" s="63" t="n"/>
      <c r="FF8" s="63" t="n"/>
      <c r="FH8" s="63" t="n"/>
      <c r="FJ8" s="63" t="n"/>
      <c r="FK8" s="63" t="n"/>
      <c r="FL8" s="63" t="n"/>
      <c r="FM8" s="63" t="n"/>
      <c r="FN8" s="63" t="n"/>
      <c r="FO8" s="63" t="n"/>
      <c r="FP8" s="63" t="n"/>
      <c r="FQ8" s="63" t="n"/>
      <c r="FU8" s="63" t="n"/>
      <c r="FW8" s="63" t="n"/>
      <c r="FY8" s="63" t="n"/>
      <c r="GA8" s="63" t="n"/>
      <c r="GC8" s="63" t="n"/>
      <c r="GE8" s="63" t="n"/>
      <c r="GF8" s="63" t="n"/>
      <c r="GG8" s="63" t="n"/>
      <c r="GH8" s="63" t="n"/>
      <c r="GI8" s="63" t="n"/>
      <c r="GJ8" s="63" t="n"/>
      <c r="GK8" s="63" t="n"/>
      <c r="GL8" s="63" t="n"/>
      <c r="GP8" s="63" t="n"/>
      <c r="GR8" s="63" t="n"/>
      <c r="GT8" s="63" t="n"/>
      <c r="GV8" s="63" t="n"/>
      <c r="GX8" s="63" t="n"/>
      <c r="GZ8" s="63" t="n"/>
      <c r="HA8" s="63" t="n"/>
      <c r="HB8" s="63" t="n"/>
      <c r="HC8" s="63" t="n"/>
      <c r="HD8" s="63" t="n"/>
      <c r="HE8" s="63" t="n"/>
      <c r="HF8" s="63" t="n"/>
      <c r="HG8" s="63" t="n"/>
      <c r="HK8" s="63" t="n"/>
      <c r="HM8" s="63" t="n"/>
      <c r="HO8" s="63" t="n"/>
      <c r="HQ8" s="63" t="n"/>
      <c r="HS8" s="63" t="n"/>
      <c r="HU8" s="63" t="n"/>
      <c r="HV8" s="63" t="n"/>
      <c r="HW8" s="63" t="n"/>
      <c r="HX8" s="63" t="n"/>
      <c r="HY8" s="63" t="n"/>
      <c r="HZ8" s="63" t="n"/>
      <c r="IA8" s="63" t="n"/>
      <c r="IB8" s="63" t="n"/>
      <c r="IF8" s="63" t="n"/>
      <c r="IH8" s="63" t="n"/>
      <c r="IJ8" s="63" t="n"/>
      <c r="IL8" s="63" t="n"/>
      <c r="IN8" s="63" t="n"/>
      <c r="IP8" s="63" t="n"/>
      <c r="IQ8" s="63" t="n"/>
      <c r="IR8" s="63" t="n"/>
      <c r="IS8" s="63" t="n"/>
      <c r="IT8" s="63" t="n"/>
      <c r="IU8" s="63" t="n"/>
      <c r="IV8" s="63" t="n"/>
      <c r="IW8" s="63" t="n"/>
      <c r="JA8" s="63" t="n"/>
      <c r="JC8" s="63" t="n"/>
      <c r="JE8" s="63" t="n"/>
      <c r="JG8" s="63" t="n"/>
      <c r="JI8" s="63" t="n"/>
      <c r="JK8" s="63" t="n"/>
      <c r="JL8" s="63" t="n"/>
      <c r="JM8" s="63" t="n"/>
      <c r="JN8" s="63" t="n"/>
      <c r="JO8" s="63" t="n"/>
      <c r="JP8" s="63" t="n"/>
      <c r="JQ8" s="63" t="n"/>
      <c r="JR8" s="63" t="n"/>
      <c r="JV8" s="63" t="n"/>
      <c r="JX8" s="63" t="n"/>
      <c r="JZ8" s="63" t="n"/>
      <c r="KB8" s="63" t="n"/>
      <c r="KD8" s="63" t="n"/>
      <c r="KF8" s="63" t="n"/>
      <c r="KG8" s="63" t="n"/>
      <c r="KH8" s="63" t="n"/>
      <c r="KI8" s="63" t="n"/>
      <c r="KJ8" s="63" t="n"/>
      <c r="KK8" s="63" t="n"/>
      <c r="KL8" s="63" t="n"/>
      <c r="KM8" s="63" t="n"/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8">
        <f>IFERROR(ROUND(AVERAGE(AB9,CC9,ED9,GE9,IF9,KG9,MH9,OI9,QJ9,SK9,UL9,WM9,YN9,AAO9), 2), "")</f>
        <v/>
      </c>
      <c r="F9" s="14">
        <f>IF(SUM(BH9,DI9,FJ9,HK9,JL9,LM9,NN9,PO9,RP9,TQ9,VR9,XS9,ZT9,ABU9)=0, "", SUM(BH9,DI9,FJ9,HK9,JL9,LM9,NN9,PO9,RP9,TQ9,VR9,XS9,ZT9,ABU9))</f>
        <v/>
      </c>
      <c r="G9" s="8">
        <f>IF(SUM(BG9,DH9,FI9,HJ9,JK9,LL9,NM9,PN9,RO9,TP9,VQ9,XR9,ZS9,ABT9)=0, "", SUM(BG9,DH9,FI9,HJ9,JK9,LL9,NM9,PN9,RO9,TP9,VQ9,XR9,ZS9,ABT9))</f>
        <v/>
      </c>
      <c r="H9" s="6" t="n"/>
      <c r="I9" s="79" t="n"/>
      <c r="J9" s="6" t="n"/>
      <c r="K9" s="79" t="n"/>
      <c r="L9" s="6" t="n"/>
      <c r="M9" s="79" t="n"/>
      <c r="N9" s="6" t="n"/>
      <c r="O9" s="79" t="n"/>
      <c r="P9" s="6" t="n"/>
      <c r="Q9" s="79" t="n"/>
      <c r="R9" s="18" t="n"/>
      <c r="S9" s="79" t="n"/>
      <c r="T9" s="79" t="n"/>
      <c r="U9" s="79" t="n"/>
      <c r="V9" s="79" t="n"/>
      <c r="W9" s="79" t="n"/>
      <c r="X9" s="79" t="n"/>
      <c r="Y9" s="79" t="n"/>
      <c r="Z9" s="79" t="n"/>
      <c r="AA9" s="18" t="n"/>
      <c r="AB9" s="14">
        <f>IFERROR(ROUND(AVERAGE(H9,J9,L9,N9,P9,R9,T9,V9,X9,Z9), 2), "")</f>
        <v/>
      </c>
      <c r="AC9" s="6" t="n"/>
      <c r="AD9" s="79" t="n"/>
      <c r="AE9" s="6" t="n"/>
      <c r="AF9" s="79" t="n"/>
      <c r="AG9" s="6" t="n"/>
      <c r="AH9" s="79" t="n"/>
      <c r="AI9" s="6" t="n"/>
      <c r="AJ9" s="79" t="n"/>
      <c r="AK9" s="6" t="n"/>
      <c r="AL9" s="79" t="n"/>
      <c r="AM9" s="18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18" t="n"/>
      <c r="AW9" s="19" t="n"/>
      <c r="AX9" s="6" t="n"/>
      <c r="AY9" s="79" t="n"/>
      <c r="AZ9" s="6" t="n"/>
      <c r="BA9" s="79" t="n"/>
      <c r="BB9" s="6" t="n"/>
      <c r="BC9" s="79" t="n"/>
      <c r="BD9" s="6" t="n"/>
      <c r="BE9" s="79" t="n"/>
      <c r="BF9" s="6" t="n"/>
      <c r="BG9" s="79">
        <f>IF(COUNTA(AC9:BF9)=0, "", SUMPRODUCT(--ISNUMBER(SEARCH("m", AC9:BF9))))</f>
        <v/>
      </c>
      <c r="BH9" s="18">
        <f>IF(COUNTA(AC9:BF9)=0, "", COUNTA(AC9:BF9) - SUMPRODUCT(--ISNUMBER(SEARCH("m", AC9:BF9))))</f>
        <v/>
      </c>
      <c r="BI9" s="79" t="n"/>
      <c r="BJ9" s="79" t="n"/>
      <c r="BK9" s="79" t="n"/>
      <c r="BL9" s="79" t="n"/>
      <c r="BM9" s="79" t="n"/>
      <c r="BN9" s="79" t="n"/>
      <c r="BO9" s="79" t="n"/>
      <c r="BP9" s="79" t="n"/>
      <c r="BQ9" s="18" t="n"/>
      <c r="BR9" s="19" t="n"/>
      <c r="BS9" s="6" t="n"/>
      <c r="BT9" s="79" t="n"/>
      <c r="BU9" s="6" t="n"/>
      <c r="BV9" s="79" t="n"/>
      <c r="BW9" s="6" t="n"/>
      <c r="BX9" s="79" t="n"/>
      <c r="BY9" s="6" t="n"/>
      <c r="BZ9" s="79" t="n"/>
      <c r="CA9" s="6" t="n"/>
      <c r="CB9" s="79" t="n"/>
      <c r="CC9" s="8">
        <f>IFERROR(ROUND(AVERAGE(BI9,BK9,BM9,BO9,BQ9,BS9,BU9,BW9,BY9,CA9), 2), "")</f>
        <v/>
      </c>
      <c r="CD9" s="79" t="n"/>
      <c r="CE9" s="79" t="n"/>
      <c r="CF9" s="79" t="n"/>
      <c r="CG9" s="79" t="n"/>
      <c r="CH9" s="79" t="n"/>
      <c r="CI9" s="79" t="n"/>
      <c r="CJ9" s="79" t="n"/>
      <c r="CK9" s="79" t="n"/>
      <c r="CL9" s="18" t="n"/>
      <c r="CM9" s="19" t="n"/>
      <c r="CN9" s="6" t="n"/>
      <c r="CO9" s="79" t="n"/>
      <c r="CP9" s="6" t="n"/>
      <c r="CQ9" s="79" t="n"/>
      <c r="CR9" s="6" t="n"/>
      <c r="CS9" s="79" t="n"/>
      <c r="CT9" s="6" t="n"/>
      <c r="CU9" s="79" t="n"/>
      <c r="CV9" s="6" t="n"/>
      <c r="CW9" s="79" t="n"/>
      <c r="CX9" s="18" t="n"/>
      <c r="CY9" s="79" t="n"/>
      <c r="CZ9" s="79" t="n"/>
      <c r="DA9" s="79" t="n"/>
      <c r="DB9" s="79" t="n"/>
      <c r="DC9" s="79" t="n"/>
      <c r="DD9" s="79" t="n"/>
      <c r="DE9" s="79" t="n"/>
      <c r="DF9" s="79" t="n"/>
      <c r="DG9" s="18" t="n"/>
      <c r="DH9" s="19">
        <f>IF(COUNTA(CD9:DG9)=0, "", SUMPRODUCT(--ISNUMBER(SEARCH("m", CD9:DG9))))</f>
        <v/>
      </c>
      <c r="DI9" s="6">
        <f>IF(COUNTA(CD9:DG9)=0, "", COUNTA(CD9:DG9) - SUMPRODUCT(--ISNUMBER(SEARCH("m", CD9:DG9))))</f>
        <v/>
      </c>
      <c r="DJ9" s="79" t="n"/>
      <c r="DK9" s="6" t="n"/>
      <c r="DL9" s="79" t="n"/>
      <c r="DM9" s="6" t="n"/>
      <c r="DN9" s="79" t="n"/>
      <c r="DO9" s="6" t="n"/>
      <c r="DP9" s="79" t="n"/>
      <c r="DQ9" s="6" t="n"/>
      <c r="DR9" s="79" t="n"/>
      <c r="DS9" s="18" t="n"/>
      <c r="DT9" s="79" t="n"/>
      <c r="DU9" s="79" t="n"/>
      <c r="DV9" s="79" t="n"/>
      <c r="DW9" s="79" t="n"/>
      <c r="DX9" s="79" t="n"/>
      <c r="DY9" s="79" t="n"/>
      <c r="DZ9" s="79" t="n"/>
      <c r="EA9" s="79" t="n"/>
      <c r="EB9" s="18" t="n"/>
      <c r="EC9" s="19" t="n"/>
      <c r="ED9" s="20">
        <f>IFERROR(ROUND(AVERAGE(DJ9,DL9,DN9,DP9,DR9,DT9,DV9,DX9,DZ9,EB9), 2), "")</f>
        <v/>
      </c>
      <c r="EE9" s="79" t="n"/>
      <c r="EF9" s="6" t="n"/>
      <c r="EG9" s="79" t="n"/>
      <c r="EH9" s="6" t="n"/>
      <c r="EI9" s="79" t="n"/>
      <c r="EJ9" s="6" t="n"/>
      <c r="EK9" s="79" t="n"/>
      <c r="EL9" s="6" t="n"/>
      <c r="EM9" s="79" t="n"/>
      <c r="EN9" s="18" t="n"/>
      <c r="EO9" s="79" t="n"/>
      <c r="EP9" s="79" t="n"/>
      <c r="EQ9" s="79" t="n"/>
      <c r="ER9" s="79" t="n"/>
      <c r="ES9" s="79" t="n"/>
      <c r="ET9" s="79" t="n"/>
      <c r="EU9" s="79" t="n"/>
      <c r="EV9" s="79" t="n"/>
      <c r="EW9" s="18" t="n"/>
      <c r="EX9" s="19" t="n"/>
      <c r="EY9" s="6" t="n"/>
      <c r="EZ9" s="79" t="n"/>
      <c r="FA9" s="6" t="n"/>
      <c r="FB9" s="79" t="n"/>
      <c r="FC9" s="6" t="n"/>
      <c r="FD9" s="79" t="n"/>
      <c r="FE9" s="6" t="n"/>
      <c r="FF9" s="79" t="n"/>
      <c r="FG9" s="6" t="n"/>
      <c r="FH9" s="79" t="n"/>
      <c r="FI9" s="18">
        <f>IF(COUNTA(EE9:FH9)=0, "", SUMPRODUCT(--ISNUMBER(SEARCH("m", EE9:FH9))))</f>
        <v/>
      </c>
      <c r="FJ9" s="79">
        <f>IF(COUNTA(EE9:FH9)=0, "", COUNTA(EE9:FH9) - SUMPRODUCT(--ISNUMBER(SEARCH("m", EE9:FH9))))</f>
        <v/>
      </c>
      <c r="FK9" s="79" t="n"/>
      <c r="FL9" s="79" t="n"/>
      <c r="FM9" s="79" t="n"/>
      <c r="FN9" s="79" t="n"/>
      <c r="FO9" s="79" t="n"/>
      <c r="FP9" s="79" t="n"/>
      <c r="FQ9" s="79" t="n"/>
      <c r="FR9" s="18" t="n"/>
      <c r="FS9" s="19" t="n"/>
      <c r="FT9" s="6" t="n"/>
      <c r="FU9" s="79" t="n"/>
      <c r="FV9" s="6" t="n"/>
      <c r="FW9" s="79" t="n"/>
      <c r="FX9" s="6" t="n"/>
      <c r="FY9" s="79" t="n"/>
      <c r="FZ9" s="6" t="n"/>
      <c r="GA9" s="79" t="n"/>
      <c r="GB9" s="6" t="n"/>
      <c r="GC9" s="79" t="n"/>
      <c r="GD9" s="18" t="n"/>
      <c r="GE9" s="80">
        <f>IFERROR(ROUND(AVERAGE(FK9,FM9,FO9,FQ9,FS9,FU9,FW9,FY9,GA9,GC9), 2), "")</f>
        <v/>
      </c>
      <c r="GF9" s="79" t="n"/>
      <c r="GG9" s="79" t="n"/>
      <c r="GH9" s="79" t="n"/>
      <c r="GI9" s="79" t="n"/>
      <c r="GJ9" s="79" t="n"/>
      <c r="GK9" s="79" t="n"/>
      <c r="GL9" s="79" t="n"/>
      <c r="GM9" s="18" t="n"/>
      <c r="GN9" s="19" t="n"/>
      <c r="GO9" s="6" t="n"/>
      <c r="GP9" s="79" t="n"/>
      <c r="GQ9" s="6" t="n"/>
      <c r="GR9" s="79" t="n"/>
      <c r="GS9" s="6" t="n"/>
      <c r="GT9" s="79" t="n"/>
      <c r="GU9" s="6" t="n"/>
      <c r="GV9" s="79" t="n"/>
      <c r="GW9" s="6" t="n"/>
      <c r="GX9" s="79" t="n"/>
      <c r="GY9" s="18" t="n"/>
      <c r="GZ9" s="79" t="n"/>
      <c r="HA9" s="79" t="n"/>
      <c r="HB9" s="79" t="n"/>
      <c r="HC9" s="79" t="n"/>
      <c r="HD9" s="79" t="n"/>
      <c r="HE9" s="79" t="n"/>
      <c r="HF9" s="79" t="n"/>
      <c r="HG9" s="79" t="n"/>
      <c r="HH9" s="18" t="n"/>
      <c r="HI9" s="19" t="n"/>
      <c r="HJ9" s="6">
        <f>IF(COUNTA(GF9:HI9)=0, "", SUMPRODUCT(--ISNUMBER(SEARCH("m", GF9:HI9))))</f>
        <v/>
      </c>
      <c r="HK9" s="79">
        <f>IF(COUNTA(GF9:HI9)=0, "", COUNTA(GF9:HI9) - SUMPRODUCT(--ISNUMBER(SEARCH("m", GF9:HI9))))</f>
        <v/>
      </c>
      <c r="HL9" s="6" t="n"/>
      <c r="HM9" s="79" t="n"/>
      <c r="HN9" s="6" t="n"/>
      <c r="HO9" s="79" t="n"/>
      <c r="HP9" s="6" t="n"/>
      <c r="HQ9" s="79" t="n"/>
      <c r="HR9" s="6" t="n"/>
      <c r="HS9" s="79" t="n"/>
      <c r="HT9" s="18" t="n"/>
      <c r="HU9" s="79" t="n"/>
      <c r="HV9" s="79" t="n"/>
      <c r="HW9" s="79" t="n"/>
      <c r="HX9" s="79" t="n"/>
      <c r="HY9" s="79" t="n"/>
      <c r="HZ9" s="79" t="n"/>
      <c r="IA9" s="79" t="n"/>
      <c r="IB9" s="79" t="n"/>
      <c r="IC9" s="18" t="n"/>
      <c r="ID9" s="19" t="n"/>
      <c r="IE9" s="6" t="n"/>
      <c r="IF9" s="80">
        <f>IFERROR(ROUND(AVERAGE(HL9,HN9,HP9,HR9,HT9,HV9,HX9,HZ9,IB9,ID9), 2), "")</f>
        <v/>
      </c>
      <c r="IG9" s="6" t="n"/>
      <c r="IH9" s="79" t="n"/>
      <c r="II9" s="6" t="n"/>
      <c r="IJ9" s="79" t="n"/>
      <c r="IK9" s="6" t="n"/>
      <c r="IL9" s="79" t="n"/>
      <c r="IM9" s="6" t="n"/>
      <c r="IN9" s="79" t="n"/>
      <c r="IO9" s="18" t="n"/>
      <c r="IP9" s="79" t="n"/>
      <c r="IQ9" s="79" t="n"/>
      <c r="IR9" s="79" t="n"/>
      <c r="IS9" s="79" t="n"/>
      <c r="IT9" s="79" t="n"/>
      <c r="IU9" s="79" t="n"/>
      <c r="IV9" s="79" t="n"/>
      <c r="IW9" s="79" t="n"/>
      <c r="IX9" s="18" t="n"/>
      <c r="IY9" s="19" t="n"/>
      <c r="IZ9" s="6" t="n"/>
      <c r="JA9" s="79" t="n"/>
      <c r="JB9" s="6" t="n"/>
      <c r="JC9" s="79" t="n"/>
      <c r="JD9" s="6" t="n"/>
      <c r="JE9" s="79" t="n"/>
      <c r="JF9" s="6" t="n"/>
      <c r="JG9" s="79" t="n"/>
      <c r="JH9" s="6" t="n"/>
      <c r="JI9" s="79" t="n"/>
      <c r="JJ9" s="18" t="n"/>
      <c r="JK9" s="79">
        <f>IF(COUNTA(IG9:JJ9)=0, "", SUMPRODUCT(--ISNUMBER(SEARCH("m", IG9:JJ9))))</f>
        <v/>
      </c>
      <c r="JL9" s="79">
        <f>IF(COUNTA(IG9:JJ9)=0, "", COUNTA(IG9:JJ9) - SUMPRODUCT(--ISNUMBER(SEARCH("m", IG9:JJ9))))</f>
        <v/>
      </c>
      <c r="JM9" s="79" t="n"/>
      <c r="JN9" s="79" t="n"/>
      <c r="JO9" s="79" t="n"/>
      <c r="JP9" s="79" t="n"/>
      <c r="JQ9" s="79" t="n"/>
      <c r="JR9" s="79" t="n"/>
      <c r="JS9" s="18" t="n"/>
      <c r="JT9" s="19" t="n"/>
      <c r="JU9" s="6" t="n"/>
      <c r="JV9" s="79" t="n"/>
      <c r="JW9" s="6" t="n"/>
      <c r="JX9" s="79" t="n"/>
      <c r="JY9" s="6" t="n"/>
      <c r="JZ9" s="79" t="n"/>
      <c r="KA9" s="6" t="n"/>
      <c r="KB9" s="79" t="n"/>
      <c r="KC9" s="6" t="n"/>
      <c r="KD9" s="79" t="n"/>
      <c r="KE9" s="18" t="n"/>
      <c r="KF9" s="79" t="n"/>
      <c r="KG9" s="80">
        <f>IFERROR(ROUND(AVERAGE(JM9,JO9,JQ9,JS9,JU9,JW9,JY9,KA9,KC9,KE9), 2), "")</f>
        <v/>
      </c>
      <c r="KH9" s="79" t="n"/>
      <c r="KI9" s="79" t="n"/>
      <c r="KJ9" s="79" t="n"/>
      <c r="KK9" s="79" t="n"/>
      <c r="KL9" s="79" t="n"/>
      <c r="KM9" s="79" t="n"/>
      <c r="KN9" s="18" t="n"/>
      <c r="KO9" s="19" t="n"/>
      <c r="KP9" s="6" t="n"/>
      <c r="KQ9" s="6" t="n"/>
      <c r="KR9" s="6" t="n"/>
      <c r="KS9" s="6" t="n"/>
      <c r="KT9" s="6" t="n"/>
      <c r="KU9" s="6" t="n"/>
      <c r="KV9" s="6" t="n"/>
      <c r="KW9" s="6" t="n"/>
      <c r="KX9" s="6" t="n"/>
      <c r="KY9" s="6" t="n"/>
      <c r="KZ9" s="6" t="n"/>
      <c r="LA9" s="6" t="n"/>
      <c r="LB9" s="6" t="n"/>
      <c r="LC9" s="6" t="n"/>
      <c r="LD9" s="6" t="n"/>
      <c r="LE9" s="6" t="n"/>
      <c r="LF9" s="6" t="n"/>
      <c r="LG9" s="6" t="n"/>
      <c r="LH9" s="6" t="n"/>
      <c r="LI9" s="6" t="n"/>
      <c r="LJ9" s="6" t="n"/>
      <c r="LK9" s="6" t="n"/>
      <c r="LL9" s="6">
        <f>IF(COUNTA(KH9:LK9)=0, "", SUMPRODUCT(--ISNUMBER(SEARCH("m", KH9:LK9))))</f>
        <v/>
      </c>
      <c r="LM9" s="6">
        <f>IF(COUNTA(KH9:LK9)=0, "", COUNTA(KH9:LK9) - SUMPRODUCT(--ISNUMBER(SEARCH("m", KH9:LK9))))</f>
        <v/>
      </c>
      <c r="LN9" s="6" t="n"/>
      <c r="LO9" s="6" t="n"/>
      <c r="LP9" s="6" t="n"/>
      <c r="LQ9" s="6" t="n"/>
      <c r="LR9" s="6" t="n"/>
      <c r="LS9" s="6" t="n"/>
      <c r="LT9" s="6" t="n"/>
      <c r="LU9" s="6" t="n"/>
      <c r="LV9" s="6" t="n"/>
      <c r="LW9" s="6" t="n"/>
      <c r="LX9" s="6" t="n"/>
      <c r="LY9" s="6" t="n"/>
      <c r="LZ9" s="6" t="n"/>
      <c r="MA9" s="6" t="n"/>
      <c r="MB9" s="6" t="n"/>
      <c r="MC9" s="6" t="n"/>
      <c r="MD9" s="6" t="n"/>
      <c r="ME9" s="6" t="n"/>
      <c r="MF9" s="6" t="n"/>
      <c r="MG9" s="6" t="n"/>
      <c r="MH9" s="20">
        <f>IFERROR(ROUND(AVERAGE(LN9,LP9,LR9,LT9,LV9,LX9,LZ9,MB9,MD9,MF9), 2), "")</f>
        <v/>
      </c>
      <c r="MI9" s="6" t="n"/>
      <c r="MJ9" s="6" t="n"/>
      <c r="MK9" s="6" t="n"/>
      <c r="ML9" s="6" t="n"/>
      <c r="MM9" s="6" t="n"/>
      <c r="MN9" s="6" t="n"/>
      <c r="MO9" s="6" t="n"/>
      <c r="MP9" s="6" t="n"/>
      <c r="MQ9" s="6" t="n"/>
      <c r="MR9" s="6" t="n"/>
      <c r="MS9" s="6" t="n"/>
      <c r="MT9" s="6" t="n"/>
      <c r="MU9" s="6" t="n"/>
      <c r="MV9" s="6" t="n"/>
      <c r="MW9" s="6" t="n"/>
      <c r="MX9" s="6" t="n"/>
      <c r="MY9" s="6" t="n"/>
      <c r="MZ9" s="6" t="n"/>
      <c r="NA9" s="6" t="n"/>
      <c r="NB9" s="6" t="n"/>
      <c r="NC9" s="6" t="n"/>
      <c r="ND9" s="6" t="n"/>
      <c r="NE9" s="6" t="n"/>
      <c r="NF9" s="6" t="n"/>
      <c r="NG9" s="6" t="n"/>
      <c r="NH9" s="6" t="n"/>
      <c r="NI9" s="6" t="n"/>
      <c r="NJ9" s="6" t="n"/>
      <c r="NK9" s="6" t="n"/>
      <c r="NL9" s="6" t="n"/>
      <c r="NM9" s="6">
        <f>IF(COUNTA(MI9:NL9)=0, "", SUMPRODUCT(--ISNUMBER(SEARCH("m", MI9:NL9))))</f>
        <v/>
      </c>
      <c r="NN9" s="6">
        <f>IF(COUNTA(MI9:NL9)=0, "", COUNTA(MI9:NL9) - SUMPRODUCT(--ISNUMBER(SEARCH("m", MI9:NL9))))</f>
        <v/>
      </c>
      <c r="NO9" s="6" t="n"/>
      <c r="NP9" s="6" t="n"/>
      <c r="NQ9" s="6" t="n"/>
      <c r="NR9" s="6" t="n"/>
      <c r="NS9" s="6" t="n"/>
      <c r="NT9" s="6" t="n"/>
      <c r="NU9" s="6" t="n"/>
      <c r="NV9" s="6" t="n"/>
      <c r="NW9" s="6" t="n"/>
      <c r="NX9" s="6" t="n"/>
      <c r="NY9" s="6" t="n"/>
      <c r="NZ9" s="6" t="n"/>
      <c r="OA9" s="6" t="n"/>
      <c r="OB9" s="6" t="n"/>
      <c r="OC9" s="6" t="n"/>
      <c r="OD9" s="6" t="n"/>
      <c r="OE9" s="6" t="n"/>
      <c r="OF9" s="6" t="n"/>
      <c r="OG9" s="6" t="n"/>
      <c r="OH9" s="6" t="n"/>
      <c r="OI9" s="20">
        <f>IFERROR(ROUND(AVERAGE(NO9,NQ9,NS9,NU9,NW9,NY9,OA9,OC9,OE9,OG9), 2), "")</f>
        <v/>
      </c>
      <c r="OJ9" s="6" t="n"/>
      <c r="OK9" s="6" t="n"/>
      <c r="OL9" s="6" t="n"/>
      <c r="OM9" s="6" t="n"/>
      <c r="ON9" s="6" t="n"/>
      <c r="OO9" s="6" t="n"/>
      <c r="OP9" s="6" t="n"/>
      <c r="OQ9" s="6" t="n"/>
      <c r="OR9" s="6" t="n"/>
      <c r="OS9" s="6" t="n"/>
      <c r="OT9" s="6" t="n"/>
      <c r="OU9" s="6" t="n"/>
      <c r="OV9" s="6" t="n"/>
      <c r="OW9" s="6" t="n"/>
      <c r="OX9" s="6" t="n"/>
      <c r="OY9" s="6" t="n"/>
      <c r="OZ9" s="6" t="n"/>
      <c r="PA9" s="6" t="n"/>
      <c r="PB9" s="6" t="n"/>
      <c r="PC9" s="6" t="n"/>
      <c r="PD9" s="6" t="n"/>
      <c r="PE9" s="6" t="n"/>
      <c r="PF9" s="6" t="n"/>
      <c r="PG9" s="6" t="n"/>
      <c r="PH9" s="6" t="n"/>
      <c r="PI9" s="6" t="n"/>
      <c r="PJ9" s="6" t="n"/>
      <c r="PK9" s="6" t="n"/>
      <c r="PL9" s="6" t="n"/>
      <c r="PM9" s="6" t="n"/>
      <c r="PN9" s="6">
        <f>IF(COUNTA(OJ9:PM9)=0, "", SUMPRODUCT(--ISNUMBER(SEARCH("m", OJ9:PM9))))</f>
        <v/>
      </c>
      <c r="PO9" s="6">
        <f>IF(COUNTA(OJ9:PM9)=0, "", COUNTA(OJ9:PM9) - SUMPRODUCT(--ISNUMBER(SEARCH("m", OJ9:PM9))))</f>
        <v/>
      </c>
      <c r="PP9" s="6" t="n"/>
      <c r="PQ9" s="6" t="n"/>
      <c r="PR9" s="6" t="n"/>
      <c r="PS9" s="6" t="n"/>
      <c r="PT9" s="6" t="n"/>
      <c r="PU9" s="6" t="n"/>
      <c r="PV9" s="6" t="n"/>
      <c r="PW9" s="6" t="n"/>
      <c r="PX9" s="6" t="n"/>
      <c r="PY9" s="6" t="n"/>
      <c r="PZ9" s="6" t="n"/>
      <c r="QA9" s="6" t="n"/>
      <c r="QB9" s="6" t="n"/>
      <c r="QC9" s="6" t="n"/>
      <c r="QD9" s="6" t="n"/>
      <c r="QE9" s="6" t="n"/>
      <c r="QF9" s="6" t="n"/>
      <c r="QG9" s="6" t="n"/>
      <c r="QH9" s="6" t="n"/>
      <c r="QI9" s="6" t="n"/>
      <c r="QJ9" s="20">
        <f>IFERROR(ROUND(AVERAGE(PP9,PR9,PT9,PV9,PX9,PZ9,QB9,QD9,QF9,QH9), 2), "")</f>
        <v/>
      </c>
      <c r="QK9" s="6" t="n"/>
      <c r="QL9" s="6" t="n"/>
      <c r="QM9" s="6" t="n"/>
      <c r="QN9" s="6" t="n"/>
      <c r="QO9" s="6" t="n"/>
      <c r="QP9" s="6" t="n"/>
      <c r="QQ9" s="6" t="n"/>
      <c r="QR9" s="6" t="n"/>
      <c r="QS9" s="6" t="n"/>
      <c r="QT9" s="6" t="n"/>
      <c r="QU9" s="6" t="n"/>
      <c r="QV9" s="6" t="n"/>
      <c r="QW9" s="6" t="n"/>
      <c r="QX9" s="6" t="n"/>
      <c r="QY9" s="6" t="n"/>
      <c r="QZ9" s="6" t="n"/>
      <c r="RA9" s="6" t="n"/>
      <c r="RB9" s="6" t="n"/>
      <c r="RC9" s="6" t="n"/>
      <c r="RD9" s="6" t="n"/>
      <c r="RE9" s="6" t="n"/>
      <c r="RF9" s="6" t="n"/>
      <c r="RG9" s="6" t="n"/>
      <c r="RH9" s="6" t="n"/>
      <c r="RI9" s="6" t="n"/>
      <c r="RJ9" s="6" t="n"/>
      <c r="RK9" s="6" t="n"/>
      <c r="RL9" s="6" t="n"/>
      <c r="RM9" s="6" t="n"/>
      <c r="RN9" s="6" t="n"/>
      <c r="RO9" s="6">
        <f>IF(COUNTA(QK9:RN9)=0, "", SUMPRODUCT(--ISNUMBER(SEARCH("m", QK9:RN9))))</f>
        <v/>
      </c>
      <c r="RP9" s="6">
        <f>IF(COUNTA(QK9:RN9)=0, "", COUNTA(QK9:RN9) - SUMPRODUCT(--ISNUMBER(SEARCH("m", QK9:RN9))))</f>
        <v/>
      </c>
      <c r="RQ9" s="6" t="n"/>
      <c r="RR9" s="6" t="n"/>
      <c r="RS9" s="6" t="n"/>
      <c r="RT9" s="6" t="n"/>
      <c r="RU9" s="6" t="n"/>
      <c r="RV9" s="6" t="n"/>
      <c r="RW9" s="6" t="n"/>
      <c r="RX9" s="6" t="n"/>
      <c r="RY9" s="6" t="n"/>
      <c r="RZ9" s="6" t="n"/>
      <c r="SA9" s="6" t="n"/>
      <c r="SB9" s="6" t="n"/>
      <c r="SC9" s="6" t="n"/>
      <c r="SD9" s="6" t="n"/>
      <c r="SE9" s="6" t="n"/>
      <c r="SF9" s="6" t="n"/>
      <c r="SG9" s="6" t="n"/>
      <c r="SH9" s="6" t="n"/>
      <c r="SI9" s="6" t="n"/>
      <c r="SJ9" s="6" t="n"/>
      <c r="SK9" s="20">
        <f>IFERROR(ROUND(AVERAGE(RQ9,RS9,RU9,RW9,RY9,SA9,SC9,SE9,SG9,SI9), 2), "")</f>
        <v/>
      </c>
      <c r="SL9" s="6" t="n"/>
      <c r="SM9" s="6" t="n"/>
      <c r="SN9" s="6" t="n"/>
      <c r="SO9" s="6" t="n"/>
      <c r="SP9" s="6" t="n"/>
      <c r="SQ9" s="6" t="n"/>
      <c r="SR9" s="6" t="n"/>
      <c r="SS9" s="6" t="n"/>
      <c r="ST9" s="6" t="n"/>
      <c r="SU9" s="6" t="n"/>
      <c r="SV9" s="6" t="n"/>
      <c r="SW9" s="6" t="n"/>
      <c r="SX9" s="6" t="n"/>
      <c r="SY9" s="6" t="n"/>
      <c r="SZ9" s="6" t="n"/>
      <c r="TA9" s="6" t="n"/>
      <c r="TB9" s="6" t="n"/>
      <c r="TC9" s="6" t="n"/>
      <c r="TD9" s="6" t="n"/>
      <c r="TE9" s="6" t="n"/>
      <c r="TF9" s="6" t="n"/>
      <c r="TG9" s="6" t="n"/>
      <c r="TH9" s="6" t="n"/>
      <c r="TI9" s="6" t="n"/>
      <c r="TJ9" s="6" t="n"/>
      <c r="TK9" s="6" t="n"/>
      <c r="TL9" s="6" t="n"/>
      <c r="TM9" s="6" t="n"/>
      <c r="TN9" s="6" t="n"/>
      <c r="TO9" s="6" t="n"/>
      <c r="TP9" s="6">
        <f>IF(COUNTA(SL9:TO9)=0, "", SUMPRODUCT(--ISNUMBER(SEARCH("m", SL9:TO9))))</f>
        <v/>
      </c>
      <c r="TQ9" s="6">
        <f>IF(COUNTA(SL9:TO9)=0, "", COUNTA(SL9:TO9) - SUMPRODUCT(--ISNUMBER(SEARCH("m", SL9:TO9))))</f>
        <v/>
      </c>
      <c r="TR9" s="6" t="n"/>
      <c r="TS9" s="6" t="n"/>
      <c r="TT9" s="6" t="n"/>
      <c r="TU9" s="6" t="n"/>
      <c r="TV9" s="6" t="n"/>
      <c r="TW9" s="6" t="n"/>
      <c r="TX9" s="6" t="n"/>
      <c r="TY9" s="6" t="n"/>
      <c r="TZ9" s="6" t="n"/>
      <c r="UA9" s="6" t="n"/>
      <c r="UB9" s="6" t="n"/>
      <c r="UC9" s="6" t="n"/>
      <c r="UD9" s="6" t="n"/>
      <c r="UE9" s="6" t="n"/>
      <c r="UF9" s="6" t="n"/>
      <c r="UG9" s="6" t="n"/>
      <c r="UH9" s="6" t="n"/>
      <c r="UI9" s="6" t="n"/>
      <c r="UJ9" s="6" t="n"/>
      <c r="UK9" s="6" t="n"/>
      <c r="UL9" s="20">
        <f>IFERROR(ROUND(AVERAGE(TR9,TT9,TV9,TX9,TZ9,UB9,UD9,UF9,UH9,UJ9), 2), "")</f>
        <v/>
      </c>
      <c r="UM9" s="6" t="n"/>
      <c r="UN9" s="6" t="n"/>
      <c r="UO9" s="6" t="n"/>
      <c r="UP9" s="6" t="n"/>
      <c r="UQ9" s="6" t="n"/>
      <c r="UR9" s="6" t="n"/>
      <c r="US9" s="6" t="n"/>
      <c r="UT9" s="6" t="n"/>
      <c r="UU9" s="6" t="n"/>
      <c r="UV9" s="6" t="n"/>
      <c r="UW9" s="6" t="n"/>
      <c r="UX9" s="6" t="n"/>
      <c r="UY9" s="6" t="n"/>
      <c r="UZ9" s="6" t="n"/>
      <c r="VA9" s="6" t="n"/>
      <c r="VB9" s="6" t="n"/>
      <c r="VC9" s="6" t="n"/>
      <c r="VD9" s="6" t="n"/>
      <c r="VE9" s="6" t="n"/>
      <c r="VF9" s="6" t="n"/>
      <c r="VG9" s="6" t="n"/>
      <c r="VH9" s="6" t="n"/>
      <c r="VI9" s="6" t="n"/>
      <c r="VJ9" s="6" t="n"/>
      <c r="VK9" s="6" t="n"/>
      <c r="VL9" s="6" t="n"/>
      <c r="VM9" s="6" t="n"/>
      <c r="VN9" s="6" t="n"/>
      <c r="VO9" s="6" t="n"/>
      <c r="VP9" s="6" t="n"/>
      <c r="VQ9" s="6">
        <f>IF(COUNTA(UM9:VP9)=0, "", SUMPRODUCT(--ISNUMBER(SEARCH("m", UM9:VP9))))</f>
        <v/>
      </c>
      <c r="VR9" s="6">
        <f>IF(COUNTA(UM9:VP9)=0, "", COUNTA(UM9:VP9) - SUMPRODUCT(--ISNUMBER(SEARCH("m", UM9:VP9))))</f>
        <v/>
      </c>
      <c r="VS9" s="6" t="n"/>
      <c r="VT9" s="6" t="n"/>
      <c r="VU9" s="6" t="n"/>
      <c r="VV9" s="6" t="n"/>
      <c r="VW9" s="6" t="n"/>
      <c r="VX9" s="6" t="n"/>
      <c r="VY9" s="6" t="n"/>
      <c r="VZ9" s="6" t="n"/>
      <c r="WA9" s="6" t="n"/>
      <c r="WB9" s="6" t="n"/>
      <c r="WC9" s="6" t="n"/>
      <c r="WD9" s="6" t="n"/>
      <c r="WE9" s="6" t="n"/>
      <c r="WF9" s="6" t="n"/>
      <c r="WG9" s="6" t="n"/>
      <c r="WH9" s="6" t="n"/>
      <c r="WI9" s="6" t="n"/>
      <c r="WJ9" s="6" t="n"/>
      <c r="WK9" s="6" t="n"/>
      <c r="WL9" s="6" t="n"/>
      <c r="WM9" s="20">
        <f>IFERROR(ROUND(AVERAGE(VS9,VU9,VW9,VY9,WA9,WC9,WE9,WG9,WI9,WK9), 2), "")</f>
        <v/>
      </c>
      <c r="WN9" s="6" t="n"/>
      <c r="WO9" s="6" t="n"/>
      <c r="WP9" s="6" t="n"/>
      <c r="WQ9" s="6" t="n"/>
      <c r="WR9" s="6" t="n"/>
      <c r="WS9" s="6" t="n"/>
      <c r="WT9" s="6" t="n"/>
      <c r="WU9" s="6" t="n"/>
      <c r="WV9" s="6" t="n"/>
      <c r="WW9" s="6" t="n"/>
      <c r="WX9" s="6" t="n"/>
      <c r="WY9" s="6" t="n"/>
      <c r="WZ9" s="6" t="n"/>
      <c r="XA9" s="6" t="n"/>
      <c r="XB9" s="6" t="n"/>
      <c r="XC9" s="6" t="n"/>
      <c r="XD9" s="6" t="n"/>
      <c r="XE9" s="6" t="n"/>
      <c r="XF9" s="6" t="n"/>
      <c r="XG9" s="6" t="n"/>
      <c r="XH9" s="6" t="n"/>
      <c r="XI9" s="6" t="n"/>
      <c r="XJ9" s="6" t="n"/>
      <c r="XK9" s="6" t="n"/>
      <c r="XL9" s="6" t="n"/>
      <c r="XM9" s="6" t="n"/>
      <c r="XN9" s="6" t="n"/>
      <c r="XO9" s="6" t="n"/>
      <c r="XP9" s="6" t="n"/>
      <c r="XQ9" s="6" t="n"/>
      <c r="XR9" s="6">
        <f>IF(COUNTA(WN9:XQ9)=0, "", SUMPRODUCT(--ISNUMBER(SEARCH("m", WN9:XQ9))))</f>
        <v/>
      </c>
      <c r="XS9" s="6">
        <f>IF(COUNTA(WN9:XQ9)=0, "", COUNTA(WN9:XQ9) - SUMPRODUCT(--ISNUMBER(SEARCH("m", WN9:XQ9))))</f>
        <v/>
      </c>
      <c r="XT9" s="6" t="n"/>
      <c r="XU9" s="6" t="n"/>
      <c r="XV9" s="6" t="n"/>
      <c r="XW9" s="6" t="n"/>
      <c r="XX9" s="6" t="n"/>
      <c r="XY9" s="6" t="n"/>
      <c r="XZ9" s="6" t="n"/>
      <c r="YA9" s="6" t="n"/>
      <c r="YB9" s="6" t="n"/>
      <c r="YC9" s="6" t="n"/>
      <c r="YD9" s="6" t="n"/>
      <c r="YE9" s="6" t="n"/>
      <c r="YF9" s="6" t="n"/>
      <c r="YG9" s="6" t="n"/>
      <c r="YH9" s="6" t="n"/>
      <c r="YI9" s="6" t="n"/>
      <c r="YJ9" s="6" t="n"/>
      <c r="YK9" s="6" t="n"/>
      <c r="YL9" s="6" t="n"/>
      <c r="YM9" s="6" t="n"/>
      <c r="YN9" s="20">
        <f>IFERROR(ROUND(AVERAGE(XT9,XV9,XX9,XZ9,YB9,YD9,YF9,YH9,YJ9,YL9), 2), "")</f>
        <v/>
      </c>
      <c r="YO9" s="6" t="n"/>
      <c r="YP9" s="6" t="n"/>
      <c r="YQ9" s="6" t="n"/>
      <c r="YR9" s="6" t="n"/>
      <c r="YS9" s="6" t="n"/>
      <c r="YT9" s="6" t="n"/>
      <c r="YU9" s="6" t="n"/>
      <c r="YV9" s="6" t="n"/>
      <c r="YW9" s="6" t="n"/>
      <c r="YX9" s="6" t="n"/>
      <c r="YY9" s="6" t="n"/>
      <c r="YZ9" s="6" t="n"/>
      <c r="ZA9" s="6" t="n"/>
      <c r="ZB9" s="6" t="n"/>
      <c r="ZC9" s="6" t="n"/>
      <c r="ZD9" s="6" t="n"/>
      <c r="ZE9" s="6" t="n"/>
      <c r="ZF9" s="6" t="n"/>
      <c r="ZG9" s="6" t="n"/>
      <c r="ZH9" s="6" t="n"/>
      <c r="ZI9" s="6" t="n"/>
      <c r="ZJ9" s="6" t="n"/>
      <c r="ZK9" s="6" t="n"/>
      <c r="ZL9" s="6" t="n"/>
      <c r="ZM9" s="6" t="n"/>
      <c r="ZN9" s="6" t="n"/>
      <c r="ZO9" s="6" t="n"/>
      <c r="ZP9" s="6" t="n"/>
      <c r="ZQ9" s="6" t="n"/>
      <c r="ZR9" s="6" t="n"/>
      <c r="ZS9" s="6">
        <f>IF(COUNTA(YO9:ZR9)=0, "", SUMPRODUCT(--ISNUMBER(SEARCH("m", YO9:ZR9))))</f>
        <v/>
      </c>
      <c r="ZT9" s="6">
        <f>IF(COUNTA(YO9:ZR9)=0, "", COUNTA(YO9:ZR9) - SUMPRODUCT(--ISNUMBER(SEARCH("m", YO9:ZR9))))</f>
        <v/>
      </c>
      <c r="ZU9" s="6" t="n"/>
      <c r="ZV9" s="6" t="n"/>
      <c r="ZW9" s="6" t="n"/>
      <c r="ZX9" s="6" t="n"/>
      <c r="ZY9" s="6" t="n"/>
      <c r="ZZ9" s="6" t="n"/>
      <c r="AAA9" s="6" t="n"/>
      <c r="AAB9" s="6" t="n"/>
      <c r="AAC9" s="6" t="n"/>
      <c r="AAD9" s="6" t="n"/>
      <c r="AAE9" s="6" t="n"/>
      <c r="AAF9" s="6" t="n"/>
      <c r="AAG9" s="6" t="n"/>
      <c r="AAH9" s="6" t="n"/>
      <c r="AAI9" s="6" t="n"/>
      <c r="AAJ9" s="6" t="n"/>
      <c r="AAK9" s="6" t="n"/>
      <c r="AAL9" s="6" t="n"/>
      <c r="AAM9" s="6" t="n"/>
      <c r="AAN9" s="6" t="n"/>
      <c r="AAO9" s="20">
        <f>IFERROR(ROUND(AVERAGE(ZU9,ZW9,ZY9,AAA9,AAC9,AAE9,AAG9,AAI9,AAK9,AAM9), 2), "")</f>
        <v/>
      </c>
      <c r="AAP9" s="6" t="n"/>
      <c r="AAQ9" s="6" t="n"/>
      <c r="AAR9" s="6" t="n"/>
      <c r="AAS9" s="6" t="n"/>
      <c r="AAT9" s="6" t="n"/>
      <c r="AAU9" s="6" t="n"/>
      <c r="AAV9" s="6" t="n"/>
      <c r="AAW9" s="6" t="n"/>
      <c r="AAX9" s="6" t="n"/>
      <c r="AAY9" s="6" t="n"/>
      <c r="AAZ9" s="6" t="n"/>
      <c r="ABA9" s="6" t="n"/>
      <c r="ABB9" s="6" t="n"/>
      <c r="ABC9" s="6" t="n"/>
      <c r="ABD9" s="6" t="n"/>
      <c r="ABE9" s="6" t="n"/>
      <c r="ABF9" s="6" t="n"/>
      <c r="ABG9" s="6" t="n"/>
      <c r="ABH9" s="6" t="n"/>
      <c r="ABI9" s="6" t="n"/>
      <c r="ABJ9" s="6" t="n"/>
      <c r="ABK9" s="6" t="n"/>
      <c r="ABL9" s="6" t="n"/>
      <c r="ABM9" s="6" t="n"/>
      <c r="ABN9" s="6" t="n"/>
      <c r="ABO9" s="6" t="n"/>
      <c r="ABP9" s="6" t="n"/>
      <c r="ABQ9" s="6" t="n"/>
      <c r="ABR9" s="6" t="n"/>
      <c r="ABS9" s="6" t="n"/>
      <c r="ABT9" s="6">
        <f>IF(COUNTA(AAP9:ABS9)=0, "", SUMPRODUCT(--ISNUMBER(SEARCH("m", AAP9:ABS9))))</f>
        <v/>
      </c>
      <c r="ABU9" s="6">
        <f>IF(COUNTA(AAP9:ABS9)=0, "", COUNTA(AAP9:ABS9) - SUMPRODUCT(--ISNUMBER(SEARCH("m", AAP9:ABS9))))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8">
        <f>IFERROR(ROUND(AVERAGE(AB10,CC10,ED10,GE10,IF10,KG10,MH10,OI10,QJ10,SK10,UL10,WM10,YN10,AAO10), 2), "")</f>
        <v/>
      </c>
      <c r="F10" s="14">
        <f>IF(SUM(BH10,DI10,FJ10,HK10,JL10,LM10,NN10,PO10,RP10,TQ10,VR10,XS10,ZT10,ABU10)=0, "", SUM(BH10,DI10,FJ10,HK10,JL10,LM10,NN10,PO10,RP10,TQ10,VR10,XS10,ZT10,ABU10))</f>
        <v/>
      </c>
      <c r="G10" s="8">
        <f>IF(SUM(BG10,DH10,FI10,HJ10,JK10,LL10,NM10,PN10,RO10,TP10,VQ10,XR10,ZS10,ABT10)=0, "", SUM(BG10,DH10,FI10,HJ10,JK10,LL10,NM10,PN10,RO10,TP10,VQ10,XR10,ZS10,ABT10))</f>
        <v/>
      </c>
      <c r="H10" s="6" t="n"/>
      <c r="I10" s="79" t="n"/>
      <c r="J10" s="6" t="n"/>
      <c r="K10" s="79" t="n"/>
      <c r="L10" s="6" t="n"/>
      <c r="M10" s="79" t="n"/>
      <c r="N10" s="6" t="n"/>
      <c r="O10" s="79" t="n"/>
      <c r="P10" s="6" t="n"/>
      <c r="Q10" s="79" t="n"/>
      <c r="R10" s="18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18" t="n"/>
      <c r="AB10" s="14">
        <f>IFERROR(ROUND(AVERAGE(H10,J10,L10,N10,P10,R10,T10,V10,X10,Z10), 2), "")</f>
        <v/>
      </c>
      <c r="AC10" s="6" t="n"/>
      <c r="AD10" s="79" t="n"/>
      <c r="AE10" s="6" t="n"/>
      <c r="AF10" s="79" t="n"/>
      <c r="AG10" s="6" t="n"/>
      <c r="AH10" s="79" t="n"/>
      <c r="AI10" s="6" t="n"/>
      <c r="AJ10" s="79" t="n"/>
      <c r="AK10" s="6" t="n"/>
      <c r="AL10" s="79" t="n"/>
      <c r="AM10" s="18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18" t="n"/>
      <c r="AW10" s="19" t="n"/>
      <c r="AX10" s="6" t="n"/>
      <c r="AY10" s="79" t="n"/>
      <c r="AZ10" s="6" t="n"/>
      <c r="BA10" s="79" t="n"/>
      <c r="BB10" s="6" t="n"/>
      <c r="BC10" s="79" t="n"/>
      <c r="BD10" s="6" t="n"/>
      <c r="BE10" s="79" t="n"/>
      <c r="BF10" s="6" t="n"/>
      <c r="BG10" s="79">
        <f>IF(COUNTA(AC10:BF10)=0, "", SUMPRODUCT(--ISNUMBER(SEARCH("m", AC10:BF10))))</f>
        <v/>
      </c>
      <c r="BH10" s="18">
        <f>IF(COUNTA(AC10:BF10)=0, "", COUNTA(AC10:BF10) - SUMPRODUCT(--ISNUMBER(SEARCH("m", AC10:BF10))))</f>
        <v/>
      </c>
      <c r="BI10" s="79" t="n"/>
      <c r="BJ10" s="79" t="n"/>
      <c r="BK10" s="79" t="n"/>
      <c r="BL10" s="79" t="n"/>
      <c r="BM10" s="79" t="n"/>
      <c r="BN10" s="79" t="n"/>
      <c r="BO10" s="79" t="n"/>
      <c r="BP10" s="79" t="n"/>
      <c r="BQ10" s="18" t="n"/>
      <c r="BR10" s="19" t="n"/>
      <c r="BS10" s="6" t="n"/>
      <c r="BT10" s="79" t="n"/>
      <c r="BU10" s="6" t="n"/>
      <c r="BV10" s="79" t="n"/>
      <c r="BW10" s="6" t="n"/>
      <c r="BX10" s="79" t="n"/>
      <c r="BY10" s="6" t="n"/>
      <c r="BZ10" s="79" t="n"/>
      <c r="CA10" s="6" t="n"/>
      <c r="CB10" s="79" t="n"/>
      <c r="CC10" s="8">
        <f>IFERROR(ROUND(AVERAGE(BI10,BK10,BM10,BO10,BQ10,BS10,BU10,BW10,BY10,CA10), 2), "")</f>
        <v/>
      </c>
      <c r="CD10" s="79" t="n"/>
      <c r="CE10" s="79" t="n"/>
      <c r="CF10" s="79" t="n"/>
      <c r="CG10" s="79" t="n"/>
      <c r="CH10" s="79" t="n"/>
      <c r="CI10" s="79" t="n"/>
      <c r="CJ10" s="79" t="n"/>
      <c r="CK10" s="79" t="n"/>
      <c r="CL10" s="18" t="n"/>
      <c r="CM10" s="19" t="n"/>
      <c r="CN10" s="6" t="n"/>
      <c r="CO10" s="79" t="n"/>
      <c r="CP10" s="6" t="n"/>
      <c r="CQ10" s="79" t="n"/>
      <c r="CR10" s="6" t="n"/>
      <c r="CS10" s="79" t="n"/>
      <c r="CT10" s="6" t="n"/>
      <c r="CU10" s="79" t="n"/>
      <c r="CV10" s="6" t="n"/>
      <c r="CW10" s="79" t="n"/>
      <c r="CX10" s="18" t="n"/>
      <c r="CY10" s="79" t="n"/>
      <c r="CZ10" s="79" t="n"/>
      <c r="DA10" s="79" t="n"/>
      <c r="DB10" s="79" t="n"/>
      <c r="DC10" s="79" t="n"/>
      <c r="DD10" s="79" t="n"/>
      <c r="DE10" s="79" t="n"/>
      <c r="DF10" s="79" t="n"/>
      <c r="DG10" s="18" t="n"/>
      <c r="DH10" s="19">
        <f>IF(COUNTA(CD10:DG10)=0, "", SUMPRODUCT(--ISNUMBER(SEARCH("m", CD10:DG10))))</f>
        <v/>
      </c>
      <c r="DI10" s="6">
        <f>IF(COUNTA(CD10:DG10)=0, "", COUNTA(CD10:DG10) - SUMPRODUCT(--ISNUMBER(SEARCH("m", CD10:DG10))))</f>
        <v/>
      </c>
      <c r="DJ10" s="79" t="n"/>
      <c r="DK10" s="6" t="n"/>
      <c r="DL10" s="79" t="n"/>
      <c r="DM10" s="6" t="n"/>
      <c r="DN10" s="79" t="n"/>
      <c r="DO10" s="6" t="n"/>
      <c r="DP10" s="79" t="n"/>
      <c r="DQ10" s="6" t="n"/>
      <c r="DR10" s="79" t="n"/>
      <c r="DS10" s="18" t="n"/>
      <c r="DT10" s="79" t="n"/>
      <c r="DU10" s="79" t="n"/>
      <c r="DV10" s="79" t="n"/>
      <c r="DW10" s="79" t="n"/>
      <c r="DX10" s="79" t="n"/>
      <c r="DY10" s="79" t="n"/>
      <c r="DZ10" s="79" t="n"/>
      <c r="EA10" s="79" t="n"/>
      <c r="EB10" s="18" t="n"/>
      <c r="EC10" s="19" t="n"/>
      <c r="ED10" s="20">
        <f>IFERROR(ROUND(AVERAGE(DJ10,DL10,DN10,DP10,DR10,DT10,DV10,DX10,DZ10,EB10), 2), "")</f>
        <v/>
      </c>
      <c r="EE10" s="79" t="n"/>
      <c r="EF10" s="6" t="n"/>
      <c r="EG10" s="79" t="n"/>
      <c r="EH10" s="6" t="n"/>
      <c r="EI10" s="79" t="n"/>
      <c r="EJ10" s="6" t="n"/>
      <c r="EK10" s="79" t="n"/>
      <c r="EL10" s="6" t="n"/>
      <c r="EM10" s="79" t="n"/>
      <c r="EN10" s="18" t="n"/>
      <c r="EO10" s="79" t="n"/>
      <c r="EP10" s="79" t="n"/>
      <c r="EQ10" s="79" t="n"/>
      <c r="ER10" s="79" t="n"/>
      <c r="ES10" s="79" t="n"/>
      <c r="ET10" s="79" t="n"/>
      <c r="EU10" s="79" t="n"/>
      <c r="EV10" s="79" t="n"/>
      <c r="EW10" s="18" t="n"/>
      <c r="EX10" s="19" t="n"/>
      <c r="EY10" s="6" t="n"/>
      <c r="EZ10" s="79" t="n"/>
      <c r="FA10" s="6" t="n"/>
      <c r="FB10" s="79" t="n"/>
      <c r="FC10" s="6" t="n"/>
      <c r="FD10" s="79" t="n"/>
      <c r="FE10" s="6" t="n"/>
      <c r="FF10" s="79" t="n"/>
      <c r="FG10" s="6" t="n"/>
      <c r="FH10" s="79" t="n"/>
      <c r="FI10" s="18">
        <f>IF(COUNTA(EE10:FH10)=0, "", SUMPRODUCT(--ISNUMBER(SEARCH("m", EE10:FH10))))</f>
        <v/>
      </c>
      <c r="FJ10" s="79">
        <f>IF(COUNTA(EE10:FH10)=0, "", COUNTA(EE10:FH10) - SUMPRODUCT(--ISNUMBER(SEARCH("m", EE10:FH10))))</f>
        <v/>
      </c>
      <c r="FK10" s="79" t="n"/>
      <c r="FL10" s="79" t="n"/>
      <c r="FM10" s="79" t="n"/>
      <c r="FN10" s="79" t="n"/>
      <c r="FO10" s="79" t="n"/>
      <c r="FP10" s="79" t="n"/>
      <c r="FQ10" s="79" t="n"/>
      <c r="FR10" s="18" t="n"/>
      <c r="FS10" s="19" t="n"/>
      <c r="FT10" s="6" t="n"/>
      <c r="FU10" s="79" t="n"/>
      <c r="FV10" s="6" t="n"/>
      <c r="FW10" s="79" t="n"/>
      <c r="FX10" s="6" t="n"/>
      <c r="FY10" s="79" t="n"/>
      <c r="FZ10" s="6" t="n"/>
      <c r="GA10" s="79" t="n"/>
      <c r="GB10" s="6" t="n"/>
      <c r="GC10" s="79" t="n"/>
      <c r="GD10" s="18" t="n"/>
      <c r="GE10" s="80">
        <f>IFERROR(ROUND(AVERAGE(FK10,FM10,FO10,FQ10,FS10,FU10,FW10,FY10,GA10,GC10), 2), "")</f>
        <v/>
      </c>
      <c r="GF10" s="79" t="n"/>
      <c r="GG10" s="79" t="n"/>
      <c r="GH10" s="79" t="n"/>
      <c r="GI10" s="79" t="n"/>
      <c r="GJ10" s="79" t="n"/>
      <c r="GK10" s="79" t="n"/>
      <c r="GL10" s="79" t="n"/>
      <c r="GM10" s="18" t="n"/>
      <c r="GN10" s="19" t="n"/>
      <c r="GO10" s="6" t="n"/>
      <c r="GP10" s="79" t="n"/>
      <c r="GQ10" s="6" t="n"/>
      <c r="GR10" s="79" t="n"/>
      <c r="GS10" s="6" t="n"/>
      <c r="GT10" s="79" t="n"/>
      <c r="GU10" s="6" t="n"/>
      <c r="GV10" s="79" t="n"/>
      <c r="GW10" s="6" t="n"/>
      <c r="GX10" s="79" t="n"/>
      <c r="GY10" s="18" t="n"/>
      <c r="GZ10" s="79" t="n"/>
      <c r="HA10" s="79" t="n"/>
      <c r="HB10" s="79" t="n"/>
      <c r="HC10" s="79" t="n"/>
      <c r="HD10" s="79" t="n"/>
      <c r="HE10" s="79" t="n"/>
      <c r="HF10" s="79" t="n"/>
      <c r="HG10" s="79" t="n"/>
      <c r="HH10" s="18" t="n"/>
      <c r="HI10" s="19" t="n"/>
      <c r="HJ10" s="6">
        <f>IF(COUNTA(GF10:HI10)=0, "", SUMPRODUCT(--ISNUMBER(SEARCH("m", GF10:HI10))))</f>
        <v/>
      </c>
      <c r="HK10" s="79">
        <f>IF(COUNTA(GF10:HI10)=0, "", COUNTA(GF10:HI10) - SUMPRODUCT(--ISNUMBER(SEARCH("m", GF10:HI10))))</f>
        <v/>
      </c>
      <c r="HL10" s="6" t="n"/>
      <c r="HM10" s="79" t="n"/>
      <c r="HN10" s="6" t="n"/>
      <c r="HO10" s="79" t="n"/>
      <c r="HP10" s="6" t="n"/>
      <c r="HQ10" s="79" t="n"/>
      <c r="HR10" s="6" t="n"/>
      <c r="HS10" s="79" t="n"/>
      <c r="HT10" s="18" t="n"/>
      <c r="HU10" s="79" t="n"/>
      <c r="HV10" s="79" t="n"/>
      <c r="HW10" s="79" t="n"/>
      <c r="HX10" s="79" t="n"/>
      <c r="HY10" s="79" t="n"/>
      <c r="HZ10" s="79" t="n"/>
      <c r="IA10" s="79" t="n"/>
      <c r="IB10" s="79" t="n"/>
      <c r="IC10" s="18" t="n"/>
      <c r="ID10" s="19" t="n"/>
      <c r="IE10" s="6" t="n"/>
      <c r="IF10" s="80">
        <f>IFERROR(ROUND(AVERAGE(HL10,HN10,HP10,HR10,HT10,HV10,HX10,HZ10,IB10,ID10), 2), "")</f>
        <v/>
      </c>
      <c r="IG10" s="6" t="n"/>
      <c r="IH10" s="79" t="n"/>
      <c r="II10" s="6" t="n"/>
      <c r="IJ10" s="79" t="n"/>
      <c r="IK10" s="6" t="n"/>
      <c r="IL10" s="79" t="n"/>
      <c r="IM10" s="6" t="n"/>
      <c r="IN10" s="79" t="n"/>
      <c r="IO10" s="18" t="n"/>
      <c r="IP10" s="79" t="n"/>
      <c r="IQ10" s="79" t="n"/>
      <c r="IR10" s="79" t="n"/>
      <c r="IS10" s="79" t="n"/>
      <c r="IT10" s="79" t="n"/>
      <c r="IU10" s="79" t="n"/>
      <c r="IV10" s="79" t="n"/>
      <c r="IW10" s="79" t="n"/>
      <c r="IX10" s="18" t="n"/>
      <c r="IY10" s="19" t="n"/>
      <c r="IZ10" s="6" t="n"/>
      <c r="JA10" s="79" t="n"/>
      <c r="JB10" s="6" t="n"/>
      <c r="JC10" s="79" t="n"/>
      <c r="JD10" s="6" t="n"/>
      <c r="JE10" s="79" t="n"/>
      <c r="JF10" s="6" t="n"/>
      <c r="JG10" s="79" t="n"/>
      <c r="JH10" s="6" t="n"/>
      <c r="JI10" s="79" t="n"/>
      <c r="JJ10" s="18" t="n"/>
      <c r="JK10" s="79">
        <f>IF(COUNTA(IG10:JJ10)=0, "", SUMPRODUCT(--ISNUMBER(SEARCH("m", IG10:JJ10))))</f>
        <v/>
      </c>
      <c r="JL10" s="79">
        <f>IF(COUNTA(IG10:JJ10)=0, "", COUNTA(IG10:JJ10) - SUMPRODUCT(--ISNUMBER(SEARCH("m", IG10:JJ10))))</f>
        <v/>
      </c>
      <c r="JM10" s="79" t="n"/>
      <c r="JN10" s="79" t="n"/>
      <c r="JO10" s="79" t="n"/>
      <c r="JP10" s="79" t="n"/>
      <c r="JQ10" s="79" t="n"/>
      <c r="JR10" s="79" t="n"/>
      <c r="JS10" s="18" t="n"/>
      <c r="JT10" s="19" t="n"/>
      <c r="JU10" s="6" t="n"/>
      <c r="JV10" s="79" t="n"/>
      <c r="JW10" s="6" t="n"/>
      <c r="JX10" s="79" t="n"/>
      <c r="JY10" s="6" t="n"/>
      <c r="JZ10" s="79" t="n"/>
      <c r="KA10" s="6" t="n"/>
      <c r="KB10" s="79" t="n"/>
      <c r="KC10" s="6" t="n"/>
      <c r="KD10" s="79" t="n"/>
      <c r="KE10" s="18" t="n"/>
      <c r="KF10" s="79" t="n"/>
      <c r="KG10" s="80">
        <f>IFERROR(ROUND(AVERAGE(JM10,JO10,JQ10,JS10,JU10,JW10,JY10,KA10,KC10,KE10), 2), "")</f>
        <v/>
      </c>
      <c r="KH10" s="79" t="n"/>
      <c r="KI10" s="79" t="n"/>
      <c r="KJ10" s="79" t="n"/>
      <c r="KK10" s="79" t="n"/>
      <c r="KL10" s="79" t="n"/>
      <c r="KM10" s="79" t="n"/>
      <c r="KN10" s="18" t="n"/>
      <c r="KO10" s="19" t="n"/>
      <c r="KP10" s="6" t="n"/>
      <c r="KQ10" s="6" t="n"/>
      <c r="KR10" s="6" t="n"/>
      <c r="KS10" s="6" t="n"/>
      <c r="KT10" s="6" t="n"/>
      <c r="KU10" s="6" t="n"/>
      <c r="KV10" s="6" t="n"/>
      <c r="KW10" s="6" t="n"/>
      <c r="KX10" s="6" t="n"/>
      <c r="KY10" s="6" t="n"/>
      <c r="KZ10" s="6" t="n"/>
      <c r="LA10" s="6" t="n"/>
      <c r="LB10" s="6" t="n"/>
      <c r="LC10" s="6" t="n"/>
      <c r="LD10" s="6" t="n"/>
      <c r="LE10" s="6" t="n"/>
      <c r="LF10" s="6" t="n"/>
      <c r="LG10" s="6" t="n"/>
      <c r="LH10" s="6" t="n"/>
      <c r="LI10" s="6" t="n"/>
      <c r="LJ10" s="6" t="n"/>
      <c r="LK10" s="6" t="n"/>
      <c r="LL10" s="6">
        <f>IF(COUNTA(KH10:LK10)=0, "", SUMPRODUCT(--ISNUMBER(SEARCH("m", KH10:LK10))))</f>
        <v/>
      </c>
      <c r="LM10" s="6">
        <f>IF(COUNTA(KH10:LK10)=0, "", COUNTA(KH10:LK10) - SUMPRODUCT(--ISNUMBER(SEARCH("m", KH10:LK10))))</f>
        <v/>
      </c>
      <c r="LN10" s="6" t="n"/>
      <c r="LO10" s="6" t="n"/>
      <c r="LP10" s="6" t="n"/>
      <c r="LQ10" s="6" t="n"/>
      <c r="LR10" s="6" t="n"/>
      <c r="LS10" s="6" t="n"/>
      <c r="LT10" s="6" t="n"/>
      <c r="LU10" s="6" t="n"/>
      <c r="LV10" s="6" t="n"/>
      <c r="LW10" s="6" t="n"/>
      <c r="LX10" s="6" t="n"/>
      <c r="LY10" s="6" t="n"/>
      <c r="LZ10" s="6" t="n"/>
      <c r="MA10" s="6" t="n"/>
      <c r="MB10" s="6" t="n"/>
      <c r="MC10" s="6" t="n"/>
      <c r="MD10" s="6" t="n"/>
      <c r="ME10" s="6" t="n"/>
      <c r="MF10" s="6" t="n"/>
      <c r="MG10" s="6" t="n"/>
      <c r="MH10" s="20">
        <f>IFERROR(ROUND(AVERAGE(LN10,LP10,LR10,LT10,LV10,LX10,LZ10,MB10,MD10,MF10), 2), "")</f>
        <v/>
      </c>
      <c r="MI10" s="6" t="n"/>
      <c r="MJ10" s="6" t="n"/>
      <c r="MK10" s="6" t="n"/>
      <c r="ML10" s="6" t="n"/>
      <c r="MM10" s="6" t="n"/>
      <c r="MN10" s="6" t="n"/>
      <c r="MO10" s="6" t="n"/>
      <c r="MP10" s="6" t="n"/>
      <c r="MQ10" s="6" t="n"/>
      <c r="MR10" s="6" t="n"/>
      <c r="MS10" s="6" t="n"/>
      <c r="MT10" s="6" t="n"/>
      <c r="MU10" s="6" t="n"/>
      <c r="MV10" s="6" t="n"/>
      <c r="MW10" s="6" t="n"/>
      <c r="MX10" s="6" t="n"/>
      <c r="MY10" s="6" t="n"/>
      <c r="MZ10" s="6" t="n"/>
      <c r="NA10" s="6" t="n"/>
      <c r="NB10" s="6" t="n"/>
      <c r="NC10" s="6" t="n"/>
      <c r="ND10" s="6" t="n"/>
      <c r="NE10" s="6" t="n"/>
      <c r="NF10" s="6" t="n"/>
      <c r="NG10" s="6" t="n"/>
      <c r="NH10" s="6" t="n"/>
      <c r="NI10" s="6" t="n"/>
      <c r="NJ10" s="6" t="n"/>
      <c r="NK10" s="6" t="n"/>
      <c r="NL10" s="6" t="n"/>
      <c r="NM10" s="6">
        <f>IF(COUNTA(MI10:NL10)=0, "", SUMPRODUCT(--ISNUMBER(SEARCH("m", MI10:NL10))))</f>
        <v/>
      </c>
      <c r="NN10" s="6">
        <f>IF(COUNTA(MI10:NL10)=0, "", COUNTA(MI10:NL10) - SUMPRODUCT(--ISNUMBER(SEARCH("m", MI10:NL10))))</f>
        <v/>
      </c>
      <c r="NO10" s="6" t="n"/>
      <c r="NP10" s="6" t="n"/>
      <c r="NQ10" s="6" t="n"/>
      <c r="NR10" s="6" t="n"/>
      <c r="NS10" s="6" t="n"/>
      <c r="NT10" s="6" t="n"/>
      <c r="NU10" s="6" t="n"/>
      <c r="NV10" s="6" t="n"/>
      <c r="NW10" s="6" t="n"/>
      <c r="NX10" s="6" t="n"/>
      <c r="NY10" s="6" t="n"/>
      <c r="NZ10" s="6" t="n"/>
      <c r="OA10" s="6" t="n"/>
      <c r="OB10" s="6" t="n"/>
      <c r="OC10" s="6" t="n"/>
      <c r="OD10" s="6" t="n"/>
      <c r="OE10" s="6" t="n"/>
      <c r="OF10" s="6" t="n"/>
      <c r="OG10" s="6" t="n"/>
      <c r="OH10" s="6" t="n"/>
      <c r="OI10" s="20">
        <f>IFERROR(ROUND(AVERAGE(NO10,NQ10,NS10,NU10,NW10,NY10,OA10,OC10,OE10,OG10), 2), "")</f>
        <v/>
      </c>
      <c r="OJ10" s="6" t="n"/>
      <c r="OK10" s="6" t="n"/>
      <c r="OL10" s="6" t="n"/>
      <c r="OM10" s="6" t="n"/>
      <c r="ON10" s="6" t="n"/>
      <c r="OO10" s="6" t="n"/>
      <c r="OP10" s="6" t="n"/>
      <c r="OQ10" s="6" t="n"/>
      <c r="OR10" s="6" t="n"/>
      <c r="OS10" s="6" t="n"/>
      <c r="OT10" s="6" t="n"/>
      <c r="OU10" s="6" t="n"/>
      <c r="OV10" s="6" t="n"/>
      <c r="OW10" s="6" t="n"/>
      <c r="OX10" s="6" t="n"/>
      <c r="OY10" s="6" t="n"/>
      <c r="OZ10" s="6" t="n"/>
      <c r="PA10" s="6" t="n"/>
      <c r="PB10" s="6" t="n"/>
      <c r="PC10" s="6" t="n"/>
      <c r="PD10" s="6" t="n"/>
      <c r="PE10" s="6" t="n"/>
      <c r="PF10" s="6" t="n"/>
      <c r="PG10" s="6" t="n"/>
      <c r="PH10" s="6" t="n"/>
      <c r="PI10" s="6" t="n"/>
      <c r="PJ10" s="6" t="n"/>
      <c r="PK10" s="6" t="n"/>
      <c r="PL10" s="6" t="n"/>
      <c r="PM10" s="6" t="n"/>
      <c r="PN10" s="6">
        <f>IF(COUNTA(OJ10:PM10)=0, "", SUMPRODUCT(--ISNUMBER(SEARCH("m", OJ10:PM10))))</f>
        <v/>
      </c>
      <c r="PO10" s="6">
        <f>IF(COUNTA(OJ10:PM10)=0, "", COUNTA(OJ10:PM10) - SUMPRODUCT(--ISNUMBER(SEARCH("m", OJ10:PM10))))</f>
        <v/>
      </c>
      <c r="PP10" s="6" t="n"/>
      <c r="PQ10" s="6" t="n"/>
      <c r="PR10" s="6" t="n"/>
      <c r="PS10" s="6" t="n"/>
      <c r="PT10" s="6" t="n"/>
      <c r="PU10" s="6" t="n"/>
      <c r="PV10" s="6" t="n"/>
      <c r="PW10" s="6" t="n"/>
      <c r="PX10" s="6" t="n"/>
      <c r="PY10" s="6" t="n"/>
      <c r="PZ10" s="6" t="n"/>
      <c r="QA10" s="6" t="n"/>
      <c r="QB10" s="6" t="n"/>
      <c r="QC10" s="6" t="n"/>
      <c r="QD10" s="6" t="n"/>
      <c r="QE10" s="6" t="n"/>
      <c r="QF10" s="6" t="n"/>
      <c r="QG10" s="6" t="n"/>
      <c r="QH10" s="6" t="n"/>
      <c r="QI10" s="6" t="n"/>
      <c r="QJ10" s="20">
        <f>IFERROR(ROUND(AVERAGE(PP10,PR10,PT10,PV10,PX10,PZ10,QB10,QD10,QF10,QH10), 2), "")</f>
        <v/>
      </c>
      <c r="QK10" s="6" t="n"/>
      <c r="QL10" s="6" t="n"/>
      <c r="QM10" s="6" t="n"/>
      <c r="QN10" s="6" t="n"/>
      <c r="QO10" s="6" t="n"/>
      <c r="QP10" s="6" t="n"/>
      <c r="QQ10" s="6" t="n"/>
      <c r="QR10" s="6" t="n"/>
      <c r="QS10" s="6" t="n"/>
      <c r="QT10" s="6" t="n"/>
      <c r="QU10" s="6" t="n"/>
      <c r="QV10" s="6" t="n"/>
      <c r="QW10" s="6" t="n"/>
      <c r="QX10" s="6" t="n"/>
      <c r="QY10" s="6" t="n"/>
      <c r="QZ10" s="6" t="n"/>
      <c r="RA10" s="6" t="n"/>
      <c r="RB10" s="6" t="n"/>
      <c r="RC10" s="6" t="n"/>
      <c r="RD10" s="6" t="n"/>
      <c r="RE10" s="6" t="n"/>
      <c r="RF10" s="6" t="n"/>
      <c r="RG10" s="6" t="n"/>
      <c r="RH10" s="6" t="n"/>
      <c r="RI10" s="6" t="n"/>
      <c r="RJ10" s="6" t="n"/>
      <c r="RK10" s="6" t="n"/>
      <c r="RL10" s="6" t="n"/>
      <c r="RM10" s="6" t="n"/>
      <c r="RN10" s="6" t="n"/>
      <c r="RO10" s="6">
        <f>IF(COUNTA(QK10:RN10)=0, "", SUMPRODUCT(--ISNUMBER(SEARCH("m", QK10:RN10))))</f>
        <v/>
      </c>
      <c r="RP10" s="6">
        <f>IF(COUNTA(QK10:RN10)=0, "", COUNTA(QK10:RN10) - SUMPRODUCT(--ISNUMBER(SEARCH("m", QK10:RN10))))</f>
        <v/>
      </c>
      <c r="RQ10" s="6" t="n"/>
      <c r="RR10" s="6" t="n"/>
      <c r="RS10" s="6" t="n"/>
      <c r="RT10" s="6" t="n"/>
      <c r="RU10" s="6" t="n"/>
      <c r="RV10" s="6" t="n"/>
      <c r="RW10" s="6" t="n"/>
      <c r="RX10" s="6" t="n"/>
      <c r="RY10" s="6" t="n"/>
      <c r="RZ10" s="6" t="n"/>
      <c r="SA10" s="6" t="n"/>
      <c r="SB10" s="6" t="n"/>
      <c r="SC10" s="6" t="n"/>
      <c r="SD10" s="6" t="n"/>
      <c r="SE10" s="6" t="n"/>
      <c r="SF10" s="6" t="n"/>
      <c r="SG10" s="6" t="n"/>
      <c r="SH10" s="6" t="n"/>
      <c r="SI10" s="6" t="n"/>
      <c r="SJ10" s="6" t="n"/>
      <c r="SK10" s="20">
        <f>IFERROR(ROUND(AVERAGE(RQ10,RS10,RU10,RW10,RY10,SA10,SC10,SE10,SG10,SI10), 2), "")</f>
        <v/>
      </c>
      <c r="SL10" s="6" t="n"/>
      <c r="SM10" s="6" t="n"/>
      <c r="SN10" s="6" t="n"/>
      <c r="SO10" s="6" t="n"/>
      <c r="SP10" s="6" t="n"/>
      <c r="SQ10" s="6" t="n"/>
      <c r="SR10" s="6" t="n"/>
      <c r="SS10" s="6" t="n"/>
      <c r="ST10" s="6" t="n"/>
      <c r="SU10" s="6" t="n"/>
      <c r="SV10" s="6" t="n"/>
      <c r="SW10" s="6" t="n"/>
      <c r="SX10" s="6" t="n"/>
      <c r="SY10" s="6" t="n"/>
      <c r="SZ10" s="6" t="n"/>
      <c r="TA10" s="6" t="n"/>
      <c r="TB10" s="6" t="n"/>
      <c r="TC10" s="6" t="n"/>
      <c r="TD10" s="6" t="n"/>
      <c r="TE10" s="6" t="n"/>
      <c r="TF10" s="6" t="n"/>
      <c r="TG10" s="6" t="n"/>
      <c r="TH10" s="6" t="n"/>
      <c r="TI10" s="6" t="n"/>
      <c r="TJ10" s="6" t="n"/>
      <c r="TK10" s="6" t="n"/>
      <c r="TL10" s="6" t="n"/>
      <c r="TM10" s="6" t="n"/>
      <c r="TN10" s="6" t="n"/>
      <c r="TO10" s="6" t="n"/>
      <c r="TP10" s="6">
        <f>IF(COUNTA(SL10:TO10)=0, "", SUMPRODUCT(--ISNUMBER(SEARCH("m", SL10:TO10))))</f>
        <v/>
      </c>
      <c r="TQ10" s="6">
        <f>IF(COUNTA(SL10:TO10)=0, "", COUNTA(SL10:TO10) - SUMPRODUCT(--ISNUMBER(SEARCH("m", SL10:TO10))))</f>
        <v/>
      </c>
      <c r="TR10" s="6" t="n"/>
      <c r="TS10" s="6" t="n"/>
      <c r="TT10" s="6" t="n"/>
      <c r="TU10" s="6" t="n"/>
      <c r="TV10" s="6" t="n"/>
      <c r="TW10" s="6" t="n"/>
      <c r="TX10" s="6" t="n"/>
      <c r="TY10" s="6" t="n"/>
      <c r="TZ10" s="6" t="n"/>
      <c r="UA10" s="6" t="n"/>
      <c r="UB10" s="6" t="n"/>
      <c r="UC10" s="6" t="n"/>
      <c r="UD10" s="6" t="n"/>
      <c r="UE10" s="6" t="n"/>
      <c r="UF10" s="6" t="n"/>
      <c r="UG10" s="6" t="n"/>
      <c r="UH10" s="6" t="n"/>
      <c r="UI10" s="6" t="n"/>
      <c r="UJ10" s="6" t="n"/>
      <c r="UK10" s="6" t="n"/>
      <c r="UL10" s="20">
        <f>IFERROR(ROUND(AVERAGE(TR10,TT10,TV10,TX10,TZ10,UB10,UD10,UF10,UH10,UJ10), 2), "")</f>
        <v/>
      </c>
      <c r="UM10" s="6" t="n"/>
      <c r="UN10" s="6" t="n"/>
      <c r="UO10" s="6" t="n"/>
      <c r="UP10" s="6" t="n"/>
      <c r="UQ10" s="6" t="n"/>
      <c r="UR10" s="6" t="n"/>
      <c r="US10" s="6" t="n"/>
      <c r="UT10" s="6" t="n"/>
      <c r="UU10" s="6" t="n"/>
      <c r="UV10" s="6" t="n"/>
      <c r="UW10" s="6" t="n"/>
      <c r="UX10" s="6" t="n"/>
      <c r="UY10" s="6" t="n"/>
      <c r="UZ10" s="6" t="n"/>
      <c r="VA10" s="6" t="n"/>
      <c r="VB10" s="6" t="n"/>
      <c r="VC10" s="6" t="n"/>
      <c r="VD10" s="6" t="n"/>
      <c r="VE10" s="6" t="n"/>
      <c r="VF10" s="6" t="n"/>
      <c r="VG10" s="6" t="n"/>
      <c r="VH10" s="6" t="n"/>
      <c r="VI10" s="6" t="n"/>
      <c r="VJ10" s="6" t="n"/>
      <c r="VK10" s="6" t="n"/>
      <c r="VL10" s="6" t="n"/>
      <c r="VM10" s="6" t="n"/>
      <c r="VN10" s="6" t="n"/>
      <c r="VO10" s="6" t="n"/>
      <c r="VP10" s="6" t="n"/>
      <c r="VQ10" s="6">
        <f>IF(COUNTA(UM10:VP10)=0, "", SUMPRODUCT(--ISNUMBER(SEARCH("m", UM10:VP10))))</f>
        <v/>
      </c>
      <c r="VR10" s="6">
        <f>IF(COUNTA(UM10:VP10)=0, "", COUNTA(UM10:VP10) - SUMPRODUCT(--ISNUMBER(SEARCH("m", UM10:VP10))))</f>
        <v/>
      </c>
      <c r="VS10" s="6" t="n"/>
      <c r="VT10" s="6" t="n"/>
      <c r="VU10" s="6" t="n"/>
      <c r="VV10" s="6" t="n"/>
      <c r="VW10" s="6" t="n"/>
      <c r="VX10" s="6" t="n"/>
      <c r="VY10" s="6" t="n"/>
      <c r="VZ10" s="6" t="n"/>
      <c r="WA10" s="6" t="n"/>
      <c r="WB10" s="6" t="n"/>
      <c r="WC10" s="6" t="n"/>
      <c r="WD10" s="6" t="n"/>
      <c r="WE10" s="6" t="n"/>
      <c r="WF10" s="6" t="n"/>
      <c r="WG10" s="6" t="n"/>
      <c r="WH10" s="6" t="n"/>
      <c r="WI10" s="6" t="n"/>
      <c r="WJ10" s="6" t="n"/>
      <c r="WK10" s="6" t="n"/>
      <c r="WL10" s="6" t="n"/>
      <c r="WM10" s="20">
        <f>IFERROR(ROUND(AVERAGE(VS10,VU10,VW10,VY10,WA10,WC10,WE10,WG10,WI10,WK10), 2), "")</f>
        <v/>
      </c>
      <c r="WN10" s="6" t="n"/>
      <c r="WO10" s="6" t="n"/>
      <c r="WP10" s="6" t="n"/>
      <c r="WQ10" s="6" t="n"/>
      <c r="WR10" s="6" t="n"/>
      <c r="WS10" s="6" t="n"/>
      <c r="WT10" s="6" t="n"/>
      <c r="WU10" s="6" t="n"/>
      <c r="WV10" s="6" t="n"/>
      <c r="WW10" s="6" t="n"/>
      <c r="WX10" s="6" t="n"/>
      <c r="WY10" s="6" t="n"/>
      <c r="WZ10" s="6" t="n"/>
      <c r="XA10" s="6" t="n"/>
      <c r="XB10" s="6" t="n"/>
      <c r="XC10" s="6" t="n"/>
      <c r="XD10" s="6" t="n"/>
      <c r="XE10" s="6" t="n"/>
      <c r="XF10" s="6" t="n"/>
      <c r="XG10" s="6" t="n"/>
      <c r="XH10" s="6" t="n"/>
      <c r="XI10" s="6" t="n"/>
      <c r="XJ10" s="6" t="n"/>
      <c r="XK10" s="6" t="n"/>
      <c r="XL10" s="6" t="n"/>
      <c r="XM10" s="6" t="n"/>
      <c r="XN10" s="6" t="n"/>
      <c r="XO10" s="6" t="n"/>
      <c r="XP10" s="6" t="n"/>
      <c r="XQ10" s="6" t="n"/>
      <c r="XR10" s="6">
        <f>IF(COUNTA(WN10:XQ10)=0, "", SUMPRODUCT(--ISNUMBER(SEARCH("m", WN10:XQ10))))</f>
        <v/>
      </c>
      <c r="XS10" s="6">
        <f>IF(COUNTA(WN10:XQ10)=0, "", COUNTA(WN10:XQ10) - SUMPRODUCT(--ISNUMBER(SEARCH("m", WN10:XQ10))))</f>
        <v/>
      </c>
      <c r="XT10" s="6" t="n"/>
      <c r="XU10" s="6" t="n"/>
      <c r="XV10" s="6" t="n"/>
      <c r="XW10" s="6" t="n"/>
      <c r="XX10" s="6" t="n"/>
      <c r="XY10" s="6" t="n"/>
      <c r="XZ10" s="6" t="n"/>
      <c r="YA10" s="6" t="n"/>
      <c r="YB10" s="6" t="n"/>
      <c r="YC10" s="6" t="n"/>
      <c r="YD10" s="6" t="n"/>
      <c r="YE10" s="6" t="n"/>
      <c r="YF10" s="6" t="n"/>
      <c r="YG10" s="6" t="n"/>
      <c r="YH10" s="6" t="n"/>
      <c r="YI10" s="6" t="n"/>
      <c r="YJ10" s="6" t="n"/>
      <c r="YK10" s="6" t="n"/>
      <c r="YL10" s="6" t="n"/>
      <c r="YM10" s="6" t="n"/>
      <c r="YN10" s="20">
        <f>IFERROR(ROUND(AVERAGE(XT10,XV10,XX10,XZ10,YB10,YD10,YF10,YH10,YJ10,YL10), 2), "")</f>
        <v/>
      </c>
      <c r="YO10" s="6" t="n"/>
      <c r="YP10" s="6" t="n"/>
      <c r="YQ10" s="6" t="n"/>
      <c r="YR10" s="6" t="n"/>
      <c r="YS10" s="6" t="n"/>
      <c r="YT10" s="6" t="n"/>
      <c r="YU10" s="6" t="n"/>
      <c r="YV10" s="6" t="n"/>
      <c r="YW10" s="6" t="n"/>
      <c r="YX10" s="6" t="n"/>
      <c r="YY10" s="6" t="n"/>
      <c r="YZ10" s="6" t="n"/>
      <c r="ZA10" s="6" t="n"/>
      <c r="ZB10" s="6" t="n"/>
      <c r="ZC10" s="6" t="n"/>
      <c r="ZD10" s="6" t="n"/>
      <c r="ZE10" s="6" t="n"/>
      <c r="ZF10" s="6" t="n"/>
      <c r="ZG10" s="6" t="n"/>
      <c r="ZH10" s="6" t="n"/>
      <c r="ZI10" s="6" t="n"/>
      <c r="ZJ10" s="6" t="n"/>
      <c r="ZK10" s="6" t="n"/>
      <c r="ZL10" s="6" t="n"/>
      <c r="ZM10" s="6" t="n"/>
      <c r="ZN10" s="6" t="n"/>
      <c r="ZO10" s="6" t="n"/>
      <c r="ZP10" s="6" t="n"/>
      <c r="ZQ10" s="6" t="n"/>
      <c r="ZR10" s="6" t="n"/>
      <c r="ZS10" s="6">
        <f>IF(COUNTA(YO10:ZR10)=0, "", SUMPRODUCT(--ISNUMBER(SEARCH("m", YO10:ZR10))))</f>
        <v/>
      </c>
      <c r="ZT10" s="6">
        <f>IF(COUNTA(YO10:ZR10)=0, "", COUNTA(YO10:ZR10) - SUMPRODUCT(--ISNUMBER(SEARCH("m", YO10:ZR10))))</f>
        <v/>
      </c>
      <c r="ZU10" s="6" t="n"/>
      <c r="ZV10" s="6" t="n"/>
      <c r="ZW10" s="6" t="n"/>
      <c r="ZX10" s="6" t="n"/>
      <c r="ZY10" s="6" t="n"/>
      <c r="ZZ10" s="6" t="n"/>
      <c r="AAA10" s="6" t="n"/>
      <c r="AAB10" s="6" t="n"/>
      <c r="AAC10" s="6" t="n"/>
      <c r="AAD10" s="6" t="n"/>
      <c r="AAE10" s="6" t="n"/>
      <c r="AAF10" s="6" t="n"/>
      <c r="AAG10" s="6" t="n"/>
      <c r="AAH10" s="6" t="n"/>
      <c r="AAI10" s="6" t="n"/>
      <c r="AAJ10" s="6" t="n"/>
      <c r="AAK10" s="6" t="n"/>
      <c r="AAL10" s="6" t="n"/>
      <c r="AAM10" s="6" t="n"/>
      <c r="AAN10" s="6" t="n"/>
      <c r="AAO10" s="20">
        <f>IFERROR(ROUND(AVERAGE(ZU10,ZW10,ZY10,AAA10,AAC10,AAE10,AAG10,AAI10,AAK10,AAM10), 2), "")</f>
        <v/>
      </c>
      <c r="AAP10" s="6" t="n"/>
      <c r="AAQ10" s="6" t="n"/>
      <c r="AAR10" s="6" t="n"/>
      <c r="AAS10" s="6" t="n"/>
      <c r="AAT10" s="6" t="n"/>
      <c r="AAU10" s="6" t="n"/>
      <c r="AAV10" s="6" t="n"/>
      <c r="AAW10" s="6" t="n"/>
      <c r="AAX10" s="6" t="n"/>
      <c r="AAY10" s="6" t="n"/>
      <c r="AAZ10" s="6" t="n"/>
      <c r="ABA10" s="6" t="n"/>
      <c r="ABB10" s="6" t="n"/>
      <c r="ABC10" s="6" t="n"/>
      <c r="ABD10" s="6" t="n"/>
      <c r="ABE10" s="6" t="n"/>
      <c r="ABF10" s="6" t="n"/>
      <c r="ABG10" s="6" t="n"/>
      <c r="ABH10" s="6" t="n"/>
      <c r="ABI10" s="6" t="n"/>
      <c r="ABJ10" s="6" t="n"/>
      <c r="ABK10" s="6" t="n"/>
      <c r="ABL10" s="6" t="n"/>
      <c r="ABM10" s="6" t="n"/>
      <c r="ABN10" s="6" t="n"/>
      <c r="ABO10" s="6" t="n"/>
      <c r="ABP10" s="6" t="n"/>
      <c r="ABQ10" s="6" t="n"/>
      <c r="ABR10" s="6" t="n"/>
      <c r="ABS10" s="6" t="n"/>
      <c r="ABT10" s="6">
        <f>IF(COUNTA(AAP10:ABS10)=0, "", SUMPRODUCT(--ISNUMBER(SEARCH("m", AAP10:ABS10))))</f>
        <v/>
      </c>
      <c r="ABU10" s="6">
        <f>IF(COUNTA(AAP10:ABS10)=0, "", COUNTA(AAP10:ABS10) - SUMPRODUCT(--ISNUMBER(SEARCH("m", AAP10:ABS10))))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8">
        <f>IFERROR(ROUND(AVERAGE(AB11,CC11,ED11,GE11,IF11,KG11,MH11,OI11,QJ11,SK11,UL11,WM11,YN11,AAO11), 2), "")</f>
        <v/>
      </c>
      <c r="F11" s="14">
        <f>IF(SUM(BH11,DI11,FJ11,HK11,JL11,LM11,NN11,PO11,RP11,TQ11,VR11,XS11,ZT11,ABU11)=0, "", SUM(BH11,DI11,FJ11,HK11,JL11,LM11,NN11,PO11,RP11,TQ11,VR11,XS11,ZT11,ABU11))</f>
        <v/>
      </c>
      <c r="G11" s="8">
        <f>IF(SUM(BG11,DH11,FI11,HJ11,JK11,LL11,NM11,PN11,RO11,TP11,VQ11,XR11,ZS11,ABT11)=0, "", SUM(BG11,DH11,FI11,HJ11,JK11,LL11,NM11,PN11,RO11,TP11,VQ11,XR11,ZS11,ABT11))</f>
        <v/>
      </c>
      <c r="H11" s="6" t="n"/>
      <c r="I11" s="79" t="n"/>
      <c r="J11" s="6" t="n"/>
      <c r="K11" s="79" t="n"/>
      <c r="L11" s="6" t="n"/>
      <c r="M11" s="79" t="n"/>
      <c r="N11" s="6" t="n"/>
      <c r="O11" s="79" t="n"/>
      <c r="P11" s="6" t="n"/>
      <c r="Q11" s="79" t="n"/>
      <c r="R11" s="18" t="n"/>
      <c r="S11" s="79" t="n"/>
      <c r="T11" s="79" t="n"/>
      <c r="U11" s="79" t="n"/>
      <c r="V11" s="79" t="n"/>
      <c r="W11" s="79" t="n"/>
      <c r="X11" s="79" t="n"/>
      <c r="Y11" s="79" t="n"/>
      <c r="Z11" s="79" t="n"/>
      <c r="AA11" s="18" t="n"/>
      <c r="AB11" s="14">
        <f>IFERROR(ROUND(AVERAGE(H11,J11,L11,N11,P11,R11,T11,V11,X11,Z11), 2), "")</f>
        <v/>
      </c>
      <c r="AC11" s="6" t="n"/>
      <c r="AD11" s="79" t="n"/>
      <c r="AE11" s="6" t="n"/>
      <c r="AF11" s="79" t="n"/>
      <c r="AG11" s="6" t="n"/>
      <c r="AH11" s="79" t="n"/>
      <c r="AI11" s="6" t="n"/>
      <c r="AJ11" s="79" t="n"/>
      <c r="AK11" s="6" t="n"/>
      <c r="AL11" s="79" t="n"/>
      <c r="AM11" s="18" t="n"/>
      <c r="AN11" s="79" t="n"/>
      <c r="AO11" s="79" t="n"/>
      <c r="AP11" s="79" t="n"/>
      <c r="AQ11" s="79" t="n"/>
      <c r="AR11" s="79" t="n"/>
      <c r="AS11" s="79" t="n"/>
      <c r="AT11" s="79" t="n"/>
      <c r="AU11" s="79" t="n"/>
      <c r="AV11" s="18" t="n"/>
      <c r="AW11" s="19" t="n"/>
      <c r="AX11" s="6" t="n"/>
      <c r="AY11" s="79" t="n"/>
      <c r="AZ11" s="6" t="n"/>
      <c r="BA11" s="79" t="n"/>
      <c r="BB11" s="6" t="n"/>
      <c r="BC11" s="79" t="n"/>
      <c r="BD11" s="6" t="n"/>
      <c r="BE11" s="79" t="n"/>
      <c r="BF11" s="6" t="n"/>
      <c r="BG11" s="79">
        <f>IF(COUNTA(AC11:BF11)=0, "", SUMPRODUCT(--ISNUMBER(SEARCH("m", AC11:BF11))))</f>
        <v/>
      </c>
      <c r="BH11" s="18">
        <f>IF(COUNTA(AC11:BF11)=0, "", COUNTA(AC11:BF11) - SUMPRODUCT(--ISNUMBER(SEARCH("m", AC11:BF11))))</f>
        <v/>
      </c>
      <c r="BI11" s="79" t="n"/>
      <c r="BJ11" s="79" t="n"/>
      <c r="BK11" s="79" t="n"/>
      <c r="BL11" s="79" t="n"/>
      <c r="BM11" s="79" t="n"/>
      <c r="BN11" s="79" t="n"/>
      <c r="BO11" s="79" t="n"/>
      <c r="BP11" s="79" t="n"/>
      <c r="BQ11" s="18" t="n"/>
      <c r="BR11" s="19" t="n"/>
      <c r="BS11" s="6" t="n"/>
      <c r="BT11" s="79" t="n"/>
      <c r="BU11" s="6" t="n"/>
      <c r="BV11" s="79" t="n"/>
      <c r="BW11" s="6" t="n"/>
      <c r="BX11" s="79" t="n"/>
      <c r="BY11" s="6" t="n"/>
      <c r="BZ11" s="79" t="n"/>
      <c r="CA11" s="6" t="n"/>
      <c r="CB11" s="79" t="n"/>
      <c r="CC11" s="8">
        <f>IFERROR(ROUND(AVERAGE(BI11,BK11,BM11,BO11,BQ11,BS11,BU11,BW11,BY11,CA11), 2), "")</f>
        <v/>
      </c>
      <c r="CD11" s="79" t="n"/>
      <c r="CE11" s="79" t="n"/>
      <c r="CF11" s="79" t="n"/>
      <c r="CG11" s="79" t="n"/>
      <c r="CH11" s="79" t="n"/>
      <c r="CI11" s="79" t="n"/>
      <c r="CJ11" s="79" t="n"/>
      <c r="CK11" s="79" t="n"/>
      <c r="CL11" s="18" t="n"/>
      <c r="CM11" s="19" t="n"/>
      <c r="CN11" s="6" t="n"/>
      <c r="CO11" s="79" t="n"/>
      <c r="CP11" s="6" t="n"/>
      <c r="CQ11" s="79" t="n"/>
      <c r="CR11" s="6" t="n"/>
      <c r="CS11" s="79" t="n"/>
      <c r="CT11" s="6" t="n"/>
      <c r="CU11" s="79" t="n"/>
      <c r="CV11" s="6" t="n"/>
      <c r="CW11" s="79" t="n"/>
      <c r="CX11" s="18" t="n"/>
      <c r="CY11" s="79" t="n"/>
      <c r="CZ11" s="79" t="n"/>
      <c r="DA11" s="79" t="n"/>
      <c r="DB11" s="79" t="n"/>
      <c r="DC11" s="79" t="n"/>
      <c r="DD11" s="79" t="n"/>
      <c r="DE11" s="79" t="n"/>
      <c r="DF11" s="79" t="n"/>
      <c r="DG11" s="18" t="n"/>
      <c r="DH11" s="19">
        <f>IF(COUNTA(CD11:DG11)=0, "", SUMPRODUCT(--ISNUMBER(SEARCH("m", CD11:DG11))))</f>
        <v/>
      </c>
      <c r="DI11" s="6">
        <f>IF(COUNTA(CD11:DG11)=0, "", COUNTA(CD11:DG11) - SUMPRODUCT(--ISNUMBER(SEARCH("m", CD11:DG11))))</f>
        <v/>
      </c>
      <c r="DJ11" s="79" t="n"/>
      <c r="DK11" s="6" t="n"/>
      <c r="DL11" s="79" t="n"/>
      <c r="DM11" s="6" t="n"/>
      <c r="DN11" s="79" t="n"/>
      <c r="DO11" s="6" t="n"/>
      <c r="DP11" s="79" t="n"/>
      <c r="DQ11" s="6" t="n"/>
      <c r="DR11" s="79" t="n"/>
      <c r="DS11" s="18" t="n"/>
      <c r="DT11" s="79" t="n"/>
      <c r="DU11" s="79" t="n"/>
      <c r="DV11" s="79" t="n"/>
      <c r="DW11" s="79" t="n"/>
      <c r="DX11" s="79" t="n"/>
      <c r="DY11" s="79" t="n"/>
      <c r="DZ11" s="79" t="n"/>
      <c r="EA11" s="79" t="n"/>
      <c r="EB11" s="18" t="n"/>
      <c r="EC11" s="19" t="n"/>
      <c r="ED11" s="20">
        <f>IFERROR(ROUND(AVERAGE(DJ11,DL11,DN11,DP11,DR11,DT11,DV11,DX11,DZ11,EB11), 2), "")</f>
        <v/>
      </c>
      <c r="EE11" s="79" t="n"/>
      <c r="EF11" s="6" t="n"/>
      <c r="EG11" s="79" t="n"/>
      <c r="EH11" s="6" t="n"/>
      <c r="EI11" s="79" t="n"/>
      <c r="EJ11" s="6" t="n"/>
      <c r="EK11" s="79" t="n"/>
      <c r="EL11" s="6" t="n"/>
      <c r="EM11" s="79" t="n"/>
      <c r="EN11" s="18" t="n"/>
      <c r="EO11" s="79" t="n"/>
      <c r="EP11" s="79" t="n"/>
      <c r="EQ11" s="79" t="n"/>
      <c r="ER11" s="79" t="n"/>
      <c r="ES11" s="79" t="n"/>
      <c r="ET11" s="79" t="n"/>
      <c r="EU11" s="79" t="n"/>
      <c r="EV11" s="79" t="n"/>
      <c r="EW11" s="18" t="n"/>
      <c r="EX11" s="19" t="n"/>
      <c r="EY11" s="6" t="n"/>
      <c r="EZ11" s="79" t="n"/>
      <c r="FA11" s="6" t="n"/>
      <c r="FB11" s="79" t="n"/>
      <c r="FC11" s="6" t="n"/>
      <c r="FD11" s="79" t="n"/>
      <c r="FE11" s="6" t="n"/>
      <c r="FF11" s="79" t="n"/>
      <c r="FG11" s="6" t="n"/>
      <c r="FH11" s="79" t="n"/>
      <c r="FI11" s="18">
        <f>IF(COUNTA(EE11:FH11)=0, "", SUMPRODUCT(--ISNUMBER(SEARCH("m", EE11:FH11))))</f>
        <v/>
      </c>
      <c r="FJ11" s="79">
        <f>IF(COUNTA(EE11:FH11)=0, "", COUNTA(EE11:FH11) - SUMPRODUCT(--ISNUMBER(SEARCH("m", EE11:FH11))))</f>
        <v/>
      </c>
      <c r="FK11" s="79" t="n"/>
      <c r="FL11" s="79" t="n"/>
      <c r="FM11" s="79" t="n"/>
      <c r="FN11" s="79" t="n"/>
      <c r="FO11" s="79" t="n"/>
      <c r="FP11" s="79" t="n"/>
      <c r="FQ11" s="79" t="n"/>
      <c r="FR11" s="18" t="n"/>
      <c r="FS11" s="19" t="n"/>
      <c r="FT11" s="6" t="n"/>
      <c r="FU11" s="79" t="n"/>
      <c r="FV11" s="6" t="n"/>
      <c r="FW11" s="79" t="n"/>
      <c r="FX11" s="6" t="n"/>
      <c r="FY11" s="79" t="n"/>
      <c r="FZ11" s="6" t="n"/>
      <c r="GA11" s="79" t="n"/>
      <c r="GB11" s="6" t="n"/>
      <c r="GC11" s="79" t="n"/>
      <c r="GD11" s="18" t="n"/>
      <c r="GE11" s="80">
        <f>IFERROR(ROUND(AVERAGE(FK11,FM11,FO11,FQ11,FS11,FU11,FW11,FY11,GA11,GC11), 2), "")</f>
        <v/>
      </c>
      <c r="GF11" s="79" t="n"/>
      <c r="GG11" s="79" t="n"/>
      <c r="GH11" s="79" t="n"/>
      <c r="GI11" s="79" t="n"/>
      <c r="GJ11" s="79" t="n"/>
      <c r="GK11" s="79" t="n"/>
      <c r="GL11" s="79" t="n"/>
      <c r="GM11" s="18" t="n"/>
      <c r="GN11" s="19" t="n"/>
      <c r="GO11" s="6" t="n"/>
      <c r="GP11" s="79" t="n"/>
      <c r="GQ11" s="6" t="n"/>
      <c r="GR11" s="79" t="n"/>
      <c r="GS11" s="6" t="n"/>
      <c r="GT11" s="79" t="n"/>
      <c r="GU11" s="6" t="n"/>
      <c r="GV11" s="79" t="n"/>
      <c r="GW11" s="6" t="n"/>
      <c r="GX11" s="79" t="n"/>
      <c r="GY11" s="18" t="n"/>
      <c r="GZ11" s="79" t="n"/>
      <c r="HA11" s="79" t="n"/>
      <c r="HB11" s="79" t="n"/>
      <c r="HC11" s="79" t="n"/>
      <c r="HD11" s="79" t="n"/>
      <c r="HE11" s="79" t="n"/>
      <c r="HF11" s="79" t="n"/>
      <c r="HG11" s="79" t="n"/>
      <c r="HH11" s="18" t="n"/>
      <c r="HI11" s="19" t="n"/>
      <c r="HJ11" s="6">
        <f>IF(COUNTA(GF11:HI11)=0, "", SUMPRODUCT(--ISNUMBER(SEARCH("m", GF11:HI11))))</f>
        <v/>
      </c>
      <c r="HK11" s="79">
        <f>IF(COUNTA(GF11:HI11)=0, "", COUNTA(GF11:HI11) - SUMPRODUCT(--ISNUMBER(SEARCH("m", GF11:HI11))))</f>
        <v/>
      </c>
      <c r="HL11" s="6" t="n"/>
      <c r="HM11" s="79" t="n"/>
      <c r="HN11" s="6" t="n"/>
      <c r="HO11" s="79" t="n"/>
      <c r="HP11" s="6" t="n"/>
      <c r="HQ11" s="79" t="n"/>
      <c r="HR11" s="6" t="n"/>
      <c r="HS11" s="79" t="n"/>
      <c r="HT11" s="18" t="n"/>
      <c r="HU11" s="79" t="n"/>
      <c r="HV11" s="79" t="n"/>
      <c r="HW11" s="79" t="n"/>
      <c r="HX11" s="79" t="n"/>
      <c r="HY11" s="79" t="n"/>
      <c r="HZ11" s="79" t="n"/>
      <c r="IA11" s="79" t="n"/>
      <c r="IB11" s="79" t="n"/>
      <c r="IC11" s="18" t="n"/>
      <c r="ID11" s="19" t="n"/>
      <c r="IE11" s="6" t="n"/>
      <c r="IF11" s="80">
        <f>IFERROR(ROUND(AVERAGE(HL11,HN11,HP11,HR11,HT11,HV11,HX11,HZ11,IB11,ID11), 2), "")</f>
        <v/>
      </c>
      <c r="IG11" s="6" t="n"/>
      <c r="IH11" s="79" t="n"/>
      <c r="II11" s="6" t="n"/>
      <c r="IJ11" s="79" t="n"/>
      <c r="IK11" s="6" t="n"/>
      <c r="IL11" s="79" t="n"/>
      <c r="IM11" s="6" t="n"/>
      <c r="IN11" s="79" t="n"/>
      <c r="IO11" s="18" t="n"/>
      <c r="IP11" s="79" t="n"/>
      <c r="IQ11" s="79" t="n"/>
      <c r="IR11" s="79" t="n"/>
      <c r="IS11" s="79" t="n"/>
      <c r="IT11" s="79" t="n"/>
      <c r="IU11" s="79" t="n"/>
      <c r="IV11" s="79" t="n"/>
      <c r="IW11" s="79" t="n"/>
      <c r="IX11" s="18" t="n"/>
      <c r="IY11" s="19" t="n"/>
      <c r="IZ11" s="6" t="n"/>
      <c r="JA11" s="79" t="n"/>
      <c r="JB11" s="6" t="n"/>
      <c r="JC11" s="79" t="n"/>
      <c r="JD11" s="6" t="n"/>
      <c r="JE11" s="79" t="n"/>
      <c r="JF11" s="6" t="n"/>
      <c r="JG11" s="79" t="n"/>
      <c r="JH11" s="6" t="n"/>
      <c r="JI11" s="79" t="n"/>
      <c r="JJ11" s="18" t="n"/>
      <c r="JK11" s="79">
        <f>IF(COUNTA(IG11:JJ11)=0, "", SUMPRODUCT(--ISNUMBER(SEARCH("m", IG11:JJ11))))</f>
        <v/>
      </c>
      <c r="JL11" s="79">
        <f>IF(COUNTA(IG11:JJ11)=0, "", COUNTA(IG11:JJ11) - SUMPRODUCT(--ISNUMBER(SEARCH("m", IG11:JJ11))))</f>
        <v/>
      </c>
      <c r="JM11" s="79" t="n"/>
      <c r="JN11" s="79" t="n"/>
      <c r="JO11" s="79" t="n"/>
      <c r="JP11" s="79" t="n"/>
      <c r="JQ11" s="79" t="n"/>
      <c r="JR11" s="79" t="n"/>
      <c r="JS11" s="18" t="n"/>
      <c r="JT11" s="19" t="n"/>
      <c r="JU11" s="6" t="n"/>
      <c r="JV11" s="79" t="n"/>
      <c r="JW11" s="6" t="n"/>
      <c r="JX11" s="79" t="n"/>
      <c r="JY11" s="6" t="n"/>
      <c r="JZ11" s="79" t="n"/>
      <c r="KA11" s="6" t="n"/>
      <c r="KB11" s="79" t="n"/>
      <c r="KC11" s="6" t="n"/>
      <c r="KD11" s="79" t="n"/>
      <c r="KE11" s="18" t="n"/>
      <c r="KF11" s="79" t="n"/>
      <c r="KG11" s="80">
        <f>IFERROR(ROUND(AVERAGE(JM11,JO11,JQ11,JS11,JU11,JW11,JY11,KA11,KC11,KE11), 2), "")</f>
        <v/>
      </c>
      <c r="KH11" s="79" t="n"/>
      <c r="KI11" s="79" t="n"/>
      <c r="KJ11" s="79" t="n"/>
      <c r="KK11" s="79" t="n"/>
      <c r="KL11" s="79" t="n"/>
      <c r="KM11" s="79" t="n"/>
      <c r="KN11" s="18" t="n"/>
      <c r="KO11" s="19" t="n"/>
      <c r="KP11" s="6" t="n"/>
      <c r="KQ11" s="6" t="n"/>
      <c r="KR11" s="6" t="n"/>
      <c r="KS11" s="6" t="n"/>
      <c r="KT11" s="6" t="n"/>
      <c r="KU11" s="6" t="n"/>
      <c r="KV11" s="6" t="n"/>
      <c r="KW11" s="6" t="n"/>
      <c r="KX11" s="6" t="n"/>
      <c r="KY11" s="6" t="n"/>
      <c r="KZ11" s="6" t="n"/>
      <c r="LA11" s="6" t="n"/>
      <c r="LB11" s="6" t="n"/>
      <c r="LC11" s="6" t="n"/>
      <c r="LD11" s="6" t="n"/>
      <c r="LE11" s="6" t="n"/>
      <c r="LF11" s="6" t="n"/>
      <c r="LG11" s="6" t="n"/>
      <c r="LH11" s="6" t="n"/>
      <c r="LI11" s="6" t="n"/>
      <c r="LJ11" s="6" t="n"/>
      <c r="LK11" s="6" t="n"/>
      <c r="LL11" s="6">
        <f>IF(COUNTA(KH11:LK11)=0, "", SUMPRODUCT(--ISNUMBER(SEARCH("m", KH11:LK11))))</f>
        <v/>
      </c>
      <c r="LM11" s="6">
        <f>IF(COUNTA(KH11:LK11)=0, "", COUNTA(KH11:LK11) - SUMPRODUCT(--ISNUMBER(SEARCH("m", KH11:LK11))))</f>
        <v/>
      </c>
      <c r="LN11" s="6" t="n"/>
      <c r="LO11" s="6" t="n"/>
      <c r="LP11" s="6" t="n"/>
      <c r="LQ11" s="6" t="n"/>
      <c r="LR11" s="6" t="n"/>
      <c r="LS11" s="6" t="n"/>
      <c r="LT11" s="6" t="n"/>
      <c r="LU11" s="6" t="n"/>
      <c r="LV11" s="6" t="n"/>
      <c r="LW11" s="6" t="n"/>
      <c r="LX11" s="6" t="n"/>
      <c r="LY11" s="6" t="n"/>
      <c r="LZ11" s="6" t="n"/>
      <c r="MA11" s="6" t="n"/>
      <c r="MB11" s="6" t="n"/>
      <c r="MC11" s="6" t="n"/>
      <c r="MD11" s="6" t="n"/>
      <c r="ME11" s="6" t="n"/>
      <c r="MF11" s="6" t="n"/>
      <c r="MG11" s="6" t="n"/>
      <c r="MH11" s="20">
        <f>IFERROR(ROUND(AVERAGE(LN11,LP11,LR11,LT11,LV11,LX11,LZ11,MB11,MD11,MF11), 2), "")</f>
        <v/>
      </c>
      <c r="MI11" s="6" t="n"/>
      <c r="MJ11" s="6" t="n"/>
      <c r="MK11" s="6" t="n"/>
      <c r="ML11" s="6" t="n"/>
      <c r="MM11" s="6" t="n"/>
      <c r="MN11" s="6" t="n"/>
      <c r="MO11" s="6" t="n"/>
      <c r="MP11" s="6" t="n"/>
      <c r="MQ11" s="6" t="n"/>
      <c r="MR11" s="6" t="n"/>
      <c r="MS11" s="6" t="n"/>
      <c r="MT11" s="6" t="n"/>
      <c r="MU11" s="6" t="n"/>
      <c r="MV11" s="6" t="n"/>
      <c r="MW11" s="6" t="n"/>
      <c r="MX11" s="6" t="n"/>
      <c r="MY11" s="6" t="n"/>
      <c r="MZ11" s="6" t="n"/>
      <c r="NA11" s="6" t="n"/>
      <c r="NB11" s="6" t="n"/>
      <c r="NC11" s="6" t="n"/>
      <c r="ND11" s="6" t="n"/>
      <c r="NE11" s="6" t="n"/>
      <c r="NF11" s="6" t="n"/>
      <c r="NG11" s="6" t="n"/>
      <c r="NH11" s="6" t="n"/>
      <c r="NI11" s="6" t="n"/>
      <c r="NJ11" s="6" t="n"/>
      <c r="NK11" s="6" t="n"/>
      <c r="NL11" s="6" t="n"/>
      <c r="NM11" s="6">
        <f>IF(COUNTA(MI11:NL11)=0, "", SUMPRODUCT(--ISNUMBER(SEARCH("m", MI11:NL11))))</f>
        <v/>
      </c>
      <c r="NN11" s="6">
        <f>IF(COUNTA(MI11:NL11)=0, "", COUNTA(MI11:NL11) - SUMPRODUCT(--ISNUMBER(SEARCH("m", MI11:NL11))))</f>
        <v/>
      </c>
      <c r="NO11" s="6" t="n"/>
      <c r="NP11" s="6" t="n"/>
      <c r="NQ11" s="6" t="n"/>
      <c r="NR11" s="6" t="n"/>
      <c r="NS11" s="6" t="n"/>
      <c r="NT11" s="6" t="n"/>
      <c r="NU11" s="6" t="n"/>
      <c r="NV11" s="6" t="n"/>
      <c r="NW11" s="6" t="n"/>
      <c r="NX11" s="6" t="n"/>
      <c r="NY11" s="6" t="n"/>
      <c r="NZ11" s="6" t="n"/>
      <c r="OA11" s="6" t="n"/>
      <c r="OB11" s="6" t="n"/>
      <c r="OC11" s="6" t="n"/>
      <c r="OD11" s="6" t="n"/>
      <c r="OE11" s="6" t="n"/>
      <c r="OF11" s="6" t="n"/>
      <c r="OG11" s="6" t="n"/>
      <c r="OH11" s="6" t="n"/>
      <c r="OI11" s="20">
        <f>IFERROR(ROUND(AVERAGE(NO11,NQ11,NS11,NU11,NW11,NY11,OA11,OC11,OE11,OG11), 2), "")</f>
        <v/>
      </c>
      <c r="OJ11" s="6" t="n"/>
      <c r="OK11" s="6" t="n"/>
      <c r="OL11" s="6" t="n"/>
      <c r="OM11" s="6" t="n"/>
      <c r="ON11" s="6" t="n"/>
      <c r="OO11" s="6" t="n"/>
      <c r="OP11" s="6" t="n"/>
      <c r="OQ11" s="6" t="n"/>
      <c r="OR11" s="6" t="n"/>
      <c r="OS11" s="6" t="n"/>
      <c r="OT11" s="6" t="n"/>
      <c r="OU11" s="6" t="n"/>
      <c r="OV11" s="6" t="n"/>
      <c r="OW11" s="6" t="n"/>
      <c r="OX11" s="6" t="n"/>
      <c r="OY11" s="6" t="n"/>
      <c r="OZ11" s="6" t="n"/>
      <c r="PA11" s="6" t="n"/>
      <c r="PB11" s="6" t="n"/>
      <c r="PC11" s="6" t="n"/>
      <c r="PD11" s="6" t="n"/>
      <c r="PE11" s="6" t="n"/>
      <c r="PF11" s="6" t="n"/>
      <c r="PG11" s="6" t="n"/>
      <c r="PH11" s="6" t="n"/>
      <c r="PI11" s="6" t="n"/>
      <c r="PJ11" s="6" t="n"/>
      <c r="PK11" s="6" t="n"/>
      <c r="PL11" s="6" t="n"/>
      <c r="PM11" s="6" t="n"/>
      <c r="PN11" s="6">
        <f>IF(COUNTA(OJ11:PM11)=0, "", SUMPRODUCT(--ISNUMBER(SEARCH("m", OJ11:PM11))))</f>
        <v/>
      </c>
      <c r="PO11" s="6">
        <f>IF(COUNTA(OJ11:PM11)=0, "", COUNTA(OJ11:PM11) - SUMPRODUCT(--ISNUMBER(SEARCH("m", OJ11:PM11))))</f>
        <v/>
      </c>
      <c r="PP11" s="6" t="n"/>
      <c r="PQ11" s="6" t="n"/>
      <c r="PR11" s="6" t="n"/>
      <c r="PS11" s="6" t="n"/>
      <c r="PT11" s="6" t="n"/>
      <c r="PU11" s="6" t="n"/>
      <c r="PV11" s="6" t="n"/>
      <c r="PW11" s="6" t="n"/>
      <c r="PX11" s="6" t="n"/>
      <c r="PY11" s="6" t="n"/>
      <c r="PZ11" s="6" t="n"/>
      <c r="QA11" s="6" t="n"/>
      <c r="QB11" s="6" t="n"/>
      <c r="QC11" s="6" t="n"/>
      <c r="QD11" s="6" t="n"/>
      <c r="QE11" s="6" t="n"/>
      <c r="QF11" s="6" t="n"/>
      <c r="QG11" s="6" t="n"/>
      <c r="QH11" s="6" t="n"/>
      <c r="QI11" s="6" t="n"/>
      <c r="QJ11" s="20">
        <f>IFERROR(ROUND(AVERAGE(PP11,PR11,PT11,PV11,PX11,PZ11,QB11,QD11,QF11,QH11), 2), "")</f>
        <v/>
      </c>
      <c r="QK11" s="6" t="n"/>
      <c r="QL11" s="6" t="n"/>
      <c r="QM11" s="6" t="n"/>
      <c r="QN11" s="6" t="n"/>
      <c r="QO11" s="6" t="n"/>
      <c r="QP11" s="6" t="n"/>
      <c r="QQ11" s="6" t="n"/>
      <c r="QR11" s="6" t="n"/>
      <c r="QS11" s="6" t="n"/>
      <c r="QT11" s="6" t="n"/>
      <c r="QU11" s="6" t="n"/>
      <c r="QV11" s="6" t="n"/>
      <c r="QW11" s="6" t="n"/>
      <c r="QX11" s="6" t="n"/>
      <c r="QY11" s="6" t="n"/>
      <c r="QZ11" s="6" t="n"/>
      <c r="RA11" s="6" t="n"/>
      <c r="RB11" s="6" t="n"/>
      <c r="RC11" s="6" t="n"/>
      <c r="RD11" s="6" t="n"/>
      <c r="RE11" s="6" t="n"/>
      <c r="RF11" s="6" t="n"/>
      <c r="RG11" s="6" t="n"/>
      <c r="RH11" s="6" t="n"/>
      <c r="RI11" s="6" t="n"/>
      <c r="RJ11" s="6" t="n"/>
      <c r="RK11" s="6" t="n"/>
      <c r="RL11" s="6" t="n"/>
      <c r="RM11" s="6" t="n"/>
      <c r="RN11" s="6" t="n"/>
      <c r="RO11" s="6">
        <f>IF(COUNTA(QK11:RN11)=0, "", SUMPRODUCT(--ISNUMBER(SEARCH("m", QK11:RN11))))</f>
        <v/>
      </c>
      <c r="RP11" s="6">
        <f>IF(COUNTA(QK11:RN11)=0, "", COUNTA(QK11:RN11) - SUMPRODUCT(--ISNUMBER(SEARCH("m", QK11:RN11))))</f>
        <v/>
      </c>
      <c r="RQ11" s="6" t="n"/>
      <c r="RR11" s="6" t="n"/>
      <c r="RS11" s="6" t="n"/>
      <c r="RT11" s="6" t="n"/>
      <c r="RU11" s="6" t="n"/>
      <c r="RV11" s="6" t="n"/>
      <c r="RW11" s="6" t="n"/>
      <c r="RX11" s="6" t="n"/>
      <c r="RY11" s="6" t="n"/>
      <c r="RZ11" s="6" t="n"/>
      <c r="SA11" s="6" t="n"/>
      <c r="SB11" s="6" t="n"/>
      <c r="SC11" s="6" t="n"/>
      <c r="SD11" s="6" t="n"/>
      <c r="SE11" s="6" t="n"/>
      <c r="SF11" s="6" t="n"/>
      <c r="SG11" s="6" t="n"/>
      <c r="SH11" s="6" t="n"/>
      <c r="SI11" s="6" t="n"/>
      <c r="SJ11" s="6" t="n"/>
      <c r="SK11" s="20">
        <f>IFERROR(ROUND(AVERAGE(RQ11,RS11,RU11,RW11,RY11,SA11,SC11,SE11,SG11,SI11), 2), "")</f>
        <v/>
      </c>
      <c r="SL11" s="6" t="n"/>
      <c r="SM11" s="6" t="n"/>
      <c r="SN11" s="6" t="n"/>
      <c r="SO11" s="6" t="n"/>
      <c r="SP11" s="6" t="n"/>
      <c r="SQ11" s="6" t="n"/>
      <c r="SR11" s="6" t="n"/>
      <c r="SS11" s="6" t="n"/>
      <c r="ST11" s="6" t="n"/>
      <c r="SU11" s="6" t="n"/>
      <c r="SV11" s="6" t="n"/>
      <c r="SW11" s="6" t="n"/>
      <c r="SX11" s="6" t="n"/>
      <c r="SY11" s="6" t="n"/>
      <c r="SZ11" s="6" t="n"/>
      <c r="TA11" s="6" t="n"/>
      <c r="TB11" s="6" t="n"/>
      <c r="TC11" s="6" t="n"/>
      <c r="TD11" s="6" t="n"/>
      <c r="TE11" s="6" t="n"/>
      <c r="TF11" s="6" t="n"/>
      <c r="TG11" s="6" t="n"/>
      <c r="TH11" s="6" t="n"/>
      <c r="TI11" s="6" t="n"/>
      <c r="TJ11" s="6" t="n"/>
      <c r="TK11" s="6" t="n"/>
      <c r="TL11" s="6" t="n"/>
      <c r="TM11" s="6" t="n"/>
      <c r="TN11" s="6" t="n"/>
      <c r="TO11" s="6" t="n"/>
      <c r="TP11" s="6">
        <f>IF(COUNTA(SL11:TO11)=0, "", SUMPRODUCT(--ISNUMBER(SEARCH("m", SL11:TO11))))</f>
        <v/>
      </c>
      <c r="TQ11" s="6">
        <f>IF(COUNTA(SL11:TO11)=0, "", COUNTA(SL11:TO11) - SUMPRODUCT(--ISNUMBER(SEARCH("m", SL11:TO11))))</f>
        <v/>
      </c>
      <c r="TR11" s="6" t="n"/>
      <c r="TS11" s="6" t="n"/>
      <c r="TT11" s="6" t="n"/>
      <c r="TU11" s="6" t="n"/>
      <c r="TV11" s="6" t="n"/>
      <c r="TW11" s="6" t="n"/>
      <c r="TX11" s="6" t="n"/>
      <c r="TY11" s="6" t="n"/>
      <c r="TZ11" s="6" t="n"/>
      <c r="UA11" s="6" t="n"/>
      <c r="UB11" s="6" t="n"/>
      <c r="UC11" s="6" t="n"/>
      <c r="UD11" s="6" t="n"/>
      <c r="UE11" s="6" t="n"/>
      <c r="UF11" s="6" t="n"/>
      <c r="UG11" s="6" t="n"/>
      <c r="UH11" s="6" t="n"/>
      <c r="UI11" s="6" t="n"/>
      <c r="UJ11" s="6" t="n"/>
      <c r="UK11" s="6" t="n"/>
      <c r="UL11" s="20">
        <f>IFERROR(ROUND(AVERAGE(TR11,TT11,TV11,TX11,TZ11,UB11,UD11,UF11,UH11,UJ11), 2), "")</f>
        <v/>
      </c>
      <c r="UM11" s="6" t="n"/>
      <c r="UN11" s="6" t="n"/>
      <c r="UO11" s="6" t="n"/>
      <c r="UP11" s="6" t="n"/>
      <c r="UQ11" s="6" t="n"/>
      <c r="UR11" s="6" t="n"/>
      <c r="US11" s="6" t="n"/>
      <c r="UT11" s="6" t="n"/>
      <c r="UU11" s="6" t="n"/>
      <c r="UV11" s="6" t="n"/>
      <c r="UW11" s="6" t="n"/>
      <c r="UX11" s="6" t="n"/>
      <c r="UY11" s="6" t="n"/>
      <c r="UZ11" s="6" t="n"/>
      <c r="VA11" s="6" t="n"/>
      <c r="VB11" s="6" t="n"/>
      <c r="VC11" s="6" t="n"/>
      <c r="VD11" s="6" t="n"/>
      <c r="VE11" s="6" t="n"/>
      <c r="VF11" s="6" t="n"/>
      <c r="VG11" s="6" t="n"/>
      <c r="VH11" s="6" t="n"/>
      <c r="VI11" s="6" t="n"/>
      <c r="VJ11" s="6" t="n"/>
      <c r="VK11" s="6" t="n"/>
      <c r="VL11" s="6" t="n"/>
      <c r="VM11" s="6" t="n"/>
      <c r="VN11" s="6" t="n"/>
      <c r="VO11" s="6" t="n"/>
      <c r="VP11" s="6" t="n"/>
      <c r="VQ11" s="6">
        <f>IF(COUNTA(UM11:VP11)=0, "", SUMPRODUCT(--ISNUMBER(SEARCH("m", UM11:VP11))))</f>
        <v/>
      </c>
      <c r="VR11" s="6">
        <f>IF(COUNTA(UM11:VP11)=0, "", COUNTA(UM11:VP11) - SUMPRODUCT(--ISNUMBER(SEARCH("m", UM11:VP11))))</f>
        <v/>
      </c>
      <c r="VS11" s="6" t="n"/>
      <c r="VT11" s="6" t="n"/>
      <c r="VU11" s="6" t="n"/>
      <c r="VV11" s="6" t="n"/>
      <c r="VW11" s="6" t="n"/>
      <c r="VX11" s="6" t="n"/>
      <c r="VY11" s="6" t="n"/>
      <c r="VZ11" s="6" t="n"/>
      <c r="WA11" s="6" t="n"/>
      <c r="WB11" s="6" t="n"/>
      <c r="WC11" s="6" t="n"/>
      <c r="WD11" s="6" t="n"/>
      <c r="WE11" s="6" t="n"/>
      <c r="WF11" s="6" t="n"/>
      <c r="WG11" s="6" t="n"/>
      <c r="WH11" s="6" t="n"/>
      <c r="WI11" s="6" t="n"/>
      <c r="WJ11" s="6" t="n"/>
      <c r="WK11" s="6" t="n"/>
      <c r="WL11" s="6" t="n"/>
      <c r="WM11" s="20">
        <f>IFERROR(ROUND(AVERAGE(VS11,VU11,VW11,VY11,WA11,WC11,WE11,WG11,WI11,WK11), 2), "")</f>
        <v/>
      </c>
      <c r="WN11" s="6" t="n"/>
      <c r="WO11" s="6" t="n"/>
      <c r="WP11" s="6" t="n"/>
      <c r="WQ11" s="6" t="n"/>
      <c r="WR11" s="6" t="n"/>
      <c r="WS11" s="6" t="n"/>
      <c r="WT11" s="6" t="n"/>
      <c r="WU11" s="6" t="n"/>
      <c r="WV11" s="6" t="n"/>
      <c r="WW11" s="6" t="n"/>
      <c r="WX11" s="6" t="n"/>
      <c r="WY11" s="6" t="n"/>
      <c r="WZ11" s="6" t="n"/>
      <c r="XA11" s="6" t="n"/>
      <c r="XB11" s="6" t="n"/>
      <c r="XC11" s="6" t="n"/>
      <c r="XD11" s="6" t="n"/>
      <c r="XE11" s="6" t="n"/>
      <c r="XF11" s="6" t="n"/>
      <c r="XG11" s="6" t="n"/>
      <c r="XH11" s="6" t="n"/>
      <c r="XI11" s="6" t="n"/>
      <c r="XJ11" s="6" t="n"/>
      <c r="XK11" s="6" t="n"/>
      <c r="XL11" s="6" t="n"/>
      <c r="XM11" s="6" t="n"/>
      <c r="XN11" s="6" t="n"/>
      <c r="XO11" s="6" t="n"/>
      <c r="XP11" s="6" t="n"/>
      <c r="XQ11" s="6" t="n"/>
      <c r="XR11" s="6">
        <f>IF(COUNTA(WN11:XQ11)=0, "", SUMPRODUCT(--ISNUMBER(SEARCH("m", WN11:XQ11))))</f>
        <v/>
      </c>
      <c r="XS11" s="6">
        <f>IF(COUNTA(WN11:XQ11)=0, "", COUNTA(WN11:XQ11) - SUMPRODUCT(--ISNUMBER(SEARCH("m", WN11:XQ11))))</f>
        <v/>
      </c>
      <c r="XT11" s="6" t="n"/>
      <c r="XU11" s="6" t="n"/>
      <c r="XV11" s="6" t="n"/>
      <c r="XW11" s="6" t="n"/>
      <c r="XX11" s="6" t="n"/>
      <c r="XY11" s="6" t="n"/>
      <c r="XZ11" s="6" t="n"/>
      <c r="YA11" s="6" t="n"/>
      <c r="YB11" s="6" t="n"/>
      <c r="YC11" s="6" t="n"/>
      <c r="YD11" s="6" t="n"/>
      <c r="YE11" s="6" t="n"/>
      <c r="YF11" s="6" t="n"/>
      <c r="YG11" s="6" t="n"/>
      <c r="YH11" s="6" t="n"/>
      <c r="YI11" s="6" t="n"/>
      <c r="YJ11" s="6" t="n"/>
      <c r="YK11" s="6" t="n"/>
      <c r="YL11" s="6" t="n"/>
      <c r="YM11" s="6" t="n"/>
      <c r="YN11" s="20">
        <f>IFERROR(ROUND(AVERAGE(XT11,XV11,XX11,XZ11,YB11,YD11,YF11,YH11,YJ11,YL11), 2), "")</f>
        <v/>
      </c>
      <c r="YO11" s="6" t="n"/>
      <c r="YP11" s="6" t="n"/>
      <c r="YQ11" s="6" t="n"/>
      <c r="YR11" s="6" t="n"/>
      <c r="YS11" s="6" t="n"/>
      <c r="YT11" s="6" t="n"/>
      <c r="YU11" s="6" t="n"/>
      <c r="YV11" s="6" t="n"/>
      <c r="YW11" s="6" t="n"/>
      <c r="YX11" s="6" t="n"/>
      <c r="YY11" s="6" t="n"/>
      <c r="YZ11" s="6" t="n"/>
      <c r="ZA11" s="6" t="n"/>
      <c r="ZB11" s="6" t="n"/>
      <c r="ZC11" s="6" t="n"/>
      <c r="ZD11" s="6" t="n"/>
      <c r="ZE11" s="6" t="n"/>
      <c r="ZF11" s="6" t="n"/>
      <c r="ZG11" s="6" t="n"/>
      <c r="ZH11" s="6" t="n"/>
      <c r="ZI11" s="6" t="n"/>
      <c r="ZJ11" s="6" t="n"/>
      <c r="ZK11" s="6" t="n"/>
      <c r="ZL11" s="6" t="n"/>
      <c r="ZM11" s="6" t="n"/>
      <c r="ZN11" s="6" t="n"/>
      <c r="ZO11" s="6" t="n"/>
      <c r="ZP11" s="6" t="n"/>
      <c r="ZQ11" s="6" t="n"/>
      <c r="ZR11" s="6" t="n"/>
      <c r="ZS11" s="6">
        <f>IF(COUNTA(YO11:ZR11)=0, "", SUMPRODUCT(--ISNUMBER(SEARCH("m", YO11:ZR11))))</f>
        <v/>
      </c>
      <c r="ZT11" s="6">
        <f>IF(COUNTA(YO11:ZR11)=0, "", COUNTA(YO11:ZR11) - SUMPRODUCT(--ISNUMBER(SEARCH("m", YO11:ZR11))))</f>
        <v/>
      </c>
      <c r="ZU11" s="6" t="n"/>
      <c r="ZV11" s="6" t="n"/>
      <c r="ZW11" s="6" t="n"/>
      <c r="ZX11" s="6" t="n"/>
      <c r="ZY11" s="6" t="n"/>
      <c r="ZZ11" s="6" t="n"/>
      <c r="AAA11" s="6" t="n"/>
      <c r="AAB11" s="6" t="n"/>
      <c r="AAC11" s="6" t="n"/>
      <c r="AAD11" s="6" t="n"/>
      <c r="AAE11" s="6" t="n"/>
      <c r="AAF11" s="6" t="n"/>
      <c r="AAG11" s="6" t="n"/>
      <c r="AAH11" s="6" t="n"/>
      <c r="AAI11" s="6" t="n"/>
      <c r="AAJ11" s="6" t="n"/>
      <c r="AAK11" s="6" t="n"/>
      <c r="AAL11" s="6" t="n"/>
      <c r="AAM11" s="6" t="n"/>
      <c r="AAN11" s="6" t="n"/>
      <c r="AAO11" s="20">
        <f>IFERROR(ROUND(AVERAGE(ZU11,ZW11,ZY11,AAA11,AAC11,AAE11,AAG11,AAI11,AAK11,AAM11), 2), "")</f>
        <v/>
      </c>
      <c r="AAP11" s="6" t="n"/>
      <c r="AAQ11" s="6" t="n"/>
      <c r="AAR11" s="6" t="n"/>
      <c r="AAS11" s="6" t="n"/>
      <c r="AAT11" s="6" t="n"/>
      <c r="AAU11" s="6" t="n"/>
      <c r="AAV11" s="6" t="n"/>
      <c r="AAW11" s="6" t="n"/>
      <c r="AAX11" s="6" t="n"/>
      <c r="AAY11" s="6" t="n"/>
      <c r="AAZ11" s="6" t="n"/>
      <c r="ABA11" s="6" t="n"/>
      <c r="ABB11" s="6" t="n"/>
      <c r="ABC11" s="6" t="n"/>
      <c r="ABD11" s="6" t="n"/>
      <c r="ABE11" s="6" t="n"/>
      <c r="ABF11" s="6" t="n"/>
      <c r="ABG11" s="6" t="n"/>
      <c r="ABH11" s="6" t="n"/>
      <c r="ABI11" s="6" t="n"/>
      <c r="ABJ11" s="6" t="n"/>
      <c r="ABK11" s="6" t="n"/>
      <c r="ABL11" s="6" t="n"/>
      <c r="ABM11" s="6" t="n"/>
      <c r="ABN11" s="6" t="n"/>
      <c r="ABO11" s="6" t="n"/>
      <c r="ABP11" s="6" t="n"/>
      <c r="ABQ11" s="6" t="n"/>
      <c r="ABR11" s="6" t="n"/>
      <c r="ABS11" s="6" t="n"/>
      <c r="ABT11" s="6">
        <f>IF(COUNTA(AAP11:ABS11)=0, "", SUMPRODUCT(--ISNUMBER(SEARCH("m", AAP11:ABS11))))</f>
        <v/>
      </c>
      <c r="ABU11" s="6">
        <f>IF(COUNTA(AAP11:ABS11)=0, "", COUNTA(AAP11:ABS11) - SUMPRODUCT(--ISNUMBER(SEARCH("m", AAP11:ABS11))))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8">
        <f>IFERROR(ROUND(AVERAGE(AB12,CC12,ED12,GE12,IF12,KG12,MH12,OI12,QJ12,SK12,UL12,WM12,YN12,AAO12), 2), "")</f>
        <v/>
      </c>
      <c r="F12" s="14">
        <f>IF(SUM(BH12,DI12,FJ12,HK12,JL12,LM12,NN12,PO12,RP12,TQ12,VR12,XS12,ZT12,ABU12)=0, "", SUM(BH12,DI12,FJ12,HK12,JL12,LM12,NN12,PO12,RP12,TQ12,VR12,XS12,ZT12,ABU12))</f>
        <v/>
      </c>
      <c r="G12" s="8">
        <f>IF(SUM(BG12,DH12,FI12,HJ12,JK12,LL12,NM12,PN12,RO12,TP12,VQ12,XR12,ZS12,ABT12)=0, "", SUM(BG12,DH12,FI12,HJ12,JK12,LL12,NM12,PN12,RO12,TP12,VQ12,XR12,ZS12,ABT12))</f>
        <v/>
      </c>
      <c r="H12" s="6" t="n"/>
      <c r="I12" s="79" t="n"/>
      <c r="J12" s="6" t="n"/>
      <c r="K12" s="79" t="n"/>
      <c r="L12" s="6" t="n"/>
      <c r="M12" s="79" t="n"/>
      <c r="N12" s="6" t="n"/>
      <c r="O12" s="79" t="n"/>
      <c r="P12" s="6" t="n"/>
      <c r="Q12" s="79" t="n"/>
      <c r="R12" s="18" t="n"/>
      <c r="S12" s="79" t="n"/>
      <c r="T12" s="79" t="n"/>
      <c r="U12" s="79" t="n"/>
      <c r="V12" s="79" t="n"/>
      <c r="W12" s="79" t="n"/>
      <c r="X12" s="79" t="n"/>
      <c r="Y12" s="79" t="n"/>
      <c r="Z12" s="79" t="n"/>
      <c r="AA12" s="18" t="n"/>
      <c r="AB12" s="14">
        <f>IFERROR(ROUND(AVERAGE(H12,J12,L12,N12,P12,R12,T12,V12,X12,Z12), 2), "")</f>
        <v/>
      </c>
      <c r="AC12" s="6" t="n"/>
      <c r="AD12" s="79" t="n"/>
      <c r="AE12" s="6" t="n"/>
      <c r="AF12" s="79" t="n"/>
      <c r="AG12" s="6" t="n"/>
      <c r="AH12" s="79" t="n"/>
      <c r="AI12" s="6" t="n"/>
      <c r="AJ12" s="79" t="n"/>
      <c r="AK12" s="6" t="n"/>
      <c r="AL12" s="79" t="n"/>
      <c r="AM12" s="18" t="n"/>
      <c r="AN12" s="79" t="n"/>
      <c r="AO12" s="79" t="n"/>
      <c r="AP12" s="79" t="n"/>
      <c r="AQ12" s="79" t="n"/>
      <c r="AR12" s="79" t="n"/>
      <c r="AS12" s="79" t="n"/>
      <c r="AT12" s="79" t="n"/>
      <c r="AU12" s="79" t="n"/>
      <c r="AV12" s="18" t="n"/>
      <c r="AW12" s="19" t="n"/>
      <c r="AX12" s="6" t="n"/>
      <c r="AY12" s="79" t="n"/>
      <c r="AZ12" s="6" t="n"/>
      <c r="BA12" s="79" t="n"/>
      <c r="BB12" s="6" t="n"/>
      <c r="BC12" s="79" t="n"/>
      <c r="BD12" s="6" t="n"/>
      <c r="BE12" s="79" t="n"/>
      <c r="BF12" s="6" t="n"/>
      <c r="BG12" s="79">
        <f>IF(COUNTA(AC12:BF12)=0, "", SUMPRODUCT(--ISNUMBER(SEARCH("m", AC12:BF12))))</f>
        <v/>
      </c>
      <c r="BH12" s="18">
        <f>IF(COUNTA(AC12:BF12)=0, "", COUNTA(AC12:BF12) - SUMPRODUCT(--ISNUMBER(SEARCH("m", AC12:BF12))))</f>
        <v/>
      </c>
      <c r="BI12" s="79" t="n"/>
      <c r="BJ12" s="79" t="n"/>
      <c r="BK12" s="79" t="n"/>
      <c r="BL12" s="79" t="n"/>
      <c r="BM12" s="79" t="n"/>
      <c r="BN12" s="79" t="n"/>
      <c r="BO12" s="79" t="n"/>
      <c r="BP12" s="79" t="n"/>
      <c r="BQ12" s="18" t="n"/>
      <c r="BR12" s="19" t="n"/>
      <c r="BS12" s="6" t="n"/>
      <c r="BT12" s="79" t="n"/>
      <c r="BU12" s="6" t="n"/>
      <c r="BV12" s="79" t="n"/>
      <c r="BW12" s="6" t="n"/>
      <c r="BX12" s="79" t="n"/>
      <c r="BY12" s="6" t="n"/>
      <c r="BZ12" s="79" t="n"/>
      <c r="CA12" s="6" t="n"/>
      <c r="CB12" s="79" t="n"/>
      <c r="CC12" s="8">
        <f>IFERROR(ROUND(AVERAGE(BI12,BK12,BM12,BO12,BQ12,BS12,BU12,BW12,BY12,CA12), 2), "")</f>
        <v/>
      </c>
      <c r="CD12" s="79" t="n"/>
      <c r="CE12" s="79" t="n"/>
      <c r="CF12" s="79" t="n"/>
      <c r="CG12" s="79" t="n"/>
      <c r="CH12" s="79" t="n"/>
      <c r="CI12" s="79" t="n"/>
      <c r="CJ12" s="79" t="n"/>
      <c r="CK12" s="79" t="n"/>
      <c r="CL12" s="18" t="n"/>
      <c r="CM12" s="19" t="n"/>
      <c r="CN12" s="6" t="n"/>
      <c r="CO12" s="79" t="n"/>
      <c r="CP12" s="6" t="n"/>
      <c r="CQ12" s="79" t="n"/>
      <c r="CR12" s="6" t="n"/>
      <c r="CS12" s="79" t="n"/>
      <c r="CT12" s="6" t="n"/>
      <c r="CU12" s="79" t="n"/>
      <c r="CV12" s="6" t="n"/>
      <c r="CW12" s="79" t="n"/>
      <c r="CX12" s="18" t="n"/>
      <c r="CY12" s="79" t="n"/>
      <c r="CZ12" s="79" t="n"/>
      <c r="DA12" s="79" t="n"/>
      <c r="DB12" s="79" t="n"/>
      <c r="DC12" s="79" t="n"/>
      <c r="DD12" s="79" t="n"/>
      <c r="DE12" s="79" t="n"/>
      <c r="DF12" s="79" t="n"/>
      <c r="DG12" s="18" t="n"/>
      <c r="DH12" s="19">
        <f>IF(COUNTA(CD12:DG12)=0, "", SUMPRODUCT(--ISNUMBER(SEARCH("m", CD12:DG12))))</f>
        <v/>
      </c>
      <c r="DI12" s="6">
        <f>IF(COUNTA(CD12:DG12)=0, "", COUNTA(CD12:DG12) - SUMPRODUCT(--ISNUMBER(SEARCH("m", CD12:DG12))))</f>
        <v/>
      </c>
      <c r="DJ12" s="79" t="n"/>
      <c r="DK12" s="6" t="n"/>
      <c r="DL12" s="79" t="n"/>
      <c r="DM12" s="6" t="n"/>
      <c r="DN12" s="79" t="n"/>
      <c r="DO12" s="6" t="n"/>
      <c r="DP12" s="79" t="n"/>
      <c r="DQ12" s="6" t="n"/>
      <c r="DR12" s="79" t="n"/>
      <c r="DS12" s="18" t="n"/>
      <c r="DT12" s="79" t="n"/>
      <c r="DU12" s="79" t="n"/>
      <c r="DV12" s="79" t="n"/>
      <c r="DW12" s="79" t="n"/>
      <c r="DX12" s="79" t="n"/>
      <c r="DY12" s="79" t="n"/>
      <c r="DZ12" s="79" t="n"/>
      <c r="EA12" s="79" t="n"/>
      <c r="EB12" s="18" t="n"/>
      <c r="EC12" s="19" t="n"/>
      <c r="ED12" s="20">
        <f>IFERROR(ROUND(AVERAGE(DJ12,DL12,DN12,DP12,DR12,DT12,DV12,DX12,DZ12,EB12), 2), "")</f>
        <v/>
      </c>
      <c r="EE12" s="79" t="n"/>
      <c r="EF12" s="6" t="n"/>
      <c r="EG12" s="79" t="n"/>
      <c r="EH12" s="6" t="n"/>
      <c r="EI12" s="79" t="n"/>
      <c r="EJ12" s="6" t="n"/>
      <c r="EK12" s="79" t="n"/>
      <c r="EL12" s="6" t="n"/>
      <c r="EM12" s="79" t="n"/>
      <c r="EN12" s="18" t="n"/>
      <c r="EO12" s="79" t="n"/>
      <c r="EP12" s="79" t="n"/>
      <c r="EQ12" s="79" t="n"/>
      <c r="ER12" s="79" t="n"/>
      <c r="ES12" s="79" t="n"/>
      <c r="ET12" s="79" t="n"/>
      <c r="EU12" s="79" t="n"/>
      <c r="EV12" s="79" t="n"/>
      <c r="EW12" s="18" t="n"/>
      <c r="EX12" s="19" t="n"/>
      <c r="EY12" s="6" t="n"/>
      <c r="EZ12" s="79" t="n"/>
      <c r="FA12" s="6" t="n"/>
      <c r="FB12" s="79" t="n"/>
      <c r="FC12" s="6" t="n"/>
      <c r="FD12" s="79" t="n"/>
      <c r="FE12" s="6" t="n"/>
      <c r="FF12" s="79" t="n"/>
      <c r="FG12" s="6" t="n"/>
      <c r="FH12" s="79" t="n"/>
      <c r="FI12" s="18">
        <f>IF(COUNTA(EE12:FH12)=0, "", SUMPRODUCT(--ISNUMBER(SEARCH("m", EE12:FH12))))</f>
        <v/>
      </c>
      <c r="FJ12" s="79">
        <f>IF(COUNTA(EE12:FH12)=0, "", COUNTA(EE12:FH12) - SUMPRODUCT(--ISNUMBER(SEARCH("m", EE12:FH12))))</f>
        <v/>
      </c>
      <c r="FK12" s="79" t="n"/>
      <c r="FL12" s="79" t="n"/>
      <c r="FM12" s="79" t="n"/>
      <c r="FN12" s="79" t="n"/>
      <c r="FO12" s="79" t="n"/>
      <c r="FP12" s="79" t="n"/>
      <c r="FQ12" s="79" t="n"/>
      <c r="FR12" s="18" t="n"/>
      <c r="FS12" s="19" t="n"/>
      <c r="FT12" s="6" t="n"/>
      <c r="FU12" s="79" t="n"/>
      <c r="FV12" s="6" t="n"/>
      <c r="FW12" s="79" t="n"/>
      <c r="FX12" s="6" t="n"/>
      <c r="FY12" s="79" t="n"/>
      <c r="FZ12" s="6" t="n"/>
      <c r="GA12" s="79" t="n"/>
      <c r="GB12" s="6" t="n"/>
      <c r="GC12" s="79" t="n"/>
      <c r="GD12" s="18" t="n"/>
      <c r="GE12" s="80">
        <f>IFERROR(ROUND(AVERAGE(FK12,FM12,FO12,FQ12,FS12,FU12,FW12,FY12,GA12,GC12), 2), "")</f>
        <v/>
      </c>
      <c r="GF12" s="79" t="n"/>
      <c r="GG12" s="79" t="n"/>
      <c r="GH12" s="79" t="n"/>
      <c r="GI12" s="79" t="n"/>
      <c r="GJ12" s="79" t="n"/>
      <c r="GK12" s="79" t="n"/>
      <c r="GL12" s="79" t="n"/>
      <c r="GM12" s="18" t="n"/>
      <c r="GN12" s="19" t="n"/>
      <c r="GO12" s="6" t="n"/>
      <c r="GP12" s="79" t="n"/>
      <c r="GQ12" s="6" t="n"/>
      <c r="GR12" s="79" t="n"/>
      <c r="GS12" s="6" t="n"/>
      <c r="GT12" s="79" t="n"/>
      <c r="GU12" s="6" t="n"/>
      <c r="GV12" s="79" t="n"/>
      <c r="GW12" s="6" t="n"/>
      <c r="GX12" s="79" t="n"/>
      <c r="GY12" s="18" t="n"/>
      <c r="GZ12" s="79" t="n"/>
      <c r="HA12" s="79" t="n"/>
      <c r="HB12" s="79" t="n"/>
      <c r="HC12" s="79" t="n"/>
      <c r="HD12" s="79" t="n"/>
      <c r="HE12" s="79" t="n"/>
      <c r="HF12" s="79" t="n"/>
      <c r="HG12" s="79" t="n"/>
      <c r="HH12" s="18" t="n"/>
      <c r="HI12" s="19" t="n"/>
      <c r="HJ12" s="6">
        <f>IF(COUNTA(GF12:HI12)=0, "", SUMPRODUCT(--ISNUMBER(SEARCH("m", GF12:HI12))))</f>
        <v/>
      </c>
      <c r="HK12" s="79">
        <f>IF(COUNTA(GF12:HI12)=0, "", COUNTA(GF12:HI12) - SUMPRODUCT(--ISNUMBER(SEARCH("m", GF12:HI12))))</f>
        <v/>
      </c>
      <c r="HL12" s="6" t="n"/>
      <c r="HM12" s="79" t="n"/>
      <c r="HN12" s="6" t="n"/>
      <c r="HO12" s="79" t="n"/>
      <c r="HP12" s="6" t="n"/>
      <c r="HQ12" s="79" t="n"/>
      <c r="HR12" s="6" t="n"/>
      <c r="HS12" s="79" t="n"/>
      <c r="HT12" s="18" t="n"/>
      <c r="HU12" s="79" t="n"/>
      <c r="HV12" s="79" t="n"/>
      <c r="HW12" s="79" t="n"/>
      <c r="HX12" s="79" t="n"/>
      <c r="HY12" s="79" t="n"/>
      <c r="HZ12" s="79" t="n"/>
      <c r="IA12" s="79" t="n"/>
      <c r="IB12" s="79" t="n"/>
      <c r="IC12" s="18" t="n"/>
      <c r="ID12" s="19" t="n"/>
      <c r="IE12" s="6" t="n"/>
      <c r="IF12" s="80">
        <f>IFERROR(ROUND(AVERAGE(HL12,HN12,HP12,HR12,HT12,HV12,HX12,HZ12,IB12,ID12), 2), "")</f>
        <v/>
      </c>
      <c r="IG12" s="6" t="n"/>
      <c r="IH12" s="79" t="n"/>
      <c r="II12" s="6" t="n"/>
      <c r="IJ12" s="79" t="n"/>
      <c r="IK12" s="6" t="n"/>
      <c r="IL12" s="79" t="n"/>
      <c r="IM12" s="6" t="n"/>
      <c r="IN12" s="79" t="n"/>
      <c r="IO12" s="18" t="n"/>
      <c r="IP12" s="79" t="n"/>
      <c r="IQ12" s="79" t="n"/>
      <c r="IR12" s="79" t="n"/>
      <c r="IS12" s="79" t="n"/>
      <c r="IT12" s="79" t="n"/>
      <c r="IU12" s="79" t="n"/>
      <c r="IV12" s="79" t="n"/>
      <c r="IW12" s="79" t="n"/>
      <c r="IX12" s="18" t="n"/>
      <c r="IY12" s="19" t="n"/>
      <c r="IZ12" s="6" t="n"/>
      <c r="JA12" s="79" t="n"/>
      <c r="JB12" s="6" t="n"/>
      <c r="JC12" s="79" t="n"/>
      <c r="JD12" s="6" t="n"/>
      <c r="JE12" s="79" t="n"/>
      <c r="JF12" s="6" t="n"/>
      <c r="JG12" s="79" t="n"/>
      <c r="JH12" s="6" t="n"/>
      <c r="JI12" s="79" t="n"/>
      <c r="JJ12" s="18" t="n"/>
      <c r="JK12" s="79">
        <f>IF(COUNTA(IG12:JJ12)=0, "", SUMPRODUCT(--ISNUMBER(SEARCH("m", IG12:JJ12))))</f>
        <v/>
      </c>
      <c r="JL12" s="79">
        <f>IF(COUNTA(IG12:JJ12)=0, "", COUNTA(IG12:JJ12) - SUMPRODUCT(--ISNUMBER(SEARCH("m", IG12:JJ12))))</f>
        <v/>
      </c>
      <c r="JM12" s="79" t="n"/>
      <c r="JN12" s="79" t="n"/>
      <c r="JO12" s="79" t="n"/>
      <c r="JP12" s="79" t="n"/>
      <c r="JQ12" s="79" t="n"/>
      <c r="JR12" s="79" t="n"/>
      <c r="JS12" s="18" t="n"/>
      <c r="JT12" s="19" t="n"/>
      <c r="JU12" s="6" t="n"/>
      <c r="JV12" s="79" t="n"/>
      <c r="JW12" s="6" t="n"/>
      <c r="JX12" s="79" t="n"/>
      <c r="JY12" s="6" t="n"/>
      <c r="JZ12" s="79" t="n"/>
      <c r="KA12" s="6" t="n"/>
      <c r="KB12" s="79" t="n"/>
      <c r="KC12" s="6" t="n"/>
      <c r="KD12" s="79" t="n"/>
      <c r="KE12" s="18" t="n"/>
      <c r="KF12" s="79" t="n"/>
      <c r="KG12" s="80">
        <f>IFERROR(ROUND(AVERAGE(JM12,JO12,JQ12,JS12,JU12,JW12,JY12,KA12,KC12,KE12), 2), "")</f>
        <v/>
      </c>
      <c r="KH12" s="79" t="n"/>
      <c r="KI12" s="79" t="n"/>
      <c r="KJ12" s="79" t="n"/>
      <c r="KK12" s="79" t="n"/>
      <c r="KL12" s="79" t="n"/>
      <c r="KM12" s="79" t="n"/>
      <c r="KN12" s="18" t="n"/>
      <c r="KO12" s="19" t="n"/>
      <c r="KP12" s="6" t="n"/>
      <c r="KQ12" s="6" t="n"/>
      <c r="KR12" s="6" t="n"/>
      <c r="KS12" s="6" t="n"/>
      <c r="KT12" s="6" t="n"/>
      <c r="KU12" s="6" t="n"/>
      <c r="KV12" s="6" t="n"/>
      <c r="KW12" s="6" t="n"/>
      <c r="KX12" s="6" t="n"/>
      <c r="KY12" s="6" t="n"/>
      <c r="KZ12" s="6" t="n"/>
      <c r="LA12" s="6" t="n"/>
      <c r="LB12" s="6" t="n"/>
      <c r="LC12" s="6" t="n"/>
      <c r="LD12" s="6" t="n"/>
      <c r="LE12" s="6" t="n"/>
      <c r="LF12" s="6" t="n"/>
      <c r="LG12" s="6" t="n"/>
      <c r="LH12" s="6" t="n"/>
      <c r="LI12" s="6" t="n"/>
      <c r="LJ12" s="6" t="n"/>
      <c r="LK12" s="6" t="n"/>
      <c r="LL12" s="6">
        <f>IF(COUNTA(KH12:LK12)=0, "", SUMPRODUCT(--ISNUMBER(SEARCH("m", KH12:LK12))))</f>
        <v/>
      </c>
      <c r="LM12" s="6">
        <f>IF(COUNTA(KH12:LK12)=0, "", COUNTA(KH12:LK12) - SUMPRODUCT(--ISNUMBER(SEARCH("m", KH12:LK12))))</f>
        <v/>
      </c>
      <c r="LN12" s="6" t="n"/>
      <c r="LO12" s="6" t="n"/>
      <c r="LP12" s="6" t="n"/>
      <c r="LQ12" s="6" t="n"/>
      <c r="LR12" s="6" t="n"/>
      <c r="LS12" s="6" t="n"/>
      <c r="LT12" s="6" t="n"/>
      <c r="LU12" s="6" t="n"/>
      <c r="LV12" s="6" t="n"/>
      <c r="LW12" s="6" t="n"/>
      <c r="LX12" s="6" t="n"/>
      <c r="LY12" s="6" t="n"/>
      <c r="LZ12" s="6" t="n"/>
      <c r="MA12" s="6" t="n"/>
      <c r="MB12" s="6" t="n"/>
      <c r="MC12" s="6" t="n"/>
      <c r="MD12" s="6" t="n"/>
      <c r="ME12" s="6" t="n"/>
      <c r="MF12" s="6" t="n"/>
      <c r="MG12" s="6" t="n"/>
      <c r="MH12" s="20">
        <f>IFERROR(ROUND(AVERAGE(LN12,LP12,LR12,LT12,LV12,LX12,LZ12,MB12,MD12,MF12), 2), "")</f>
        <v/>
      </c>
      <c r="MI12" s="6" t="n"/>
      <c r="MJ12" s="6" t="n"/>
      <c r="MK12" s="6" t="n"/>
      <c r="ML12" s="6" t="n"/>
      <c r="MM12" s="6" t="n"/>
      <c r="MN12" s="6" t="n"/>
      <c r="MO12" s="6" t="n"/>
      <c r="MP12" s="6" t="n"/>
      <c r="MQ12" s="6" t="n"/>
      <c r="MR12" s="6" t="n"/>
      <c r="MS12" s="6" t="n"/>
      <c r="MT12" s="6" t="n"/>
      <c r="MU12" s="6" t="n"/>
      <c r="MV12" s="6" t="n"/>
      <c r="MW12" s="6" t="n"/>
      <c r="MX12" s="6" t="n"/>
      <c r="MY12" s="6" t="n"/>
      <c r="MZ12" s="6" t="n"/>
      <c r="NA12" s="6" t="n"/>
      <c r="NB12" s="6" t="n"/>
      <c r="NC12" s="6" t="n"/>
      <c r="ND12" s="6" t="n"/>
      <c r="NE12" s="6" t="n"/>
      <c r="NF12" s="6" t="n"/>
      <c r="NG12" s="6" t="n"/>
      <c r="NH12" s="6" t="n"/>
      <c r="NI12" s="6" t="n"/>
      <c r="NJ12" s="6" t="n"/>
      <c r="NK12" s="6" t="n"/>
      <c r="NL12" s="6" t="n"/>
      <c r="NM12" s="6">
        <f>IF(COUNTA(MI12:NL12)=0, "", SUMPRODUCT(--ISNUMBER(SEARCH("m", MI12:NL12))))</f>
        <v/>
      </c>
      <c r="NN12" s="6">
        <f>IF(COUNTA(MI12:NL12)=0, "", COUNTA(MI12:NL12) - SUMPRODUCT(--ISNUMBER(SEARCH("m", MI12:NL12))))</f>
        <v/>
      </c>
      <c r="NO12" s="6" t="n"/>
      <c r="NP12" s="6" t="n"/>
      <c r="NQ12" s="6" t="n"/>
      <c r="NR12" s="6" t="n"/>
      <c r="NS12" s="6" t="n"/>
      <c r="NT12" s="6" t="n"/>
      <c r="NU12" s="6" t="n"/>
      <c r="NV12" s="6" t="n"/>
      <c r="NW12" s="6" t="n"/>
      <c r="NX12" s="6" t="n"/>
      <c r="NY12" s="6" t="n"/>
      <c r="NZ12" s="6" t="n"/>
      <c r="OA12" s="6" t="n"/>
      <c r="OB12" s="6" t="n"/>
      <c r="OC12" s="6" t="n"/>
      <c r="OD12" s="6" t="n"/>
      <c r="OE12" s="6" t="n"/>
      <c r="OF12" s="6" t="n"/>
      <c r="OG12" s="6" t="n"/>
      <c r="OH12" s="6" t="n"/>
      <c r="OI12" s="20">
        <f>IFERROR(ROUND(AVERAGE(NO12,NQ12,NS12,NU12,NW12,NY12,OA12,OC12,OE12,OG12), 2), "")</f>
        <v/>
      </c>
      <c r="OJ12" s="6" t="n"/>
      <c r="OK12" s="6" t="n"/>
      <c r="OL12" s="6" t="n"/>
      <c r="OM12" s="6" t="n"/>
      <c r="ON12" s="6" t="n"/>
      <c r="OO12" s="6" t="n"/>
      <c r="OP12" s="6" t="n"/>
      <c r="OQ12" s="6" t="n"/>
      <c r="OR12" s="6" t="n"/>
      <c r="OS12" s="6" t="n"/>
      <c r="OT12" s="6" t="n"/>
      <c r="OU12" s="6" t="n"/>
      <c r="OV12" s="6" t="n"/>
      <c r="OW12" s="6" t="n"/>
      <c r="OX12" s="6" t="n"/>
      <c r="OY12" s="6" t="n"/>
      <c r="OZ12" s="6" t="n"/>
      <c r="PA12" s="6" t="n"/>
      <c r="PB12" s="6" t="n"/>
      <c r="PC12" s="6" t="n"/>
      <c r="PD12" s="6" t="n"/>
      <c r="PE12" s="6" t="n"/>
      <c r="PF12" s="6" t="n"/>
      <c r="PG12" s="6" t="n"/>
      <c r="PH12" s="6" t="n"/>
      <c r="PI12" s="6" t="n"/>
      <c r="PJ12" s="6" t="n"/>
      <c r="PK12" s="6" t="n"/>
      <c r="PL12" s="6" t="n"/>
      <c r="PM12" s="6" t="n"/>
      <c r="PN12" s="6">
        <f>IF(COUNTA(OJ12:PM12)=0, "", SUMPRODUCT(--ISNUMBER(SEARCH("m", OJ12:PM12))))</f>
        <v/>
      </c>
      <c r="PO12" s="6">
        <f>IF(COUNTA(OJ12:PM12)=0, "", COUNTA(OJ12:PM12) - SUMPRODUCT(--ISNUMBER(SEARCH("m", OJ12:PM12))))</f>
        <v/>
      </c>
      <c r="PP12" s="6" t="n"/>
      <c r="PQ12" s="6" t="n"/>
      <c r="PR12" s="6" t="n"/>
      <c r="PS12" s="6" t="n"/>
      <c r="PT12" s="6" t="n"/>
      <c r="PU12" s="6" t="n"/>
      <c r="PV12" s="6" t="n"/>
      <c r="PW12" s="6" t="n"/>
      <c r="PX12" s="6" t="n"/>
      <c r="PY12" s="6" t="n"/>
      <c r="PZ12" s="6" t="n"/>
      <c r="QA12" s="6" t="n"/>
      <c r="QB12" s="6" t="n"/>
      <c r="QC12" s="6" t="n"/>
      <c r="QD12" s="6" t="n"/>
      <c r="QE12" s="6" t="n"/>
      <c r="QF12" s="6" t="n"/>
      <c r="QG12" s="6" t="n"/>
      <c r="QH12" s="6" t="n"/>
      <c r="QI12" s="6" t="n"/>
      <c r="QJ12" s="20">
        <f>IFERROR(ROUND(AVERAGE(PP12,PR12,PT12,PV12,PX12,PZ12,QB12,QD12,QF12,QH12), 2), "")</f>
        <v/>
      </c>
      <c r="QK12" s="6" t="n"/>
      <c r="QL12" s="6" t="n"/>
      <c r="QM12" s="6" t="n"/>
      <c r="QN12" s="6" t="n"/>
      <c r="QO12" s="6" t="n"/>
      <c r="QP12" s="6" t="n"/>
      <c r="QQ12" s="6" t="n"/>
      <c r="QR12" s="6" t="n"/>
      <c r="QS12" s="6" t="n"/>
      <c r="QT12" s="6" t="n"/>
      <c r="QU12" s="6" t="n"/>
      <c r="QV12" s="6" t="n"/>
      <c r="QW12" s="6" t="n"/>
      <c r="QX12" s="6" t="n"/>
      <c r="QY12" s="6" t="n"/>
      <c r="QZ12" s="6" t="n"/>
      <c r="RA12" s="6" t="n"/>
      <c r="RB12" s="6" t="n"/>
      <c r="RC12" s="6" t="n"/>
      <c r="RD12" s="6" t="n"/>
      <c r="RE12" s="6" t="n"/>
      <c r="RF12" s="6" t="n"/>
      <c r="RG12" s="6" t="n"/>
      <c r="RH12" s="6" t="n"/>
      <c r="RI12" s="6" t="n"/>
      <c r="RJ12" s="6" t="n"/>
      <c r="RK12" s="6" t="n"/>
      <c r="RL12" s="6" t="n"/>
      <c r="RM12" s="6" t="n"/>
      <c r="RN12" s="6" t="n"/>
      <c r="RO12" s="6">
        <f>IF(COUNTA(QK12:RN12)=0, "", SUMPRODUCT(--ISNUMBER(SEARCH("m", QK12:RN12))))</f>
        <v/>
      </c>
      <c r="RP12" s="6">
        <f>IF(COUNTA(QK12:RN12)=0, "", COUNTA(QK12:RN12) - SUMPRODUCT(--ISNUMBER(SEARCH("m", QK12:RN12))))</f>
        <v/>
      </c>
      <c r="RQ12" s="6" t="n"/>
      <c r="RR12" s="6" t="n"/>
      <c r="RS12" s="6" t="n"/>
      <c r="RT12" s="6" t="n"/>
      <c r="RU12" s="6" t="n"/>
      <c r="RV12" s="6" t="n"/>
      <c r="RW12" s="6" t="n"/>
      <c r="RX12" s="6" t="n"/>
      <c r="RY12" s="6" t="n"/>
      <c r="RZ12" s="6" t="n"/>
      <c r="SA12" s="6" t="n"/>
      <c r="SB12" s="6" t="n"/>
      <c r="SC12" s="6" t="n"/>
      <c r="SD12" s="6" t="n"/>
      <c r="SE12" s="6" t="n"/>
      <c r="SF12" s="6" t="n"/>
      <c r="SG12" s="6" t="n"/>
      <c r="SH12" s="6" t="n"/>
      <c r="SI12" s="6" t="n"/>
      <c r="SJ12" s="6" t="n"/>
      <c r="SK12" s="20">
        <f>IFERROR(ROUND(AVERAGE(RQ12,RS12,RU12,RW12,RY12,SA12,SC12,SE12,SG12,SI12), 2), "")</f>
        <v/>
      </c>
      <c r="SL12" s="6" t="n"/>
      <c r="SM12" s="6" t="n"/>
      <c r="SN12" s="6" t="n"/>
      <c r="SO12" s="6" t="n"/>
      <c r="SP12" s="6" t="n"/>
      <c r="SQ12" s="6" t="n"/>
      <c r="SR12" s="6" t="n"/>
      <c r="SS12" s="6" t="n"/>
      <c r="ST12" s="6" t="n"/>
      <c r="SU12" s="6" t="n"/>
      <c r="SV12" s="6" t="n"/>
      <c r="SW12" s="6" t="n"/>
      <c r="SX12" s="6" t="n"/>
      <c r="SY12" s="6" t="n"/>
      <c r="SZ12" s="6" t="n"/>
      <c r="TA12" s="6" t="n"/>
      <c r="TB12" s="6" t="n"/>
      <c r="TC12" s="6" t="n"/>
      <c r="TD12" s="6" t="n"/>
      <c r="TE12" s="6" t="n"/>
      <c r="TF12" s="6" t="n"/>
      <c r="TG12" s="6" t="n"/>
      <c r="TH12" s="6" t="n"/>
      <c r="TI12" s="6" t="n"/>
      <c r="TJ12" s="6" t="n"/>
      <c r="TK12" s="6" t="n"/>
      <c r="TL12" s="6" t="n"/>
      <c r="TM12" s="6" t="n"/>
      <c r="TN12" s="6" t="n"/>
      <c r="TO12" s="6" t="n"/>
      <c r="TP12" s="6">
        <f>IF(COUNTA(SL12:TO12)=0, "", SUMPRODUCT(--ISNUMBER(SEARCH("m", SL12:TO12))))</f>
        <v/>
      </c>
      <c r="TQ12" s="6">
        <f>IF(COUNTA(SL12:TO12)=0, "", COUNTA(SL12:TO12) - SUMPRODUCT(--ISNUMBER(SEARCH("m", SL12:TO12))))</f>
        <v/>
      </c>
      <c r="TR12" s="6" t="n"/>
      <c r="TS12" s="6" t="n"/>
      <c r="TT12" s="6" t="n"/>
      <c r="TU12" s="6" t="n"/>
      <c r="TV12" s="6" t="n"/>
      <c r="TW12" s="6" t="n"/>
      <c r="TX12" s="6" t="n"/>
      <c r="TY12" s="6" t="n"/>
      <c r="TZ12" s="6" t="n"/>
      <c r="UA12" s="6" t="n"/>
      <c r="UB12" s="6" t="n"/>
      <c r="UC12" s="6" t="n"/>
      <c r="UD12" s="6" t="n"/>
      <c r="UE12" s="6" t="n"/>
      <c r="UF12" s="6" t="n"/>
      <c r="UG12" s="6" t="n"/>
      <c r="UH12" s="6" t="n"/>
      <c r="UI12" s="6" t="n"/>
      <c r="UJ12" s="6" t="n"/>
      <c r="UK12" s="6" t="n"/>
      <c r="UL12" s="20">
        <f>IFERROR(ROUND(AVERAGE(TR12,TT12,TV12,TX12,TZ12,UB12,UD12,UF12,UH12,UJ12), 2), "")</f>
        <v/>
      </c>
      <c r="UM12" s="6" t="n"/>
      <c r="UN12" s="6" t="n"/>
      <c r="UO12" s="6" t="n"/>
      <c r="UP12" s="6" t="n"/>
      <c r="UQ12" s="6" t="n"/>
      <c r="UR12" s="6" t="n"/>
      <c r="US12" s="6" t="n"/>
      <c r="UT12" s="6" t="n"/>
      <c r="UU12" s="6" t="n"/>
      <c r="UV12" s="6" t="n"/>
      <c r="UW12" s="6" t="n"/>
      <c r="UX12" s="6" t="n"/>
      <c r="UY12" s="6" t="n"/>
      <c r="UZ12" s="6" t="n"/>
      <c r="VA12" s="6" t="n"/>
      <c r="VB12" s="6" t="n"/>
      <c r="VC12" s="6" t="n"/>
      <c r="VD12" s="6" t="n"/>
      <c r="VE12" s="6" t="n"/>
      <c r="VF12" s="6" t="n"/>
      <c r="VG12" s="6" t="n"/>
      <c r="VH12" s="6" t="n"/>
      <c r="VI12" s="6" t="n"/>
      <c r="VJ12" s="6" t="n"/>
      <c r="VK12" s="6" t="n"/>
      <c r="VL12" s="6" t="n"/>
      <c r="VM12" s="6" t="n"/>
      <c r="VN12" s="6" t="n"/>
      <c r="VO12" s="6" t="n"/>
      <c r="VP12" s="6" t="n"/>
      <c r="VQ12" s="6">
        <f>IF(COUNTA(UM12:VP12)=0, "", SUMPRODUCT(--ISNUMBER(SEARCH("m", UM12:VP12))))</f>
        <v/>
      </c>
      <c r="VR12" s="6">
        <f>IF(COUNTA(UM12:VP12)=0, "", COUNTA(UM12:VP12) - SUMPRODUCT(--ISNUMBER(SEARCH("m", UM12:VP12))))</f>
        <v/>
      </c>
      <c r="VS12" s="6" t="n"/>
      <c r="VT12" s="6" t="n"/>
      <c r="VU12" s="6" t="n"/>
      <c r="VV12" s="6" t="n"/>
      <c r="VW12" s="6" t="n"/>
      <c r="VX12" s="6" t="n"/>
      <c r="VY12" s="6" t="n"/>
      <c r="VZ12" s="6" t="n"/>
      <c r="WA12" s="6" t="n"/>
      <c r="WB12" s="6" t="n"/>
      <c r="WC12" s="6" t="n"/>
      <c r="WD12" s="6" t="n"/>
      <c r="WE12" s="6" t="n"/>
      <c r="WF12" s="6" t="n"/>
      <c r="WG12" s="6" t="n"/>
      <c r="WH12" s="6" t="n"/>
      <c r="WI12" s="6" t="n"/>
      <c r="WJ12" s="6" t="n"/>
      <c r="WK12" s="6" t="n"/>
      <c r="WL12" s="6" t="n"/>
      <c r="WM12" s="20">
        <f>IFERROR(ROUND(AVERAGE(VS12,VU12,VW12,VY12,WA12,WC12,WE12,WG12,WI12,WK12), 2), "")</f>
        <v/>
      </c>
      <c r="WN12" s="6" t="n"/>
      <c r="WO12" s="6" t="n"/>
      <c r="WP12" s="6" t="n"/>
      <c r="WQ12" s="6" t="n"/>
      <c r="WR12" s="6" t="n"/>
      <c r="WS12" s="6" t="n"/>
      <c r="WT12" s="6" t="n"/>
      <c r="WU12" s="6" t="n"/>
      <c r="WV12" s="6" t="n"/>
      <c r="WW12" s="6" t="n"/>
      <c r="WX12" s="6" t="n"/>
      <c r="WY12" s="6" t="n"/>
      <c r="WZ12" s="6" t="n"/>
      <c r="XA12" s="6" t="n"/>
      <c r="XB12" s="6" t="n"/>
      <c r="XC12" s="6" t="n"/>
      <c r="XD12" s="6" t="n"/>
      <c r="XE12" s="6" t="n"/>
      <c r="XF12" s="6" t="n"/>
      <c r="XG12" s="6" t="n"/>
      <c r="XH12" s="6" t="n"/>
      <c r="XI12" s="6" t="n"/>
      <c r="XJ12" s="6" t="n"/>
      <c r="XK12" s="6" t="n"/>
      <c r="XL12" s="6" t="n"/>
      <c r="XM12" s="6" t="n"/>
      <c r="XN12" s="6" t="n"/>
      <c r="XO12" s="6" t="n"/>
      <c r="XP12" s="6" t="n"/>
      <c r="XQ12" s="6" t="n"/>
      <c r="XR12" s="6">
        <f>IF(COUNTA(WN12:XQ12)=0, "", SUMPRODUCT(--ISNUMBER(SEARCH("m", WN12:XQ12))))</f>
        <v/>
      </c>
      <c r="XS12" s="6">
        <f>IF(COUNTA(WN12:XQ12)=0, "", COUNTA(WN12:XQ12) - SUMPRODUCT(--ISNUMBER(SEARCH("m", WN12:XQ12))))</f>
        <v/>
      </c>
      <c r="XT12" s="6" t="n"/>
      <c r="XU12" s="6" t="n"/>
      <c r="XV12" s="6" t="n"/>
      <c r="XW12" s="6" t="n"/>
      <c r="XX12" s="6" t="n"/>
      <c r="XY12" s="6" t="n"/>
      <c r="XZ12" s="6" t="n"/>
      <c r="YA12" s="6" t="n"/>
      <c r="YB12" s="6" t="n"/>
      <c r="YC12" s="6" t="n"/>
      <c r="YD12" s="6" t="n"/>
      <c r="YE12" s="6" t="n"/>
      <c r="YF12" s="6" t="n"/>
      <c r="YG12" s="6" t="n"/>
      <c r="YH12" s="6" t="n"/>
      <c r="YI12" s="6" t="n"/>
      <c r="YJ12" s="6" t="n"/>
      <c r="YK12" s="6" t="n"/>
      <c r="YL12" s="6" t="n"/>
      <c r="YM12" s="6" t="n"/>
      <c r="YN12" s="20">
        <f>IFERROR(ROUND(AVERAGE(XT12,XV12,XX12,XZ12,YB12,YD12,YF12,YH12,YJ12,YL12), 2), "")</f>
        <v/>
      </c>
      <c r="YO12" s="6" t="n"/>
      <c r="YP12" s="6" t="n"/>
      <c r="YQ12" s="6" t="n"/>
      <c r="YR12" s="6" t="n"/>
      <c r="YS12" s="6" t="n"/>
      <c r="YT12" s="6" t="n"/>
      <c r="YU12" s="6" t="n"/>
      <c r="YV12" s="6" t="n"/>
      <c r="YW12" s="6" t="n"/>
      <c r="YX12" s="6" t="n"/>
      <c r="YY12" s="6" t="n"/>
      <c r="YZ12" s="6" t="n"/>
      <c r="ZA12" s="6" t="n"/>
      <c r="ZB12" s="6" t="n"/>
      <c r="ZC12" s="6" t="n"/>
      <c r="ZD12" s="6" t="n"/>
      <c r="ZE12" s="6" t="n"/>
      <c r="ZF12" s="6" t="n"/>
      <c r="ZG12" s="6" t="n"/>
      <c r="ZH12" s="6" t="n"/>
      <c r="ZI12" s="6" t="n"/>
      <c r="ZJ12" s="6" t="n"/>
      <c r="ZK12" s="6" t="n"/>
      <c r="ZL12" s="6" t="n"/>
      <c r="ZM12" s="6" t="n"/>
      <c r="ZN12" s="6" t="n"/>
      <c r="ZO12" s="6" t="n"/>
      <c r="ZP12" s="6" t="n"/>
      <c r="ZQ12" s="6" t="n"/>
      <c r="ZR12" s="6" t="n"/>
      <c r="ZS12" s="6">
        <f>IF(COUNTA(YO12:ZR12)=0, "", SUMPRODUCT(--ISNUMBER(SEARCH("m", YO12:ZR12))))</f>
        <v/>
      </c>
      <c r="ZT12" s="6">
        <f>IF(COUNTA(YO12:ZR12)=0, "", COUNTA(YO12:ZR12) - SUMPRODUCT(--ISNUMBER(SEARCH("m", YO12:ZR12))))</f>
        <v/>
      </c>
      <c r="ZU12" s="6" t="n"/>
      <c r="ZV12" s="6" t="n"/>
      <c r="ZW12" s="6" t="n"/>
      <c r="ZX12" s="6" t="n"/>
      <c r="ZY12" s="6" t="n"/>
      <c r="ZZ12" s="6" t="n"/>
      <c r="AAA12" s="6" t="n"/>
      <c r="AAB12" s="6" t="n"/>
      <c r="AAC12" s="6" t="n"/>
      <c r="AAD12" s="6" t="n"/>
      <c r="AAE12" s="6" t="n"/>
      <c r="AAF12" s="6" t="n"/>
      <c r="AAG12" s="6" t="n"/>
      <c r="AAH12" s="6" t="n"/>
      <c r="AAI12" s="6" t="n"/>
      <c r="AAJ12" s="6" t="n"/>
      <c r="AAK12" s="6" t="n"/>
      <c r="AAL12" s="6" t="n"/>
      <c r="AAM12" s="6" t="n"/>
      <c r="AAN12" s="6" t="n"/>
      <c r="AAO12" s="20">
        <f>IFERROR(ROUND(AVERAGE(ZU12,ZW12,ZY12,AAA12,AAC12,AAE12,AAG12,AAI12,AAK12,AAM12), 2), "")</f>
        <v/>
      </c>
      <c r="AAP12" s="6" t="n"/>
      <c r="AAQ12" s="6" t="n"/>
      <c r="AAR12" s="6" t="n"/>
      <c r="AAS12" s="6" t="n"/>
      <c r="AAT12" s="6" t="n"/>
      <c r="AAU12" s="6" t="n"/>
      <c r="AAV12" s="6" t="n"/>
      <c r="AAW12" s="6" t="n"/>
      <c r="AAX12" s="6" t="n"/>
      <c r="AAY12" s="6" t="n"/>
      <c r="AAZ12" s="6" t="n"/>
      <c r="ABA12" s="6" t="n"/>
      <c r="ABB12" s="6" t="n"/>
      <c r="ABC12" s="6" t="n"/>
      <c r="ABD12" s="6" t="n"/>
      <c r="ABE12" s="6" t="n"/>
      <c r="ABF12" s="6" t="n"/>
      <c r="ABG12" s="6" t="n"/>
      <c r="ABH12" s="6" t="n"/>
      <c r="ABI12" s="6" t="n"/>
      <c r="ABJ12" s="6" t="n"/>
      <c r="ABK12" s="6" t="n"/>
      <c r="ABL12" s="6" t="n"/>
      <c r="ABM12" s="6" t="n"/>
      <c r="ABN12" s="6" t="n"/>
      <c r="ABO12" s="6" t="n"/>
      <c r="ABP12" s="6" t="n"/>
      <c r="ABQ12" s="6" t="n"/>
      <c r="ABR12" s="6" t="n"/>
      <c r="ABS12" s="6" t="n"/>
      <c r="ABT12" s="6">
        <f>IF(COUNTA(AAP12:ABS12)=0, "", SUMPRODUCT(--ISNUMBER(SEARCH("m", AAP12:ABS12))))</f>
        <v/>
      </c>
      <c r="ABU12" s="6">
        <f>IF(COUNTA(AAP12:ABS12)=0, "", COUNTA(AAP12:ABS12) - SUMPRODUCT(--ISNUMBER(SEARCH("m", AAP12:ABS12))))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8">
        <f>IFERROR(ROUND(AVERAGE(AB13,CC13,ED13,GE13,IF13,KG13,MH13,OI13,QJ13,SK13,UL13,WM13,YN13,AAO13), 2), "")</f>
        <v/>
      </c>
      <c r="F13" s="14">
        <f>IF(SUM(BH13,DI13,FJ13,HK13,JL13,LM13,NN13,PO13,RP13,TQ13,VR13,XS13,ZT13,ABU13)=0, "", SUM(BH13,DI13,FJ13,HK13,JL13,LM13,NN13,PO13,RP13,TQ13,VR13,XS13,ZT13,ABU13))</f>
        <v/>
      </c>
      <c r="G13" s="8">
        <f>IF(SUM(BG13,DH13,FI13,HJ13,JK13,LL13,NM13,PN13,RO13,TP13,VQ13,XR13,ZS13,ABT13)=0, "", SUM(BG13,DH13,FI13,HJ13,JK13,LL13,NM13,PN13,RO13,TP13,VQ13,XR13,ZS13,ABT13))</f>
        <v/>
      </c>
      <c r="H13" s="6" t="n"/>
      <c r="I13" s="79" t="n"/>
      <c r="J13" s="6" t="n"/>
      <c r="K13" s="79" t="n"/>
      <c r="L13" s="6" t="n"/>
      <c r="M13" s="79" t="n"/>
      <c r="N13" s="6" t="n"/>
      <c r="O13" s="79" t="n"/>
      <c r="P13" s="6" t="n"/>
      <c r="Q13" s="79" t="n"/>
      <c r="R13" s="18" t="n"/>
      <c r="S13" s="79" t="n"/>
      <c r="T13" s="79" t="n"/>
      <c r="U13" s="79" t="n"/>
      <c r="V13" s="79" t="n"/>
      <c r="W13" s="79" t="n"/>
      <c r="X13" s="79" t="n"/>
      <c r="Y13" s="79" t="n"/>
      <c r="Z13" s="79" t="n"/>
      <c r="AA13" s="18" t="n"/>
      <c r="AB13" s="14">
        <f>IFERROR(ROUND(AVERAGE(H13,J13,L13,N13,P13,R13,T13,V13,X13,Z13), 2), "")</f>
        <v/>
      </c>
      <c r="AC13" s="6" t="n"/>
      <c r="AD13" s="79" t="n"/>
      <c r="AE13" s="6" t="n"/>
      <c r="AF13" s="79" t="n"/>
      <c r="AG13" s="6" t="n"/>
      <c r="AH13" s="79" t="n"/>
      <c r="AI13" s="6" t="n"/>
      <c r="AJ13" s="79" t="n"/>
      <c r="AK13" s="6" t="n"/>
      <c r="AL13" s="79" t="n"/>
      <c r="AM13" s="18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18" t="n"/>
      <c r="AW13" s="19" t="n"/>
      <c r="AX13" s="6" t="n"/>
      <c r="AY13" s="79" t="n"/>
      <c r="AZ13" s="6" t="n"/>
      <c r="BA13" s="79" t="n"/>
      <c r="BB13" s="6" t="n"/>
      <c r="BC13" s="79" t="n"/>
      <c r="BD13" s="6" t="n"/>
      <c r="BE13" s="79" t="n"/>
      <c r="BF13" s="6" t="n"/>
      <c r="BG13" s="79">
        <f>IF(COUNTA(AC13:BF13)=0, "", SUMPRODUCT(--ISNUMBER(SEARCH("m", AC13:BF13))))</f>
        <v/>
      </c>
      <c r="BH13" s="18">
        <f>IF(COUNTA(AC13:BF13)=0, "", COUNTA(AC13:BF13) - SUMPRODUCT(--ISNUMBER(SEARCH("m", AC13:BF13))))</f>
        <v/>
      </c>
      <c r="BI13" s="79" t="n"/>
      <c r="BJ13" s="79" t="n"/>
      <c r="BK13" s="79" t="n"/>
      <c r="BL13" s="79" t="n"/>
      <c r="BM13" s="79" t="n"/>
      <c r="BN13" s="79" t="n"/>
      <c r="BO13" s="79" t="n"/>
      <c r="BP13" s="79" t="n"/>
      <c r="BQ13" s="18" t="n"/>
      <c r="BR13" s="19" t="n"/>
      <c r="BS13" s="6" t="n"/>
      <c r="BT13" s="79" t="n"/>
      <c r="BU13" s="6" t="n"/>
      <c r="BV13" s="79" t="n"/>
      <c r="BW13" s="6" t="n"/>
      <c r="BX13" s="79" t="n"/>
      <c r="BY13" s="6" t="n"/>
      <c r="BZ13" s="79" t="n"/>
      <c r="CA13" s="6" t="n"/>
      <c r="CB13" s="79" t="n"/>
      <c r="CC13" s="8">
        <f>IFERROR(ROUND(AVERAGE(BI13,BK13,BM13,BO13,BQ13,BS13,BU13,BW13,BY13,CA13), 2), "")</f>
        <v/>
      </c>
      <c r="CD13" s="79" t="n"/>
      <c r="CE13" s="79" t="n"/>
      <c r="CF13" s="79" t="n"/>
      <c r="CG13" s="79" t="n"/>
      <c r="CH13" s="79" t="n"/>
      <c r="CI13" s="79" t="n"/>
      <c r="CJ13" s="79" t="n"/>
      <c r="CK13" s="79" t="n"/>
      <c r="CL13" s="18" t="n"/>
      <c r="CM13" s="19" t="n"/>
      <c r="CN13" s="6" t="n"/>
      <c r="CO13" s="79" t="n"/>
      <c r="CP13" s="6" t="n"/>
      <c r="CQ13" s="79" t="n"/>
      <c r="CR13" s="6" t="n"/>
      <c r="CS13" s="79" t="n"/>
      <c r="CT13" s="6" t="n"/>
      <c r="CU13" s="79" t="n"/>
      <c r="CV13" s="6" t="n"/>
      <c r="CW13" s="79" t="n"/>
      <c r="CX13" s="18" t="n"/>
      <c r="CY13" s="79" t="n"/>
      <c r="CZ13" s="79" t="n"/>
      <c r="DA13" s="79" t="n"/>
      <c r="DB13" s="79" t="n"/>
      <c r="DC13" s="79" t="n"/>
      <c r="DD13" s="79" t="n"/>
      <c r="DE13" s="79" t="n"/>
      <c r="DF13" s="79" t="n"/>
      <c r="DG13" s="18" t="n"/>
      <c r="DH13" s="19">
        <f>IF(COUNTA(CD13:DG13)=0, "", SUMPRODUCT(--ISNUMBER(SEARCH("m", CD13:DG13))))</f>
        <v/>
      </c>
      <c r="DI13" s="6">
        <f>IF(COUNTA(CD13:DG13)=0, "", COUNTA(CD13:DG13) - SUMPRODUCT(--ISNUMBER(SEARCH("m", CD13:DG13))))</f>
        <v/>
      </c>
      <c r="DJ13" s="79" t="n"/>
      <c r="DK13" s="6" t="n"/>
      <c r="DL13" s="79" t="n"/>
      <c r="DM13" s="6" t="n"/>
      <c r="DN13" s="79" t="n"/>
      <c r="DO13" s="6" t="n"/>
      <c r="DP13" s="79" t="n"/>
      <c r="DQ13" s="6" t="n"/>
      <c r="DR13" s="79" t="n"/>
      <c r="DS13" s="18" t="n"/>
      <c r="DT13" s="79" t="n"/>
      <c r="DU13" s="79" t="n"/>
      <c r="DV13" s="79" t="n"/>
      <c r="DW13" s="79" t="n"/>
      <c r="DX13" s="79" t="n"/>
      <c r="DY13" s="79" t="n"/>
      <c r="DZ13" s="79" t="n"/>
      <c r="EA13" s="79" t="n"/>
      <c r="EB13" s="18" t="n"/>
      <c r="EC13" s="19" t="n"/>
      <c r="ED13" s="20">
        <f>IFERROR(ROUND(AVERAGE(DJ13,DL13,DN13,DP13,DR13,DT13,DV13,DX13,DZ13,EB13), 2), "")</f>
        <v/>
      </c>
      <c r="EE13" s="79" t="n"/>
      <c r="EF13" s="6" t="n"/>
      <c r="EG13" s="79" t="n"/>
      <c r="EH13" s="6" t="n"/>
      <c r="EI13" s="79" t="n"/>
      <c r="EJ13" s="6" t="n"/>
      <c r="EK13" s="79" t="n"/>
      <c r="EL13" s="6" t="n"/>
      <c r="EM13" s="79" t="n"/>
      <c r="EN13" s="18" t="n"/>
      <c r="EO13" s="79" t="n"/>
      <c r="EP13" s="79" t="n"/>
      <c r="EQ13" s="79" t="n"/>
      <c r="ER13" s="79" t="n"/>
      <c r="ES13" s="79" t="n"/>
      <c r="ET13" s="79" t="n"/>
      <c r="EU13" s="79" t="n"/>
      <c r="EV13" s="79" t="n"/>
      <c r="EW13" s="18" t="n"/>
      <c r="EX13" s="19" t="n"/>
      <c r="EY13" s="6" t="n"/>
      <c r="EZ13" s="79" t="n"/>
      <c r="FA13" s="6" t="n"/>
      <c r="FB13" s="79" t="n"/>
      <c r="FC13" s="6" t="n"/>
      <c r="FD13" s="79" t="n"/>
      <c r="FE13" s="6" t="n"/>
      <c r="FF13" s="79" t="n"/>
      <c r="FG13" s="6" t="n"/>
      <c r="FH13" s="79" t="n"/>
      <c r="FI13" s="18">
        <f>IF(COUNTA(EE13:FH13)=0, "", SUMPRODUCT(--ISNUMBER(SEARCH("m", EE13:FH13))))</f>
        <v/>
      </c>
      <c r="FJ13" s="79">
        <f>IF(COUNTA(EE13:FH13)=0, "", COUNTA(EE13:FH13) - SUMPRODUCT(--ISNUMBER(SEARCH("m", EE13:FH13))))</f>
        <v/>
      </c>
      <c r="FK13" s="79" t="n"/>
      <c r="FL13" s="79" t="n"/>
      <c r="FM13" s="79" t="n"/>
      <c r="FN13" s="79" t="n"/>
      <c r="FO13" s="79" t="n"/>
      <c r="FP13" s="79" t="n"/>
      <c r="FQ13" s="79" t="n"/>
      <c r="FR13" s="18" t="n"/>
      <c r="FS13" s="19" t="n"/>
      <c r="FT13" s="6" t="n"/>
      <c r="FU13" s="79" t="n"/>
      <c r="FV13" s="6" t="n"/>
      <c r="FW13" s="79" t="n"/>
      <c r="FX13" s="6" t="n"/>
      <c r="FY13" s="79" t="n"/>
      <c r="FZ13" s="6" t="n"/>
      <c r="GA13" s="79" t="n"/>
      <c r="GB13" s="6" t="n"/>
      <c r="GC13" s="79" t="n"/>
      <c r="GD13" s="18" t="n"/>
      <c r="GE13" s="80">
        <f>IFERROR(ROUND(AVERAGE(FK13,FM13,FO13,FQ13,FS13,FU13,FW13,FY13,GA13,GC13), 2), "")</f>
        <v/>
      </c>
      <c r="GF13" s="79" t="n"/>
      <c r="GG13" s="79" t="n"/>
      <c r="GH13" s="79" t="n"/>
      <c r="GI13" s="79" t="n"/>
      <c r="GJ13" s="79" t="n"/>
      <c r="GK13" s="79" t="n"/>
      <c r="GL13" s="79" t="n"/>
      <c r="GM13" s="18" t="n"/>
      <c r="GN13" s="19" t="n"/>
      <c r="GO13" s="6" t="n"/>
      <c r="GP13" s="79" t="n"/>
      <c r="GQ13" s="6" t="n"/>
      <c r="GR13" s="79" t="n"/>
      <c r="GS13" s="6" t="n"/>
      <c r="GT13" s="79" t="n"/>
      <c r="GU13" s="6" t="n"/>
      <c r="GV13" s="79" t="n"/>
      <c r="GW13" s="6" t="n"/>
      <c r="GX13" s="79" t="n"/>
      <c r="GY13" s="18" t="n"/>
      <c r="GZ13" s="79" t="n"/>
      <c r="HA13" s="79" t="n"/>
      <c r="HB13" s="79" t="n"/>
      <c r="HC13" s="79" t="n"/>
      <c r="HD13" s="79" t="n"/>
      <c r="HE13" s="79" t="n"/>
      <c r="HF13" s="79" t="n"/>
      <c r="HG13" s="79" t="n"/>
      <c r="HH13" s="18" t="n"/>
      <c r="HI13" s="19" t="n"/>
      <c r="HJ13" s="6">
        <f>IF(COUNTA(GF13:HI13)=0, "", SUMPRODUCT(--ISNUMBER(SEARCH("m", GF13:HI13))))</f>
        <v/>
      </c>
      <c r="HK13" s="79">
        <f>IF(COUNTA(GF13:HI13)=0, "", COUNTA(GF13:HI13) - SUMPRODUCT(--ISNUMBER(SEARCH("m", GF13:HI13))))</f>
        <v/>
      </c>
      <c r="HL13" s="6" t="n"/>
      <c r="HM13" s="79" t="n"/>
      <c r="HN13" s="6" t="n"/>
      <c r="HO13" s="79" t="n"/>
      <c r="HP13" s="6" t="n"/>
      <c r="HQ13" s="79" t="n"/>
      <c r="HR13" s="6" t="n"/>
      <c r="HS13" s="79" t="n"/>
      <c r="HT13" s="18" t="n"/>
      <c r="HU13" s="79" t="n"/>
      <c r="HV13" s="79" t="n"/>
      <c r="HW13" s="79" t="n"/>
      <c r="HX13" s="79" t="n"/>
      <c r="HY13" s="79" t="n"/>
      <c r="HZ13" s="79" t="n"/>
      <c r="IA13" s="79" t="n"/>
      <c r="IB13" s="79" t="n"/>
      <c r="IC13" s="18" t="n"/>
      <c r="ID13" s="19" t="n"/>
      <c r="IE13" s="6" t="n"/>
      <c r="IF13" s="80">
        <f>IFERROR(ROUND(AVERAGE(HL13,HN13,HP13,HR13,HT13,HV13,HX13,HZ13,IB13,ID13), 2), "")</f>
        <v/>
      </c>
      <c r="IG13" s="6" t="n"/>
      <c r="IH13" s="79" t="n"/>
      <c r="II13" s="6" t="n"/>
      <c r="IJ13" s="79" t="n"/>
      <c r="IK13" s="6" t="n"/>
      <c r="IL13" s="79" t="n"/>
      <c r="IM13" s="6" t="n"/>
      <c r="IN13" s="79" t="n"/>
      <c r="IO13" s="18" t="n"/>
      <c r="IP13" s="79" t="n"/>
      <c r="IQ13" s="79" t="n"/>
      <c r="IR13" s="79" t="n"/>
      <c r="IS13" s="79" t="n"/>
      <c r="IT13" s="79" t="n"/>
      <c r="IU13" s="79" t="n"/>
      <c r="IV13" s="79" t="n"/>
      <c r="IW13" s="79" t="n"/>
      <c r="IX13" s="18" t="n"/>
      <c r="IY13" s="19" t="n"/>
      <c r="IZ13" s="6" t="n"/>
      <c r="JA13" s="79" t="n"/>
      <c r="JB13" s="6" t="n"/>
      <c r="JC13" s="79" t="n"/>
      <c r="JD13" s="6" t="n"/>
      <c r="JE13" s="79" t="n"/>
      <c r="JF13" s="6" t="n"/>
      <c r="JG13" s="79" t="n"/>
      <c r="JH13" s="6" t="n"/>
      <c r="JI13" s="79" t="n"/>
      <c r="JJ13" s="18" t="n"/>
      <c r="JK13" s="79">
        <f>IF(COUNTA(IG13:JJ13)=0, "", SUMPRODUCT(--ISNUMBER(SEARCH("m", IG13:JJ13))))</f>
        <v/>
      </c>
      <c r="JL13" s="79">
        <f>IF(COUNTA(IG13:JJ13)=0, "", COUNTA(IG13:JJ13) - SUMPRODUCT(--ISNUMBER(SEARCH("m", IG13:JJ13))))</f>
        <v/>
      </c>
      <c r="JM13" s="79" t="n"/>
      <c r="JN13" s="79" t="n"/>
      <c r="JO13" s="79" t="n"/>
      <c r="JP13" s="79" t="n"/>
      <c r="JQ13" s="79" t="n"/>
      <c r="JR13" s="79" t="n"/>
      <c r="JS13" s="18" t="n"/>
      <c r="JT13" s="19" t="n"/>
      <c r="JU13" s="6" t="n"/>
      <c r="JV13" s="79" t="n"/>
      <c r="JW13" s="6" t="n"/>
      <c r="JX13" s="79" t="n"/>
      <c r="JY13" s="6" t="n"/>
      <c r="JZ13" s="79" t="n"/>
      <c r="KA13" s="6" t="n"/>
      <c r="KB13" s="79" t="n"/>
      <c r="KC13" s="6" t="n"/>
      <c r="KD13" s="79" t="n"/>
      <c r="KE13" s="18" t="n"/>
      <c r="KF13" s="79" t="n"/>
      <c r="KG13" s="80">
        <f>IFERROR(ROUND(AVERAGE(JM13,JO13,JQ13,JS13,JU13,JW13,JY13,KA13,KC13,KE13), 2), "")</f>
        <v/>
      </c>
      <c r="KH13" s="79" t="n"/>
      <c r="KI13" s="79" t="n"/>
      <c r="KJ13" s="79" t="n"/>
      <c r="KK13" s="79" t="n"/>
      <c r="KL13" s="79" t="n"/>
      <c r="KM13" s="79" t="n"/>
      <c r="KN13" s="18" t="n"/>
      <c r="KO13" s="19" t="n"/>
      <c r="KP13" s="6" t="n"/>
      <c r="KQ13" s="6" t="n"/>
      <c r="KR13" s="6" t="n"/>
      <c r="KS13" s="6" t="n"/>
      <c r="KT13" s="6" t="n"/>
      <c r="KU13" s="6" t="n"/>
      <c r="KV13" s="6" t="n"/>
      <c r="KW13" s="6" t="n"/>
      <c r="KX13" s="6" t="n"/>
      <c r="KY13" s="6" t="n"/>
      <c r="KZ13" s="6" t="n"/>
      <c r="LA13" s="6" t="n"/>
      <c r="LB13" s="6" t="n"/>
      <c r="LC13" s="6" t="n"/>
      <c r="LD13" s="6" t="n"/>
      <c r="LE13" s="6" t="n"/>
      <c r="LF13" s="6" t="n"/>
      <c r="LG13" s="6" t="n"/>
      <c r="LH13" s="6" t="n"/>
      <c r="LI13" s="6" t="n"/>
      <c r="LJ13" s="6" t="n"/>
      <c r="LK13" s="6" t="n"/>
      <c r="LL13" s="6">
        <f>IF(COUNTA(KH13:LK13)=0, "", SUMPRODUCT(--ISNUMBER(SEARCH("m", KH13:LK13))))</f>
        <v/>
      </c>
      <c r="LM13" s="6">
        <f>IF(COUNTA(KH13:LK13)=0, "", COUNTA(KH13:LK13) - SUMPRODUCT(--ISNUMBER(SEARCH("m", KH13:LK13))))</f>
        <v/>
      </c>
      <c r="LN13" s="6" t="n"/>
      <c r="LO13" s="6" t="n"/>
      <c r="LP13" s="6" t="n"/>
      <c r="LQ13" s="6" t="n"/>
      <c r="LR13" s="6" t="n"/>
      <c r="LS13" s="6" t="n"/>
      <c r="LT13" s="6" t="n"/>
      <c r="LU13" s="6" t="n"/>
      <c r="LV13" s="6" t="n"/>
      <c r="LW13" s="6" t="n"/>
      <c r="LX13" s="6" t="n"/>
      <c r="LY13" s="6" t="n"/>
      <c r="LZ13" s="6" t="n"/>
      <c r="MA13" s="6" t="n"/>
      <c r="MB13" s="6" t="n"/>
      <c r="MC13" s="6" t="n"/>
      <c r="MD13" s="6" t="n"/>
      <c r="ME13" s="6" t="n"/>
      <c r="MF13" s="6" t="n"/>
      <c r="MG13" s="6" t="n"/>
      <c r="MH13" s="20">
        <f>IFERROR(ROUND(AVERAGE(LN13,LP13,LR13,LT13,LV13,LX13,LZ13,MB13,MD13,MF13), 2), "")</f>
        <v/>
      </c>
      <c r="MI13" s="6" t="n"/>
      <c r="MJ13" s="6" t="n"/>
      <c r="MK13" s="6" t="n"/>
      <c r="ML13" s="6" t="n"/>
      <c r="MM13" s="6" t="n"/>
      <c r="MN13" s="6" t="n"/>
      <c r="MO13" s="6" t="n"/>
      <c r="MP13" s="6" t="n"/>
      <c r="MQ13" s="6" t="n"/>
      <c r="MR13" s="6" t="n"/>
      <c r="MS13" s="6" t="n"/>
      <c r="MT13" s="6" t="n"/>
      <c r="MU13" s="6" t="n"/>
      <c r="MV13" s="6" t="n"/>
      <c r="MW13" s="6" t="n"/>
      <c r="MX13" s="6" t="n"/>
      <c r="MY13" s="6" t="n"/>
      <c r="MZ13" s="6" t="n"/>
      <c r="NA13" s="6" t="n"/>
      <c r="NB13" s="6" t="n"/>
      <c r="NC13" s="6" t="n"/>
      <c r="ND13" s="6" t="n"/>
      <c r="NE13" s="6" t="n"/>
      <c r="NF13" s="6" t="n"/>
      <c r="NG13" s="6" t="n"/>
      <c r="NH13" s="6" t="n"/>
      <c r="NI13" s="6" t="n"/>
      <c r="NJ13" s="6" t="n"/>
      <c r="NK13" s="6" t="n"/>
      <c r="NL13" s="6" t="n"/>
      <c r="NM13" s="6">
        <f>IF(COUNTA(MI13:NL13)=0, "", SUMPRODUCT(--ISNUMBER(SEARCH("m", MI13:NL13))))</f>
        <v/>
      </c>
      <c r="NN13" s="6">
        <f>IF(COUNTA(MI13:NL13)=0, "", COUNTA(MI13:NL13) - SUMPRODUCT(--ISNUMBER(SEARCH("m", MI13:NL13))))</f>
        <v/>
      </c>
      <c r="NO13" s="6" t="n"/>
      <c r="NP13" s="6" t="n"/>
      <c r="NQ13" s="6" t="n"/>
      <c r="NR13" s="6" t="n"/>
      <c r="NS13" s="6" t="n"/>
      <c r="NT13" s="6" t="n"/>
      <c r="NU13" s="6" t="n"/>
      <c r="NV13" s="6" t="n"/>
      <c r="NW13" s="6" t="n"/>
      <c r="NX13" s="6" t="n"/>
      <c r="NY13" s="6" t="n"/>
      <c r="NZ13" s="6" t="n"/>
      <c r="OA13" s="6" t="n"/>
      <c r="OB13" s="6" t="n"/>
      <c r="OC13" s="6" t="n"/>
      <c r="OD13" s="6" t="n"/>
      <c r="OE13" s="6" t="n"/>
      <c r="OF13" s="6" t="n"/>
      <c r="OG13" s="6" t="n"/>
      <c r="OH13" s="6" t="n"/>
      <c r="OI13" s="20">
        <f>IFERROR(ROUND(AVERAGE(NO13,NQ13,NS13,NU13,NW13,NY13,OA13,OC13,OE13,OG13), 2), "")</f>
        <v/>
      </c>
      <c r="OJ13" s="6" t="n"/>
      <c r="OK13" s="6" t="n"/>
      <c r="OL13" s="6" t="n"/>
      <c r="OM13" s="6" t="n"/>
      <c r="ON13" s="6" t="n"/>
      <c r="OO13" s="6" t="n"/>
      <c r="OP13" s="6" t="n"/>
      <c r="OQ13" s="6" t="n"/>
      <c r="OR13" s="6" t="n"/>
      <c r="OS13" s="6" t="n"/>
      <c r="OT13" s="6" t="n"/>
      <c r="OU13" s="6" t="n"/>
      <c r="OV13" s="6" t="n"/>
      <c r="OW13" s="6" t="n"/>
      <c r="OX13" s="6" t="n"/>
      <c r="OY13" s="6" t="n"/>
      <c r="OZ13" s="6" t="n"/>
      <c r="PA13" s="6" t="n"/>
      <c r="PB13" s="6" t="n"/>
      <c r="PC13" s="6" t="n"/>
      <c r="PD13" s="6" t="n"/>
      <c r="PE13" s="6" t="n"/>
      <c r="PF13" s="6" t="n"/>
      <c r="PG13" s="6" t="n"/>
      <c r="PH13" s="6" t="n"/>
      <c r="PI13" s="6" t="n"/>
      <c r="PJ13" s="6" t="n"/>
      <c r="PK13" s="6" t="n"/>
      <c r="PL13" s="6" t="n"/>
      <c r="PM13" s="6" t="n"/>
      <c r="PN13" s="6">
        <f>IF(COUNTA(OJ13:PM13)=0, "", SUMPRODUCT(--ISNUMBER(SEARCH("m", OJ13:PM13))))</f>
        <v/>
      </c>
      <c r="PO13" s="6">
        <f>IF(COUNTA(OJ13:PM13)=0, "", COUNTA(OJ13:PM13) - SUMPRODUCT(--ISNUMBER(SEARCH("m", OJ13:PM13))))</f>
        <v/>
      </c>
      <c r="PP13" s="6" t="n"/>
      <c r="PQ13" s="6" t="n"/>
      <c r="PR13" s="6" t="n"/>
      <c r="PS13" s="6" t="n"/>
      <c r="PT13" s="6" t="n"/>
      <c r="PU13" s="6" t="n"/>
      <c r="PV13" s="6" t="n"/>
      <c r="PW13" s="6" t="n"/>
      <c r="PX13" s="6" t="n"/>
      <c r="PY13" s="6" t="n"/>
      <c r="PZ13" s="6" t="n"/>
      <c r="QA13" s="6" t="n"/>
      <c r="QB13" s="6" t="n"/>
      <c r="QC13" s="6" t="n"/>
      <c r="QD13" s="6" t="n"/>
      <c r="QE13" s="6" t="n"/>
      <c r="QF13" s="6" t="n"/>
      <c r="QG13" s="6" t="n"/>
      <c r="QH13" s="6" t="n"/>
      <c r="QI13" s="6" t="n"/>
      <c r="QJ13" s="20">
        <f>IFERROR(ROUND(AVERAGE(PP13,PR13,PT13,PV13,PX13,PZ13,QB13,QD13,QF13,QH13), 2), "")</f>
        <v/>
      </c>
      <c r="QK13" s="6" t="n"/>
      <c r="QL13" s="6" t="n"/>
      <c r="QM13" s="6" t="n"/>
      <c r="QN13" s="6" t="n"/>
      <c r="QO13" s="6" t="n"/>
      <c r="QP13" s="6" t="n"/>
      <c r="QQ13" s="6" t="n"/>
      <c r="QR13" s="6" t="n"/>
      <c r="QS13" s="6" t="n"/>
      <c r="QT13" s="6" t="n"/>
      <c r="QU13" s="6" t="n"/>
      <c r="QV13" s="6" t="n"/>
      <c r="QW13" s="6" t="n"/>
      <c r="QX13" s="6" t="n"/>
      <c r="QY13" s="6" t="n"/>
      <c r="QZ13" s="6" t="n"/>
      <c r="RA13" s="6" t="n"/>
      <c r="RB13" s="6" t="n"/>
      <c r="RC13" s="6" t="n"/>
      <c r="RD13" s="6" t="n"/>
      <c r="RE13" s="6" t="n"/>
      <c r="RF13" s="6" t="n"/>
      <c r="RG13" s="6" t="n"/>
      <c r="RH13" s="6" t="n"/>
      <c r="RI13" s="6" t="n"/>
      <c r="RJ13" s="6" t="n"/>
      <c r="RK13" s="6" t="n"/>
      <c r="RL13" s="6" t="n"/>
      <c r="RM13" s="6" t="n"/>
      <c r="RN13" s="6" t="n"/>
      <c r="RO13" s="6">
        <f>IF(COUNTA(QK13:RN13)=0, "", SUMPRODUCT(--ISNUMBER(SEARCH("m", QK13:RN13))))</f>
        <v/>
      </c>
      <c r="RP13" s="6">
        <f>IF(COUNTA(QK13:RN13)=0, "", COUNTA(QK13:RN13) - SUMPRODUCT(--ISNUMBER(SEARCH("m", QK13:RN13))))</f>
        <v/>
      </c>
      <c r="RQ13" s="6" t="n"/>
      <c r="RR13" s="6" t="n"/>
      <c r="RS13" s="6" t="n"/>
      <c r="RT13" s="6" t="n"/>
      <c r="RU13" s="6" t="n"/>
      <c r="RV13" s="6" t="n"/>
      <c r="RW13" s="6" t="n"/>
      <c r="RX13" s="6" t="n"/>
      <c r="RY13" s="6" t="n"/>
      <c r="RZ13" s="6" t="n"/>
      <c r="SA13" s="6" t="n"/>
      <c r="SB13" s="6" t="n"/>
      <c r="SC13" s="6" t="n"/>
      <c r="SD13" s="6" t="n"/>
      <c r="SE13" s="6" t="n"/>
      <c r="SF13" s="6" t="n"/>
      <c r="SG13" s="6" t="n"/>
      <c r="SH13" s="6" t="n"/>
      <c r="SI13" s="6" t="n"/>
      <c r="SJ13" s="6" t="n"/>
      <c r="SK13" s="20">
        <f>IFERROR(ROUND(AVERAGE(RQ13,RS13,RU13,RW13,RY13,SA13,SC13,SE13,SG13,SI13), 2), "")</f>
        <v/>
      </c>
      <c r="SL13" s="6" t="n"/>
      <c r="SM13" s="6" t="n"/>
      <c r="SN13" s="6" t="n"/>
      <c r="SO13" s="6" t="n"/>
      <c r="SP13" s="6" t="n"/>
      <c r="SQ13" s="6" t="n"/>
      <c r="SR13" s="6" t="n"/>
      <c r="SS13" s="6" t="n"/>
      <c r="ST13" s="6" t="n"/>
      <c r="SU13" s="6" t="n"/>
      <c r="SV13" s="6" t="n"/>
      <c r="SW13" s="6" t="n"/>
      <c r="SX13" s="6" t="n"/>
      <c r="SY13" s="6" t="n"/>
      <c r="SZ13" s="6" t="n"/>
      <c r="TA13" s="6" t="n"/>
      <c r="TB13" s="6" t="n"/>
      <c r="TC13" s="6" t="n"/>
      <c r="TD13" s="6" t="n"/>
      <c r="TE13" s="6" t="n"/>
      <c r="TF13" s="6" t="n"/>
      <c r="TG13" s="6" t="n"/>
      <c r="TH13" s="6" t="n"/>
      <c r="TI13" s="6" t="n"/>
      <c r="TJ13" s="6" t="n"/>
      <c r="TK13" s="6" t="n"/>
      <c r="TL13" s="6" t="n"/>
      <c r="TM13" s="6" t="n"/>
      <c r="TN13" s="6" t="n"/>
      <c r="TO13" s="6" t="n"/>
      <c r="TP13" s="6">
        <f>IF(COUNTA(SL13:TO13)=0, "", SUMPRODUCT(--ISNUMBER(SEARCH("m", SL13:TO13))))</f>
        <v/>
      </c>
      <c r="TQ13" s="6">
        <f>IF(COUNTA(SL13:TO13)=0, "", COUNTA(SL13:TO13) - SUMPRODUCT(--ISNUMBER(SEARCH("m", SL13:TO13))))</f>
        <v/>
      </c>
      <c r="TR13" s="6" t="n"/>
      <c r="TS13" s="6" t="n"/>
      <c r="TT13" s="6" t="n"/>
      <c r="TU13" s="6" t="n"/>
      <c r="TV13" s="6" t="n"/>
      <c r="TW13" s="6" t="n"/>
      <c r="TX13" s="6" t="n"/>
      <c r="TY13" s="6" t="n"/>
      <c r="TZ13" s="6" t="n"/>
      <c r="UA13" s="6" t="n"/>
      <c r="UB13" s="6" t="n"/>
      <c r="UC13" s="6" t="n"/>
      <c r="UD13" s="6" t="n"/>
      <c r="UE13" s="6" t="n"/>
      <c r="UF13" s="6" t="n"/>
      <c r="UG13" s="6" t="n"/>
      <c r="UH13" s="6" t="n"/>
      <c r="UI13" s="6" t="n"/>
      <c r="UJ13" s="6" t="n"/>
      <c r="UK13" s="6" t="n"/>
      <c r="UL13" s="20">
        <f>IFERROR(ROUND(AVERAGE(TR13,TT13,TV13,TX13,TZ13,UB13,UD13,UF13,UH13,UJ13), 2), "")</f>
        <v/>
      </c>
      <c r="UM13" s="6" t="n"/>
      <c r="UN13" s="6" t="n"/>
      <c r="UO13" s="6" t="n"/>
      <c r="UP13" s="6" t="n"/>
      <c r="UQ13" s="6" t="n"/>
      <c r="UR13" s="6" t="n"/>
      <c r="US13" s="6" t="n"/>
      <c r="UT13" s="6" t="n"/>
      <c r="UU13" s="6" t="n"/>
      <c r="UV13" s="6" t="n"/>
      <c r="UW13" s="6" t="n"/>
      <c r="UX13" s="6" t="n"/>
      <c r="UY13" s="6" t="n"/>
      <c r="UZ13" s="6" t="n"/>
      <c r="VA13" s="6" t="n"/>
      <c r="VB13" s="6" t="n"/>
      <c r="VC13" s="6" t="n"/>
      <c r="VD13" s="6" t="n"/>
      <c r="VE13" s="6" t="n"/>
      <c r="VF13" s="6" t="n"/>
      <c r="VG13" s="6" t="n"/>
      <c r="VH13" s="6" t="n"/>
      <c r="VI13" s="6" t="n"/>
      <c r="VJ13" s="6" t="n"/>
      <c r="VK13" s="6" t="n"/>
      <c r="VL13" s="6" t="n"/>
      <c r="VM13" s="6" t="n"/>
      <c r="VN13" s="6" t="n"/>
      <c r="VO13" s="6" t="n"/>
      <c r="VP13" s="6" t="n"/>
      <c r="VQ13" s="6">
        <f>IF(COUNTA(UM13:VP13)=0, "", SUMPRODUCT(--ISNUMBER(SEARCH("m", UM13:VP13))))</f>
        <v/>
      </c>
      <c r="VR13" s="6">
        <f>IF(COUNTA(UM13:VP13)=0, "", COUNTA(UM13:VP13) - SUMPRODUCT(--ISNUMBER(SEARCH("m", UM13:VP13))))</f>
        <v/>
      </c>
      <c r="VS13" s="6" t="n"/>
      <c r="VT13" s="6" t="n"/>
      <c r="VU13" s="6" t="n"/>
      <c r="VV13" s="6" t="n"/>
      <c r="VW13" s="6" t="n"/>
      <c r="VX13" s="6" t="n"/>
      <c r="VY13" s="6" t="n"/>
      <c r="VZ13" s="6" t="n"/>
      <c r="WA13" s="6" t="n"/>
      <c r="WB13" s="6" t="n"/>
      <c r="WC13" s="6" t="n"/>
      <c r="WD13" s="6" t="n"/>
      <c r="WE13" s="6" t="n"/>
      <c r="WF13" s="6" t="n"/>
      <c r="WG13" s="6" t="n"/>
      <c r="WH13" s="6" t="n"/>
      <c r="WI13" s="6" t="n"/>
      <c r="WJ13" s="6" t="n"/>
      <c r="WK13" s="6" t="n"/>
      <c r="WL13" s="6" t="n"/>
      <c r="WM13" s="20">
        <f>IFERROR(ROUND(AVERAGE(VS13,VU13,VW13,VY13,WA13,WC13,WE13,WG13,WI13,WK13), 2), "")</f>
        <v/>
      </c>
      <c r="WN13" s="6" t="n"/>
      <c r="WO13" s="6" t="n"/>
      <c r="WP13" s="6" t="n"/>
      <c r="WQ13" s="6" t="n"/>
      <c r="WR13" s="6" t="n"/>
      <c r="WS13" s="6" t="n"/>
      <c r="WT13" s="6" t="n"/>
      <c r="WU13" s="6" t="n"/>
      <c r="WV13" s="6" t="n"/>
      <c r="WW13" s="6" t="n"/>
      <c r="WX13" s="6" t="n"/>
      <c r="WY13" s="6" t="n"/>
      <c r="WZ13" s="6" t="n"/>
      <c r="XA13" s="6" t="n"/>
      <c r="XB13" s="6" t="n"/>
      <c r="XC13" s="6" t="n"/>
      <c r="XD13" s="6" t="n"/>
      <c r="XE13" s="6" t="n"/>
      <c r="XF13" s="6" t="n"/>
      <c r="XG13" s="6" t="n"/>
      <c r="XH13" s="6" t="n"/>
      <c r="XI13" s="6" t="n"/>
      <c r="XJ13" s="6" t="n"/>
      <c r="XK13" s="6" t="n"/>
      <c r="XL13" s="6" t="n"/>
      <c r="XM13" s="6" t="n"/>
      <c r="XN13" s="6" t="n"/>
      <c r="XO13" s="6" t="n"/>
      <c r="XP13" s="6" t="n"/>
      <c r="XQ13" s="6" t="n"/>
      <c r="XR13" s="6">
        <f>IF(COUNTA(WN13:XQ13)=0, "", SUMPRODUCT(--ISNUMBER(SEARCH("m", WN13:XQ13))))</f>
        <v/>
      </c>
      <c r="XS13" s="6">
        <f>IF(COUNTA(WN13:XQ13)=0, "", COUNTA(WN13:XQ13) - SUMPRODUCT(--ISNUMBER(SEARCH("m", WN13:XQ13))))</f>
        <v/>
      </c>
      <c r="XT13" s="6" t="n"/>
      <c r="XU13" s="6" t="n"/>
      <c r="XV13" s="6" t="n"/>
      <c r="XW13" s="6" t="n"/>
      <c r="XX13" s="6" t="n"/>
      <c r="XY13" s="6" t="n"/>
      <c r="XZ13" s="6" t="n"/>
      <c r="YA13" s="6" t="n"/>
      <c r="YB13" s="6" t="n"/>
      <c r="YC13" s="6" t="n"/>
      <c r="YD13" s="6" t="n"/>
      <c r="YE13" s="6" t="n"/>
      <c r="YF13" s="6" t="n"/>
      <c r="YG13" s="6" t="n"/>
      <c r="YH13" s="6" t="n"/>
      <c r="YI13" s="6" t="n"/>
      <c r="YJ13" s="6" t="n"/>
      <c r="YK13" s="6" t="n"/>
      <c r="YL13" s="6" t="n"/>
      <c r="YM13" s="6" t="n"/>
      <c r="YN13" s="20">
        <f>IFERROR(ROUND(AVERAGE(XT13,XV13,XX13,XZ13,YB13,YD13,YF13,YH13,YJ13,YL13), 2), "")</f>
        <v/>
      </c>
      <c r="YO13" s="6" t="n"/>
      <c r="YP13" s="6" t="n"/>
      <c r="YQ13" s="6" t="n"/>
      <c r="YR13" s="6" t="n"/>
      <c r="YS13" s="6" t="n"/>
      <c r="YT13" s="6" t="n"/>
      <c r="YU13" s="6" t="n"/>
      <c r="YV13" s="6" t="n"/>
      <c r="YW13" s="6" t="n"/>
      <c r="YX13" s="6" t="n"/>
      <c r="YY13" s="6" t="n"/>
      <c r="YZ13" s="6" t="n"/>
      <c r="ZA13" s="6" t="n"/>
      <c r="ZB13" s="6" t="n"/>
      <c r="ZC13" s="6" t="n"/>
      <c r="ZD13" s="6" t="n"/>
      <c r="ZE13" s="6" t="n"/>
      <c r="ZF13" s="6" t="n"/>
      <c r="ZG13" s="6" t="n"/>
      <c r="ZH13" s="6" t="n"/>
      <c r="ZI13" s="6" t="n"/>
      <c r="ZJ13" s="6" t="n"/>
      <c r="ZK13" s="6" t="n"/>
      <c r="ZL13" s="6" t="n"/>
      <c r="ZM13" s="6" t="n"/>
      <c r="ZN13" s="6" t="n"/>
      <c r="ZO13" s="6" t="n"/>
      <c r="ZP13" s="6" t="n"/>
      <c r="ZQ13" s="6" t="n"/>
      <c r="ZR13" s="6" t="n"/>
      <c r="ZS13" s="6">
        <f>IF(COUNTA(YO13:ZR13)=0, "", SUMPRODUCT(--ISNUMBER(SEARCH("m", YO13:ZR13))))</f>
        <v/>
      </c>
      <c r="ZT13" s="6">
        <f>IF(COUNTA(YO13:ZR13)=0, "", COUNTA(YO13:ZR13) - SUMPRODUCT(--ISNUMBER(SEARCH("m", YO13:ZR13))))</f>
        <v/>
      </c>
      <c r="ZU13" s="6" t="n"/>
      <c r="ZV13" s="6" t="n"/>
      <c r="ZW13" s="6" t="n"/>
      <c r="ZX13" s="6" t="n"/>
      <c r="ZY13" s="6" t="n"/>
      <c r="ZZ13" s="6" t="n"/>
      <c r="AAA13" s="6" t="n"/>
      <c r="AAB13" s="6" t="n"/>
      <c r="AAC13" s="6" t="n"/>
      <c r="AAD13" s="6" t="n"/>
      <c r="AAE13" s="6" t="n"/>
      <c r="AAF13" s="6" t="n"/>
      <c r="AAG13" s="6" t="n"/>
      <c r="AAH13" s="6" t="n"/>
      <c r="AAI13" s="6" t="n"/>
      <c r="AAJ13" s="6" t="n"/>
      <c r="AAK13" s="6" t="n"/>
      <c r="AAL13" s="6" t="n"/>
      <c r="AAM13" s="6" t="n"/>
      <c r="AAN13" s="6" t="n"/>
      <c r="AAO13" s="20">
        <f>IFERROR(ROUND(AVERAGE(ZU13,ZW13,ZY13,AAA13,AAC13,AAE13,AAG13,AAI13,AAK13,AAM13), 2), "")</f>
        <v/>
      </c>
      <c r="AAP13" s="6" t="n"/>
      <c r="AAQ13" s="6" t="n"/>
      <c r="AAR13" s="6" t="n"/>
      <c r="AAS13" s="6" t="n"/>
      <c r="AAT13" s="6" t="n"/>
      <c r="AAU13" s="6" t="n"/>
      <c r="AAV13" s="6" t="n"/>
      <c r="AAW13" s="6" t="n"/>
      <c r="AAX13" s="6" t="n"/>
      <c r="AAY13" s="6" t="n"/>
      <c r="AAZ13" s="6" t="n"/>
      <c r="ABA13" s="6" t="n"/>
      <c r="ABB13" s="6" t="n"/>
      <c r="ABC13" s="6" t="n"/>
      <c r="ABD13" s="6" t="n"/>
      <c r="ABE13" s="6" t="n"/>
      <c r="ABF13" s="6" t="n"/>
      <c r="ABG13" s="6" t="n"/>
      <c r="ABH13" s="6" t="n"/>
      <c r="ABI13" s="6" t="n"/>
      <c r="ABJ13" s="6" t="n"/>
      <c r="ABK13" s="6" t="n"/>
      <c r="ABL13" s="6" t="n"/>
      <c r="ABM13" s="6" t="n"/>
      <c r="ABN13" s="6" t="n"/>
      <c r="ABO13" s="6" t="n"/>
      <c r="ABP13" s="6" t="n"/>
      <c r="ABQ13" s="6" t="n"/>
      <c r="ABR13" s="6" t="n"/>
      <c r="ABS13" s="6" t="n"/>
      <c r="ABT13" s="6">
        <f>IF(COUNTA(AAP13:ABS13)=0, "", SUMPRODUCT(--ISNUMBER(SEARCH("m", AAP13:ABS13))))</f>
        <v/>
      </c>
      <c r="ABU13" s="6">
        <f>IF(COUNTA(AAP13:ABS13)=0, "", COUNTA(AAP13:ABS13) - SUMPRODUCT(--ISNUMBER(SEARCH("m", AAP13:ABS13))))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8">
        <f>IFERROR(ROUND(AVERAGE(AB14,CC14,ED14,GE14,IF14,KG14,MH14,OI14,QJ14,SK14,UL14,WM14,YN14,AAO14), 2), "")</f>
        <v/>
      </c>
      <c r="F14" s="14">
        <f>IF(SUM(BH14,DI14,FJ14,HK14,JL14,LM14,NN14,PO14,RP14,TQ14,VR14,XS14,ZT14,ABU14)=0, "", SUM(BH14,DI14,FJ14,HK14,JL14,LM14,NN14,PO14,RP14,TQ14,VR14,XS14,ZT14,ABU14))</f>
        <v/>
      </c>
      <c r="G14" s="8">
        <f>IF(SUM(BG14,DH14,FI14,HJ14,JK14,LL14,NM14,PN14,RO14,TP14,VQ14,XR14,ZS14,ABT14)=0, "", SUM(BG14,DH14,FI14,HJ14,JK14,LL14,NM14,PN14,RO14,TP14,VQ14,XR14,ZS14,ABT14))</f>
        <v/>
      </c>
      <c r="H14" s="6" t="n"/>
      <c r="I14" s="79" t="n"/>
      <c r="J14" s="6" t="n"/>
      <c r="K14" s="79" t="n"/>
      <c r="L14" s="6" t="n"/>
      <c r="M14" s="79" t="n"/>
      <c r="N14" s="6" t="n"/>
      <c r="O14" s="79" t="n"/>
      <c r="P14" s="6" t="n"/>
      <c r="Q14" s="79" t="n"/>
      <c r="R14" s="18" t="n"/>
      <c r="S14" s="79" t="n"/>
      <c r="T14" s="79" t="n"/>
      <c r="U14" s="79" t="n"/>
      <c r="V14" s="79" t="n"/>
      <c r="W14" s="79" t="n"/>
      <c r="X14" s="79" t="n"/>
      <c r="Y14" s="79" t="n"/>
      <c r="Z14" s="79" t="n"/>
      <c r="AA14" s="18" t="n"/>
      <c r="AB14" s="14">
        <f>IFERROR(ROUND(AVERAGE(H14,J14,L14,N14,P14,R14,T14,V14,X14,Z14), 2), "")</f>
        <v/>
      </c>
      <c r="AC14" s="6" t="n"/>
      <c r="AD14" s="79" t="n"/>
      <c r="AE14" s="6" t="n"/>
      <c r="AF14" s="79" t="n"/>
      <c r="AG14" s="6" t="n"/>
      <c r="AH14" s="79" t="n"/>
      <c r="AI14" s="6" t="n"/>
      <c r="AJ14" s="79" t="n"/>
      <c r="AK14" s="6" t="n"/>
      <c r="AL14" s="79" t="n"/>
      <c r="AM14" s="18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18" t="n"/>
      <c r="AW14" s="19" t="n"/>
      <c r="AX14" s="6" t="n"/>
      <c r="AY14" s="79" t="n"/>
      <c r="AZ14" s="6" t="n"/>
      <c r="BA14" s="79" t="n"/>
      <c r="BB14" s="6" t="n"/>
      <c r="BC14" s="79" t="n"/>
      <c r="BD14" s="6" t="n"/>
      <c r="BE14" s="79" t="n"/>
      <c r="BF14" s="6" t="n"/>
      <c r="BG14" s="79">
        <f>IF(COUNTA(AC14:BF14)=0, "", SUMPRODUCT(--ISNUMBER(SEARCH("m", AC14:BF14))))</f>
        <v/>
      </c>
      <c r="BH14" s="18">
        <f>IF(COUNTA(AC14:BF14)=0, "", COUNTA(AC14:BF14) - SUMPRODUCT(--ISNUMBER(SEARCH("m", AC14:BF14))))</f>
        <v/>
      </c>
      <c r="BI14" s="79" t="n"/>
      <c r="BJ14" s="79" t="n"/>
      <c r="BK14" s="79" t="n"/>
      <c r="BL14" s="79" t="n"/>
      <c r="BM14" s="79" t="n"/>
      <c r="BN14" s="79" t="n"/>
      <c r="BO14" s="79" t="n"/>
      <c r="BP14" s="79" t="n"/>
      <c r="BQ14" s="18" t="n"/>
      <c r="BR14" s="19" t="n"/>
      <c r="BS14" s="6" t="n"/>
      <c r="BT14" s="79" t="n"/>
      <c r="BU14" s="6" t="n"/>
      <c r="BV14" s="79" t="n"/>
      <c r="BW14" s="6" t="n"/>
      <c r="BX14" s="79" t="n"/>
      <c r="BY14" s="6" t="n"/>
      <c r="BZ14" s="79" t="n"/>
      <c r="CA14" s="6" t="n"/>
      <c r="CB14" s="79" t="n"/>
      <c r="CC14" s="8">
        <f>IFERROR(ROUND(AVERAGE(BI14,BK14,BM14,BO14,BQ14,BS14,BU14,BW14,BY14,CA14), 2), "")</f>
        <v/>
      </c>
      <c r="CD14" s="79" t="n"/>
      <c r="CE14" s="79" t="n"/>
      <c r="CF14" s="79" t="n"/>
      <c r="CG14" s="79" t="n"/>
      <c r="CH14" s="79" t="n"/>
      <c r="CI14" s="79" t="n"/>
      <c r="CJ14" s="79" t="n"/>
      <c r="CK14" s="79" t="n"/>
      <c r="CL14" s="18" t="n"/>
      <c r="CM14" s="19" t="n"/>
      <c r="CN14" s="6" t="n"/>
      <c r="CO14" s="79" t="n"/>
      <c r="CP14" s="6" t="n"/>
      <c r="CQ14" s="79" t="n"/>
      <c r="CR14" s="6" t="n"/>
      <c r="CS14" s="79" t="n"/>
      <c r="CT14" s="6" t="n"/>
      <c r="CU14" s="79" t="n"/>
      <c r="CV14" s="6" t="n"/>
      <c r="CW14" s="79" t="n"/>
      <c r="CX14" s="18" t="n"/>
      <c r="CY14" s="79" t="n"/>
      <c r="CZ14" s="79" t="n"/>
      <c r="DA14" s="79" t="n"/>
      <c r="DB14" s="79" t="n"/>
      <c r="DC14" s="79" t="n"/>
      <c r="DD14" s="79" t="n"/>
      <c r="DE14" s="79" t="n"/>
      <c r="DF14" s="79" t="n"/>
      <c r="DG14" s="18" t="n"/>
      <c r="DH14" s="19">
        <f>IF(COUNTA(CD14:DG14)=0, "", SUMPRODUCT(--ISNUMBER(SEARCH("m", CD14:DG14))))</f>
        <v/>
      </c>
      <c r="DI14" s="6">
        <f>IF(COUNTA(CD14:DG14)=0, "", COUNTA(CD14:DG14) - SUMPRODUCT(--ISNUMBER(SEARCH("m", CD14:DG14))))</f>
        <v/>
      </c>
      <c r="DJ14" s="79" t="n"/>
      <c r="DK14" s="6" t="n"/>
      <c r="DL14" s="79" t="n"/>
      <c r="DM14" s="6" t="n"/>
      <c r="DN14" s="79" t="n"/>
      <c r="DO14" s="6" t="n"/>
      <c r="DP14" s="79" t="n"/>
      <c r="DQ14" s="6" t="n"/>
      <c r="DR14" s="79" t="n"/>
      <c r="DS14" s="18" t="n"/>
      <c r="DT14" s="79" t="n"/>
      <c r="DU14" s="79" t="n"/>
      <c r="DV14" s="79" t="n"/>
      <c r="DW14" s="79" t="n"/>
      <c r="DX14" s="79" t="n"/>
      <c r="DY14" s="79" t="n"/>
      <c r="DZ14" s="79" t="n"/>
      <c r="EA14" s="79" t="n"/>
      <c r="EB14" s="18" t="n"/>
      <c r="EC14" s="19" t="n"/>
      <c r="ED14" s="20">
        <f>IFERROR(ROUND(AVERAGE(DJ14,DL14,DN14,DP14,DR14,DT14,DV14,DX14,DZ14,EB14), 2), "")</f>
        <v/>
      </c>
      <c r="EE14" s="79" t="n"/>
      <c r="EF14" s="6" t="n"/>
      <c r="EG14" s="79" t="n"/>
      <c r="EH14" s="6" t="n"/>
      <c r="EI14" s="79" t="n"/>
      <c r="EJ14" s="6" t="n"/>
      <c r="EK14" s="79" t="n"/>
      <c r="EL14" s="6" t="n"/>
      <c r="EM14" s="79" t="n"/>
      <c r="EN14" s="18" t="n"/>
      <c r="EO14" s="79" t="n"/>
      <c r="EP14" s="79" t="n"/>
      <c r="EQ14" s="79" t="n"/>
      <c r="ER14" s="79" t="n"/>
      <c r="ES14" s="79" t="n"/>
      <c r="ET14" s="79" t="n"/>
      <c r="EU14" s="79" t="n"/>
      <c r="EV14" s="79" t="n"/>
      <c r="EW14" s="18" t="n"/>
      <c r="EX14" s="19" t="n"/>
      <c r="EY14" s="6" t="n"/>
      <c r="EZ14" s="79" t="n"/>
      <c r="FA14" s="6" t="n"/>
      <c r="FB14" s="79" t="n"/>
      <c r="FC14" s="6" t="n"/>
      <c r="FD14" s="79" t="n"/>
      <c r="FE14" s="6" t="n"/>
      <c r="FF14" s="79" t="n"/>
      <c r="FG14" s="6" t="n"/>
      <c r="FH14" s="79" t="n"/>
      <c r="FI14" s="18">
        <f>IF(COUNTA(EE14:FH14)=0, "", SUMPRODUCT(--ISNUMBER(SEARCH("m", EE14:FH14))))</f>
        <v/>
      </c>
      <c r="FJ14" s="79">
        <f>IF(COUNTA(EE14:FH14)=0, "", COUNTA(EE14:FH14) - SUMPRODUCT(--ISNUMBER(SEARCH("m", EE14:FH14))))</f>
        <v/>
      </c>
      <c r="FK14" s="79" t="n"/>
      <c r="FL14" s="79" t="n"/>
      <c r="FM14" s="79" t="n"/>
      <c r="FN14" s="79" t="n"/>
      <c r="FO14" s="79" t="n"/>
      <c r="FP14" s="79" t="n"/>
      <c r="FQ14" s="79" t="n"/>
      <c r="FR14" s="18" t="n"/>
      <c r="FS14" s="19" t="n"/>
      <c r="FT14" s="6" t="n"/>
      <c r="FU14" s="79" t="n"/>
      <c r="FV14" s="6" t="n"/>
      <c r="FW14" s="79" t="n"/>
      <c r="FX14" s="6" t="n"/>
      <c r="FY14" s="79" t="n"/>
      <c r="FZ14" s="6" t="n"/>
      <c r="GA14" s="79" t="n"/>
      <c r="GB14" s="6" t="n"/>
      <c r="GC14" s="79" t="n"/>
      <c r="GD14" s="18" t="n"/>
      <c r="GE14" s="80">
        <f>IFERROR(ROUND(AVERAGE(FK14,FM14,FO14,FQ14,FS14,FU14,FW14,FY14,GA14,GC14), 2), "")</f>
        <v/>
      </c>
      <c r="GF14" s="79" t="n"/>
      <c r="GG14" s="79" t="n"/>
      <c r="GH14" s="79" t="n"/>
      <c r="GI14" s="79" t="n"/>
      <c r="GJ14" s="79" t="n"/>
      <c r="GK14" s="79" t="n"/>
      <c r="GL14" s="79" t="n"/>
      <c r="GM14" s="18" t="n"/>
      <c r="GN14" s="19" t="n"/>
      <c r="GO14" s="6" t="n"/>
      <c r="GP14" s="79" t="n"/>
      <c r="GQ14" s="6" t="n"/>
      <c r="GR14" s="79" t="n"/>
      <c r="GS14" s="6" t="n"/>
      <c r="GT14" s="79" t="n"/>
      <c r="GU14" s="6" t="n"/>
      <c r="GV14" s="79" t="n"/>
      <c r="GW14" s="6" t="n"/>
      <c r="GX14" s="79" t="n"/>
      <c r="GY14" s="18" t="n"/>
      <c r="GZ14" s="79" t="n"/>
      <c r="HA14" s="79" t="n"/>
      <c r="HB14" s="79" t="n"/>
      <c r="HC14" s="79" t="n"/>
      <c r="HD14" s="79" t="n"/>
      <c r="HE14" s="79" t="n"/>
      <c r="HF14" s="79" t="n"/>
      <c r="HG14" s="79" t="n"/>
      <c r="HH14" s="18" t="n"/>
      <c r="HI14" s="19" t="n"/>
      <c r="HJ14" s="6">
        <f>IF(COUNTA(GF14:HI14)=0, "", SUMPRODUCT(--ISNUMBER(SEARCH("m", GF14:HI14))))</f>
        <v/>
      </c>
      <c r="HK14" s="79">
        <f>IF(COUNTA(GF14:HI14)=0, "", COUNTA(GF14:HI14) - SUMPRODUCT(--ISNUMBER(SEARCH("m", GF14:HI14))))</f>
        <v/>
      </c>
      <c r="HL14" s="6" t="n"/>
      <c r="HM14" s="79" t="n"/>
      <c r="HN14" s="6" t="n"/>
      <c r="HO14" s="79" t="n"/>
      <c r="HP14" s="6" t="n"/>
      <c r="HQ14" s="79" t="n"/>
      <c r="HR14" s="6" t="n"/>
      <c r="HS14" s="79" t="n"/>
      <c r="HT14" s="18" t="n"/>
      <c r="HU14" s="79" t="n"/>
      <c r="HV14" s="79" t="n"/>
      <c r="HW14" s="79" t="n"/>
      <c r="HX14" s="79" t="n"/>
      <c r="HY14" s="79" t="n"/>
      <c r="HZ14" s="79" t="n"/>
      <c r="IA14" s="79" t="n"/>
      <c r="IB14" s="79" t="n"/>
      <c r="IC14" s="18" t="n"/>
      <c r="ID14" s="19" t="n"/>
      <c r="IE14" s="6" t="n"/>
      <c r="IF14" s="80">
        <f>IFERROR(ROUND(AVERAGE(HL14,HN14,HP14,HR14,HT14,HV14,HX14,HZ14,IB14,ID14), 2), "")</f>
        <v/>
      </c>
      <c r="IG14" s="6" t="n"/>
      <c r="IH14" s="79" t="n"/>
      <c r="II14" s="6" t="n"/>
      <c r="IJ14" s="79" t="n"/>
      <c r="IK14" s="6" t="n"/>
      <c r="IL14" s="79" t="n"/>
      <c r="IM14" s="6" t="n"/>
      <c r="IN14" s="79" t="n"/>
      <c r="IO14" s="18" t="n"/>
      <c r="IP14" s="79" t="n"/>
      <c r="IQ14" s="79" t="n"/>
      <c r="IR14" s="79" t="n"/>
      <c r="IS14" s="79" t="n"/>
      <c r="IT14" s="79" t="n"/>
      <c r="IU14" s="79" t="n"/>
      <c r="IV14" s="79" t="n"/>
      <c r="IW14" s="79" t="n"/>
      <c r="IX14" s="18" t="n"/>
      <c r="IY14" s="19" t="n"/>
      <c r="IZ14" s="6" t="n"/>
      <c r="JA14" s="79" t="n"/>
      <c r="JB14" s="6" t="n"/>
      <c r="JC14" s="79" t="n"/>
      <c r="JD14" s="6" t="n"/>
      <c r="JE14" s="79" t="n"/>
      <c r="JF14" s="6" t="n"/>
      <c r="JG14" s="79" t="n"/>
      <c r="JH14" s="6" t="n"/>
      <c r="JI14" s="79" t="n"/>
      <c r="JJ14" s="18" t="n"/>
      <c r="JK14" s="79">
        <f>IF(COUNTA(IG14:JJ14)=0, "", SUMPRODUCT(--ISNUMBER(SEARCH("m", IG14:JJ14))))</f>
        <v/>
      </c>
      <c r="JL14" s="79">
        <f>IF(COUNTA(IG14:JJ14)=0, "", COUNTA(IG14:JJ14) - SUMPRODUCT(--ISNUMBER(SEARCH("m", IG14:JJ14))))</f>
        <v/>
      </c>
      <c r="JM14" s="79" t="n"/>
      <c r="JN14" s="79" t="n"/>
      <c r="JO14" s="79" t="n"/>
      <c r="JP14" s="79" t="n"/>
      <c r="JQ14" s="79" t="n"/>
      <c r="JR14" s="79" t="n"/>
      <c r="JS14" s="18" t="n"/>
      <c r="JT14" s="19" t="n"/>
      <c r="JU14" s="6" t="n"/>
      <c r="JV14" s="79" t="n"/>
      <c r="JW14" s="6" t="n"/>
      <c r="JX14" s="79" t="n"/>
      <c r="JY14" s="6" t="n"/>
      <c r="JZ14" s="79" t="n"/>
      <c r="KA14" s="6" t="n"/>
      <c r="KB14" s="79" t="n"/>
      <c r="KC14" s="6" t="n"/>
      <c r="KD14" s="79" t="n"/>
      <c r="KE14" s="18" t="n"/>
      <c r="KF14" s="79" t="n"/>
      <c r="KG14" s="80">
        <f>IFERROR(ROUND(AVERAGE(JM14,JO14,JQ14,JS14,JU14,JW14,JY14,KA14,KC14,KE14), 2), "")</f>
        <v/>
      </c>
      <c r="KH14" s="79" t="n"/>
      <c r="KI14" s="79" t="n"/>
      <c r="KJ14" s="79" t="n"/>
      <c r="KK14" s="79" t="n"/>
      <c r="KL14" s="79" t="n"/>
      <c r="KM14" s="79" t="n"/>
      <c r="KN14" s="18" t="n"/>
      <c r="KO14" s="19" t="n"/>
      <c r="KP14" s="6" t="n"/>
      <c r="KQ14" s="6" t="n"/>
      <c r="KR14" s="6" t="n"/>
      <c r="KS14" s="6" t="n"/>
      <c r="KT14" s="6" t="n"/>
      <c r="KU14" s="6" t="n"/>
      <c r="KV14" s="6" t="n"/>
      <c r="KW14" s="6" t="n"/>
      <c r="KX14" s="6" t="n"/>
      <c r="KY14" s="6" t="n"/>
      <c r="KZ14" s="6" t="n"/>
      <c r="LA14" s="6" t="n"/>
      <c r="LB14" s="6" t="n"/>
      <c r="LC14" s="6" t="n"/>
      <c r="LD14" s="6" t="n"/>
      <c r="LE14" s="6" t="n"/>
      <c r="LF14" s="6" t="n"/>
      <c r="LG14" s="6" t="n"/>
      <c r="LH14" s="6" t="n"/>
      <c r="LI14" s="6" t="n"/>
      <c r="LJ14" s="6" t="n"/>
      <c r="LK14" s="6" t="n"/>
      <c r="LL14" s="6">
        <f>IF(COUNTA(KH14:LK14)=0, "", SUMPRODUCT(--ISNUMBER(SEARCH("m", KH14:LK14))))</f>
        <v/>
      </c>
      <c r="LM14" s="6">
        <f>IF(COUNTA(KH14:LK14)=0, "", COUNTA(KH14:LK14) - SUMPRODUCT(--ISNUMBER(SEARCH("m", KH14:LK14))))</f>
        <v/>
      </c>
      <c r="LN14" s="6" t="n"/>
      <c r="LO14" s="6" t="n"/>
      <c r="LP14" s="6" t="n"/>
      <c r="LQ14" s="6" t="n"/>
      <c r="LR14" s="6" t="n"/>
      <c r="LS14" s="6" t="n"/>
      <c r="LT14" s="6" t="n"/>
      <c r="LU14" s="6" t="n"/>
      <c r="LV14" s="6" t="n"/>
      <c r="LW14" s="6" t="n"/>
      <c r="LX14" s="6" t="n"/>
      <c r="LY14" s="6" t="n"/>
      <c r="LZ14" s="6" t="n"/>
      <c r="MA14" s="6" t="n"/>
      <c r="MB14" s="6" t="n"/>
      <c r="MC14" s="6" t="n"/>
      <c r="MD14" s="6" t="n"/>
      <c r="ME14" s="6" t="n"/>
      <c r="MF14" s="6" t="n"/>
      <c r="MG14" s="6" t="n"/>
      <c r="MH14" s="20">
        <f>IFERROR(ROUND(AVERAGE(LN14,LP14,LR14,LT14,LV14,LX14,LZ14,MB14,MD14,MF14), 2), "")</f>
        <v/>
      </c>
      <c r="MI14" s="6" t="n"/>
      <c r="MJ14" s="6" t="n"/>
      <c r="MK14" s="6" t="n"/>
      <c r="ML14" s="6" t="n"/>
      <c r="MM14" s="6" t="n"/>
      <c r="MN14" s="6" t="n"/>
      <c r="MO14" s="6" t="n"/>
      <c r="MP14" s="6" t="n"/>
      <c r="MQ14" s="6" t="n"/>
      <c r="MR14" s="6" t="n"/>
      <c r="MS14" s="6" t="n"/>
      <c r="MT14" s="6" t="n"/>
      <c r="MU14" s="6" t="n"/>
      <c r="MV14" s="6" t="n"/>
      <c r="MW14" s="6" t="n"/>
      <c r="MX14" s="6" t="n"/>
      <c r="MY14" s="6" t="n"/>
      <c r="MZ14" s="6" t="n"/>
      <c r="NA14" s="6" t="n"/>
      <c r="NB14" s="6" t="n"/>
      <c r="NC14" s="6" t="n"/>
      <c r="ND14" s="6" t="n"/>
      <c r="NE14" s="6" t="n"/>
      <c r="NF14" s="6" t="n"/>
      <c r="NG14" s="6" t="n"/>
      <c r="NH14" s="6" t="n"/>
      <c r="NI14" s="6" t="n"/>
      <c r="NJ14" s="6" t="n"/>
      <c r="NK14" s="6" t="n"/>
      <c r="NL14" s="6" t="n"/>
      <c r="NM14" s="6">
        <f>IF(COUNTA(MI14:NL14)=0, "", SUMPRODUCT(--ISNUMBER(SEARCH("m", MI14:NL14))))</f>
        <v/>
      </c>
      <c r="NN14" s="6">
        <f>IF(COUNTA(MI14:NL14)=0, "", COUNTA(MI14:NL14) - SUMPRODUCT(--ISNUMBER(SEARCH("m", MI14:NL14))))</f>
        <v/>
      </c>
      <c r="NO14" s="6" t="n"/>
      <c r="NP14" s="6" t="n"/>
      <c r="NQ14" s="6" t="n"/>
      <c r="NR14" s="6" t="n"/>
      <c r="NS14" s="6" t="n"/>
      <c r="NT14" s="6" t="n"/>
      <c r="NU14" s="6" t="n"/>
      <c r="NV14" s="6" t="n"/>
      <c r="NW14" s="6" t="n"/>
      <c r="NX14" s="6" t="n"/>
      <c r="NY14" s="6" t="n"/>
      <c r="NZ14" s="6" t="n"/>
      <c r="OA14" s="6" t="n"/>
      <c r="OB14" s="6" t="n"/>
      <c r="OC14" s="6" t="n"/>
      <c r="OD14" s="6" t="n"/>
      <c r="OE14" s="6" t="n"/>
      <c r="OF14" s="6" t="n"/>
      <c r="OG14" s="6" t="n"/>
      <c r="OH14" s="6" t="n"/>
      <c r="OI14" s="20">
        <f>IFERROR(ROUND(AVERAGE(NO14,NQ14,NS14,NU14,NW14,NY14,OA14,OC14,OE14,OG14), 2), "")</f>
        <v/>
      </c>
      <c r="OJ14" s="6" t="n"/>
      <c r="OK14" s="6" t="n"/>
      <c r="OL14" s="6" t="n"/>
      <c r="OM14" s="6" t="n"/>
      <c r="ON14" s="6" t="n"/>
      <c r="OO14" s="6" t="n"/>
      <c r="OP14" s="6" t="n"/>
      <c r="OQ14" s="6" t="n"/>
      <c r="OR14" s="6" t="n"/>
      <c r="OS14" s="6" t="n"/>
      <c r="OT14" s="6" t="n"/>
      <c r="OU14" s="6" t="n"/>
      <c r="OV14" s="6" t="n"/>
      <c r="OW14" s="6" t="n"/>
      <c r="OX14" s="6" t="n"/>
      <c r="OY14" s="6" t="n"/>
      <c r="OZ14" s="6" t="n"/>
      <c r="PA14" s="6" t="n"/>
      <c r="PB14" s="6" t="n"/>
      <c r="PC14" s="6" t="n"/>
      <c r="PD14" s="6" t="n"/>
      <c r="PE14" s="6" t="n"/>
      <c r="PF14" s="6" t="n"/>
      <c r="PG14" s="6" t="n"/>
      <c r="PH14" s="6" t="n"/>
      <c r="PI14" s="6" t="n"/>
      <c r="PJ14" s="6" t="n"/>
      <c r="PK14" s="6" t="n"/>
      <c r="PL14" s="6" t="n"/>
      <c r="PM14" s="6" t="n"/>
      <c r="PN14" s="6">
        <f>IF(COUNTA(OJ14:PM14)=0, "", SUMPRODUCT(--ISNUMBER(SEARCH("m", OJ14:PM14))))</f>
        <v/>
      </c>
      <c r="PO14" s="6">
        <f>IF(COUNTA(OJ14:PM14)=0, "", COUNTA(OJ14:PM14) - SUMPRODUCT(--ISNUMBER(SEARCH("m", OJ14:PM14))))</f>
        <v/>
      </c>
      <c r="PP14" s="6" t="n"/>
      <c r="PQ14" s="6" t="n"/>
      <c r="PR14" s="6" t="n"/>
      <c r="PS14" s="6" t="n"/>
      <c r="PT14" s="6" t="n"/>
      <c r="PU14" s="6" t="n"/>
      <c r="PV14" s="6" t="n"/>
      <c r="PW14" s="6" t="n"/>
      <c r="PX14" s="6" t="n"/>
      <c r="PY14" s="6" t="n"/>
      <c r="PZ14" s="6" t="n"/>
      <c r="QA14" s="6" t="n"/>
      <c r="QB14" s="6" t="n"/>
      <c r="QC14" s="6" t="n"/>
      <c r="QD14" s="6" t="n"/>
      <c r="QE14" s="6" t="n"/>
      <c r="QF14" s="6" t="n"/>
      <c r="QG14" s="6" t="n"/>
      <c r="QH14" s="6" t="n"/>
      <c r="QI14" s="6" t="n"/>
      <c r="QJ14" s="20">
        <f>IFERROR(ROUND(AVERAGE(PP14,PR14,PT14,PV14,PX14,PZ14,QB14,QD14,QF14,QH14), 2), "")</f>
        <v/>
      </c>
      <c r="QK14" s="6" t="n"/>
      <c r="QL14" s="6" t="n"/>
      <c r="QM14" s="6" t="n"/>
      <c r="QN14" s="6" t="n"/>
      <c r="QO14" s="6" t="n"/>
      <c r="QP14" s="6" t="n"/>
      <c r="QQ14" s="6" t="n"/>
      <c r="QR14" s="6" t="n"/>
      <c r="QS14" s="6" t="n"/>
      <c r="QT14" s="6" t="n"/>
      <c r="QU14" s="6" t="n"/>
      <c r="QV14" s="6" t="n"/>
      <c r="QW14" s="6" t="n"/>
      <c r="QX14" s="6" t="n"/>
      <c r="QY14" s="6" t="n"/>
      <c r="QZ14" s="6" t="n"/>
      <c r="RA14" s="6" t="n"/>
      <c r="RB14" s="6" t="n"/>
      <c r="RC14" s="6" t="n"/>
      <c r="RD14" s="6" t="n"/>
      <c r="RE14" s="6" t="n"/>
      <c r="RF14" s="6" t="n"/>
      <c r="RG14" s="6" t="n"/>
      <c r="RH14" s="6" t="n"/>
      <c r="RI14" s="6" t="n"/>
      <c r="RJ14" s="6" t="n"/>
      <c r="RK14" s="6" t="n"/>
      <c r="RL14" s="6" t="n"/>
      <c r="RM14" s="6" t="n"/>
      <c r="RN14" s="6" t="n"/>
      <c r="RO14" s="6">
        <f>IF(COUNTA(QK14:RN14)=0, "", SUMPRODUCT(--ISNUMBER(SEARCH("m", QK14:RN14))))</f>
        <v/>
      </c>
      <c r="RP14" s="6">
        <f>IF(COUNTA(QK14:RN14)=0, "", COUNTA(QK14:RN14) - SUMPRODUCT(--ISNUMBER(SEARCH("m", QK14:RN14))))</f>
        <v/>
      </c>
      <c r="RQ14" s="6" t="n"/>
      <c r="RR14" s="6" t="n"/>
      <c r="RS14" s="6" t="n"/>
      <c r="RT14" s="6" t="n"/>
      <c r="RU14" s="6" t="n"/>
      <c r="RV14" s="6" t="n"/>
      <c r="RW14" s="6" t="n"/>
      <c r="RX14" s="6" t="n"/>
      <c r="RY14" s="6" t="n"/>
      <c r="RZ14" s="6" t="n"/>
      <c r="SA14" s="6" t="n"/>
      <c r="SB14" s="6" t="n"/>
      <c r="SC14" s="6" t="n"/>
      <c r="SD14" s="6" t="n"/>
      <c r="SE14" s="6" t="n"/>
      <c r="SF14" s="6" t="n"/>
      <c r="SG14" s="6" t="n"/>
      <c r="SH14" s="6" t="n"/>
      <c r="SI14" s="6" t="n"/>
      <c r="SJ14" s="6" t="n"/>
      <c r="SK14" s="20">
        <f>IFERROR(ROUND(AVERAGE(RQ14,RS14,RU14,RW14,RY14,SA14,SC14,SE14,SG14,SI14), 2), "")</f>
        <v/>
      </c>
      <c r="SL14" s="6" t="n"/>
      <c r="SM14" s="6" t="n"/>
      <c r="SN14" s="6" t="n"/>
      <c r="SO14" s="6" t="n"/>
      <c r="SP14" s="6" t="n"/>
      <c r="SQ14" s="6" t="n"/>
      <c r="SR14" s="6" t="n"/>
      <c r="SS14" s="6" t="n"/>
      <c r="ST14" s="6" t="n"/>
      <c r="SU14" s="6" t="n"/>
      <c r="SV14" s="6" t="n"/>
      <c r="SW14" s="6" t="n"/>
      <c r="SX14" s="6" t="n"/>
      <c r="SY14" s="6" t="n"/>
      <c r="SZ14" s="6" t="n"/>
      <c r="TA14" s="6" t="n"/>
      <c r="TB14" s="6" t="n"/>
      <c r="TC14" s="6" t="n"/>
      <c r="TD14" s="6" t="n"/>
      <c r="TE14" s="6" t="n"/>
      <c r="TF14" s="6" t="n"/>
      <c r="TG14" s="6" t="n"/>
      <c r="TH14" s="6" t="n"/>
      <c r="TI14" s="6" t="n"/>
      <c r="TJ14" s="6" t="n"/>
      <c r="TK14" s="6" t="n"/>
      <c r="TL14" s="6" t="n"/>
      <c r="TM14" s="6" t="n"/>
      <c r="TN14" s="6" t="n"/>
      <c r="TO14" s="6" t="n"/>
      <c r="TP14" s="6">
        <f>IF(COUNTA(SL14:TO14)=0, "", SUMPRODUCT(--ISNUMBER(SEARCH("m", SL14:TO14))))</f>
        <v/>
      </c>
      <c r="TQ14" s="6">
        <f>IF(COUNTA(SL14:TO14)=0, "", COUNTA(SL14:TO14) - SUMPRODUCT(--ISNUMBER(SEARCH("m", SL14:TO14))))</f>
        <v/>
      </c>
      <c r="TR14" s="6" t="n"/>
      <c r="TS14" s="6" t="n"/>
      <c r="TT14" s="6" t="n"/>
      <c r="TU14" s="6" t="n"/>
      <c r="TV14" s="6" t="n"/>
      <c r="TW14" s="6" t="n"/>
      <c r="TX14" s="6" t="n"/>
      <c r="TY14" s="6" t="n"/>
      <c r="TZ14" s="6" t="n"/>
      <c r="UA14" s="6" t="n"/>
      <c r="UB14" s="6" t="n"/>
      <c r="UC14" s="6" t="n"/>
      <c r="UD14" s="6" t="n"/>
      <c r="UE14" s="6" t="n"/>
      <c r="UF14" s="6" t="n"/>
      <c r="UG14" s="6" t="n"/>
      <c r="UH14" s="6" t="n"/>
      <c r="UI14" s="6" t="n"/>
      <c r="UJ14" s="6" t="n"/>
      <c r="UK14" s="6" t="n"/>
      <c r="UL14" s="20">
        <f>IFERROR(ROUND(AVERAGE(TR14,TT14,TV14,TX14,TZ14,UB14,UD14,UF14,UH14,UJ14), 2), "")</f>
        <v/>
      </c>
      <c r="UM14" s="6" t="n"/>
      <c r="UN14" s="6" t="n"/>
      <c r="UO14" s="6" t="n"/>
      <c r="UP14" s="6" t="n"/>
      <c r="UQ14" s="6" t="n"/>
      <c r="UR14" s="6" t="n"/>
      <c r="US14" s="6" t="n"/>
      <c r="UT14" s="6" t="n"/>
      <c r="UU14" s="6" t="n"/>
      <c r="UV14" s="6" t="n"/>
      <c r="UW14" s="6" t="n"/>
      <c r="UX14" s="6" t="n"/>
      <c r="UY14" s="6" t="n"/>
      <c r="UZ14" s="6" t="n"/>
      <c r="VA14" s="6" t="n"/>
      <c r="VB14" s="6" t="n"/>
      <c r="VC14" s="6" t="n"/>
      <c r="VD14" s="6" t="n"/>
      <c r="VE14" s="6" t="n"/>
      <c r="VF14" s="6" t="n"/>
      <c r="VG14" s="6" t="n"/>
      <c r="VH14" s="6" t="n"/>
      <c r="VI14" s="6" t="n"/>
      <c r="VJ14" s="6" t="n"/>
      <c r="VK14" s="6" t="n"/>
      <c r="VL14" s="6" t="n"/>
      <c r="VM14" s="6" t="n"/>
      <c r="VN14" s="6" t="n"/>
      <c r="VO14" s="6" t="n"/>
      <c r="VP14" s="6" t="n"/>
      <c r="VQ14" s="6">
        <f>IF(COUNTA(UM14:VP14)=0, "", SUMPRODUCT(--ISNUMBER(SEARCH("m", UM14:VP14))))</f>
        <v/>
      </c>
      <c r="VR14" s="6">
        <f>IF(COUNTA(UM14:VP14)=0, "", COUNTA(UM14:VP14) - SUMPRODUCT(--ISNUMBER(SEARCH("m", UM14:VP14))))</f>
        <v/>
      </c>
      <c r="VS14" s="6" t="n"/>
      <c r="VT14" s="6" t="n"/>
      <c r="VU14" s="6" t="n"/>
      <c r="VV14" s="6" t="n"/>
      <c r="VW14" s="6" t="n"/>
      <c r="VX14" s="6" t="n"/>
      <c r="VY14" s="6" t="n"/>
      <c r="VZ14" s="6" t="n"/>
      <c r="WA14" s="6" t="n"/>
      <c r="WB14" s="6" t="n"/>
      <c r="WC14" s="6" t="n"/>
      <c r="WD14" s="6" t="n"/>
      <c r="WE14" s="6" t="n"/>
      <c r="WF14" s="6" t="n"/>
      <c r="WG14" s="6" t="n"/>
      <c r="WH14" s="6" t="n"/>
      <c r="WI14" s="6" t="n"/>
      <c r="WJ14" s="6" t="n"/>
      <c r="WK14" s="6" t="n"/>
      <c r="WL14" s="6" t="n"/>
      <c r="WM14" s="20">
        <f>IFERROR(ROUND(AVERAGE(VS14,VU14,VW14,VY14,WA14,WC14,WE14,WG14,WI14,WK14), 2), "")</f>
        <v/>
      </c>
      <c r="WN14" s="6" t="n"/>
      <c r="WO14" s="6" t="n"/>
      <c r="WP14" s="6" t="n"/>
      <c r="WQ14" s="6" t="n"/>
      <c r="WR14" s="6" t="n"/>
      <c r="WS14" s="6" t="n"/>
      <c r="WT14" s="6" t="n"/>
      <c r="WU14" s="6" t="n"/>
      <c r="WV14" s="6" t="n"/>
      <c r="WW14" s="6" t="n"/>
      <c r="WX14" s="6" t="n"/>
      <c r="WY14" s="6" t="n"/>
      <c r="WZ14" s="6" t="n"/>
      <c r="XA14" s="6" t="n"/>
      <c r="XB14" s="6" t="n"/>
      <c r="XC14" s="6" t="n"/>
      <c r="XD14" s="6" t="n"/>
      <c r="XE14" s="6" t="n"/>
      <c r="XF14" s="6" t="n"/>
      <c r="XG14" s="6" t="n"/>
      <c r="XH14" s="6" t="n"/>
      <c r="XI14" s="6" t="n"/>
      <c r="XJ14" s="6" t="n"/>
      <c r="XK14" s="6" t="n"/>
      <c r="XL14" s="6" t="n"/>
      <c r="XM14" s="6" t="n"/>
      <c r="XN14" s="6" t="n"/>
      <c r="XO14" s="6" t="n"/>
      <c r="XP14" s="6" t="n"/>
      <c r="XQ14" s="6" t="n"/>
      <c r="XR14" s="6">
        <f>IF(COUNTA(WN14:XQ14)=0, "", SUMPRODUCT(--ISNUMBER(SEARCH("m", WN14:XQ14))))</f>
        <v/>
      </c>
      <c r="XS14" s="6">
        <f>IF(COUNTA(WN14:XQ14)=0, "", COUNTA(WN14:XQ14) - SUMPRODUCT(--ISNUMBER(SEARCH("m", WN14:XQ14))))</f>
        <v/>
      </c>
      <c r="XT14" s="6" t="n"/>
      <c r="XU14" s="6" t="n"/>
      <c r="XV14" s="6" t="n"/>
      <c r="XW14" s="6" t="n"/>
      <c r="XX14" s="6" t="n"/>
      <c r="XY14" s="6" t="n"/>
      <c r="XZ14" s="6" t="n"/>
      <c r="YA14" s="6" t="n"/>
      <c r="YB14" s="6" t="n"/>
      <c r="YC14" s="6" t="n"/>
      <c r="YD14" s="6" t="n"/>
      <c r="YE14" s="6" t="n"/>
      <c r="YF14" s="6" t="n"/>
      <c r="YG14" s="6" t="n"/>
      <c r="YH14" s="6" t="n"/>
      <c r="YI14" s="6" t="n"/>
      <c r="YJ14" s="6" t="n"/>
      <c r="YK14" s="6" t="n"/>
      <c r="YL14" s="6" t="n"/>
      <c r="YM14" s="6" t="n"/>
      <c r="YN14" s="20">
        <f>IFERROR(ROUND(AVERAGE(XT14,XV14,XX14,XZ14,YB14,YD14,YF14,YH14,YJ14,YL14), 2), "")</f>
        <v/>
      </c>
      <c r="YO14" s="6" t="n"/>
      <c r="YP14" s="6" t="n"/>
      <c r="YQ14" s="6" t="n"/>
      <c r="YR14" s="6" t="n"/>
      <c r="YS14" s="6" t="n"/>
      <c r="YT14" s="6" t="n"/>
      <c r="YU14" s="6" t="n"/>
      <c r="YV14" s="6" t="n"/>
      <c r="YW14" s="6" t="n"/>
      <c r="YX14" s="6" t="n"/>
      <c r="YY14" s="6" t="n"/>
      <c r="YZ14" s="6" t="n"/>
      <c r="ZA14" s="6" t="n"/>
      <c r="ZB14" s="6" t="n"/>
      <c r="ZC14" s="6" t="n"/>
      <c r="ZD14" s="6" t="n"/>
      <c r="ZE14" s="6" t="n"/>
      <c r="ZF14" s="6" t="n"/>
      <c r="ZG14" s="6" t="n"/>
      <c r="ZH14" s="6" t="n"/>
      <c r="ZI14" s="6" t="n"/>
      <c r="ZJ14" s="6" t="n"/>
      <c r="ZK14" s="6" t="n"/>
      <c r="ZL14" s="6" t="n"/>
      <c r="ZM14" s="6" t="n"/>
      <c r="ZN14" s="6" t="n"/>
      <c r="ZO14" s="6" t="n"/>
      <c r="ZP14" s="6" t="n"/>
      <c r="ZQ14" s="6" t="n"/>
      <c r="ZR14" s="6" t="n"/>
      <c r="ZS14" s="6">
        <f>IF(COUNTA(YO14:ZR14)=0, "", SUMPRODUCT(--ISNUMBER(SEARCH("m", YO14:ZR14))))</f>
        <v/>
      </c>
      <c r="ZT14" s="6">
        <f>IF(COUNTA(YO14:ZR14)=0, "", COUNTA(YO14:ZR14) - SUMPRODUCT(--ISNUMBER(SEARCH("m", YO14:ZR14))))</f>
        <v/>
      </c>
      <c r="ZU14" s="6" t="n"/>
      <c r="ZV14" s="6" t="n"/>
      <c r="ZW14" s="6" t="n"/>
      <c r="ZX14" s="6" t="n"/>
      <c r="ZY14" s="6" t="n"/>
      <c r="ZZ14" s="6" t="n"/>
      <c r="AAA14" s="6" t="n"/>
      <c r="AAB14" s="6" t="n"/>
      <c r="AAC14" s="6" t="n"/>
      <c r="AAD14" s="6" t="n"/>
      <c r="AAE14" s="6" t="n"/>
      <c r="AAF14" s="6" t="n"/>
      <c r="AAG14" s="6" t="n"/>
      <c r="AAH14" s="6" t="n"/>
      <c r="AAI14" s="6" t="n"/>
      <c r="AAJ14" s="6" t="n"/>
      <c r="AAK14" s="6" t="n"/>
      <c r="AAL14" s="6" t="n"/>
      <c r="AAM14" s="6" t="n"/>
      <c r="AAN14" s="6" t="n"/>
      <c r="AAO14" s="20">
        <f>IFERROR(ROUND(AVERAGE(ZU14,ZW14,ZY14,AAA14,AAC14,AAE14,AAG14,AAI14,AAK14,AAM14), 2), "")</f>
        <v/>
      </c>
      <c r="AAP14" s="6" t="n"/>
      <c r="AAQ14" s="6" t="n"/>
      <c r="AAR14" s="6" t="n"/>
      <c r="AAS14" s="6" t="n"/>
      <c r="AAT14" s="6" t="n"/>
      <c r="AAU14" s="6" t="n"/>
      <c r="AAV14" s="6" t="n"/>
      <c r="AAW14" s="6" t="n"/>
      <c r="AAX14" s="6" t="n"/>
      <c r="AAY14" s="6" t="n"/>
      <c r="AAZ14" s="6" t="n"/>
      <c r="ABA14" s="6" t="n"/>
      <c r="ABB14" s="6" t="n"/>
      <c r="ABC14" s="6" t="n"/>
      <c r="ABD14" s="6" t="n"/>
      <c r="ABE14" s="6" t="n"/>
      <c r="ABF14" s="6" t="n"/>
      <c r="ABG14" s="6" t="n"/>
      <c r="ABH14" s="6" t="n"/>
      <c r="ABI14" s="6" t="n"/>
      <c r="ABJ14" s="6" t="n"/>
      <c r="ABK14" s="6" t="n"/>
      <c r="ABL14" s="6" t="n"/>
      <c r="ABM14" s="6" t="n"/>
      <c r="ABN14" s="6" t="n"/>
      <c r="ABO14" s="6" t="n"/>
      <c r="ABP14" s="6" t="n"/>
      <c r="ABQ14" s="6" t="n"/>
      <c r="ABR14" s="6" t="n"/>
      <c r="ABS14" s="6" t="n"/>
      <c r="ABT14" s="6">
        <f>IF(COUNTA(AAP14:ABS14)=0, "", SUMPRODUCT(--ISNUMBER(SEARCH("m", AAP14:ABS14))))</f>
        <v/>
      </c>
      <c r="ABU14" s="6">
        <f>IF(COUNTA(AAP14:ABS14)=0, "", COUNTA(AAP14:ABS14) - SUMPRODUCT(--ISNUMBER(SEARCH("m", AAP14:ABS14))))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8">
        <f>IFERROR(ROUND(AVERAGE(AB15,CC15,ED15,GE15,IF15,KG15,MH15,OI15,QJ15,SK15,UL15,WM15,YN15,AAO15), 2), "")</f>
        <v/>
      </c>
      <c r="F15" s="14">
        <f>IF(SUM(BH15,DI15,FJ15,HK15,JL15,LM15,NN15,PO15,RP15,TQ15,VR15,XS15,ZT15,ABU15)=0, "", SUM(BH15,DI15,FJ15,HK15,JL15,LM15,NN15,PO15,RP15,TQ15,VR15,XS15,ZT15,ABU15))</f>
        <v/>
      </c>
      <c r="G15" s="8">
        <f>IF(SUM(BG15,DH15,FI15,HJ15,JK15,LL15,NM15,PN15,RO15,TP15,VQ15,XR15,ZS15,ABT15)=0, "", SUM(BG15,DH15,FI15,HJ15,JK15,LL15,NM15,PN15,RO15,TP15,VQ15,XR15,ZS15,ABT15))</f>
        <v/>
      </c>
      <c r="H15" s="6" t="n"/>
      <c r="I15" s="79" t="n"/>
      <c r="J15" s="6" t="n"/>
      <c r="K15" s="79" t="n"/>
      <c r="L15" s="6" t="n"/>
      <c r="M15" s="79" t="n"/>
      <c r="N15" s="6" t="n"/>
      <c r="O15" s="79" t="n"/>
      <c r="P15" s="6" t="n"/>
      <c r="Q15" s="79" t="n"/>
      <c r="R15" s="18" t="n"/>
      <c r="S15" s="79" t="n"/>
      <c r="T15" s="79" t="n"/>
      <c r="U15" s="79" t="n"/>
      <c r="V15" s="79" t="n"/>
      <c r="W15" s="79" t="n"/>
      <c r="X15" s="79" t="n"/>
      <c r="Y15" s="79" t="n"/>
      <c r="Z15" s="79" t="n"/>
      <c r="AA15" s="18" t="n"/>
      <c r="AB15" s="14">
        <f>IFERROR(ROUND(AVERAGE(H15,J15,L15,N15,P15,R15,T15,V15,X15,Z15), 2), "")</f>
        <v/>
      </c>
      <c r="AC15" s="6" t="n"/>
      <c r="AD15" s="79" t="n"/>
      <c r="AE15" s="6" t="n"/>
      <c r="AF15" s="79" t="n"/>
      <c r="AG15" s="6" t="n"/>
      <c r="AH15" s="79" t="n"/>
      <c r="AI15" s="6" t="n"/>
      <c r="AJ15" s="79" t="n"/>
      <c r="AK15" s="6" t="n"/>
      <c r="AL15" s="79" t="n"/>
      <c r="AM15" s="18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18" t="n"/>
      <c r="AW15" s="19" t="n"/>
      <c r="AX15" s="6" t="n"/>
      <c r="AY15" s="79" t="n"/>
      <c r="AZ15" s="6" t="n"/>
      <c r="BA15" s="79" t="n"/>
      <c r="BB15" s="6" t="n"/>
      <c r="BC15" s="79" t="n"/>
      <c r="BD15" s="6" t="n"/>
      <c r="BE15" s="79" t="n"/>
      <c r="BF15" s="6" t="n"/>
      <c r="BG15" s="79">
        <f>IF(COUNTA(AC15:BF15)=0, "", SUMPRODUCT(--ISNUMBER(SEARCH("m", AC15:BF15))))</f>
        <v/>
      </c>
      <c r="BH15" s="18">
        <f>IF(COUNTA(AC15:BF15)=0, "", COUNTA(AC15:BF15) - SUMPRODUCT(--ISNUMBER(SEARCH("m", AC15:BF15))))</f>
        <v/>
      </c>
      <c r="BI15" s="79" t="n"/>
      <c r="BJ15" s="79" t="n"/>
      <c r="BK15" s="79" t="n"/>
      <c r="BL15" s="79" t="n"/>
      <c r="BM15" s="79" t="n"/>
      <c r="BN15" s="79" t="n"/>
      <c r="BO15" s="79" t="n"/>
      <c r="BP15" s="79" t="n"/>
      <c r="BQ15" s="18" t="n"/>
      <c r="BR15" s="19" t="n"/>
      <c r="BS15" s="6" t="n"/>
      <c r="BT15" s="79" t="n"/>
      <c r="BU15" s="6" t="n"/>
      <c r="BV15" s="79" t="n"/>
      <c r="BW15" s="6" t="n"/>
      <c r="BX15" s="79" t="n"/>
      <c r="BY15" s="6" t="n"/>
      <c r="BZ15" s="79" t="n"/>
      <c r="CA15" s="6" t="n"/>
      <c r="CB15" s="79" t="n"/>
      <c r="CC15" s="8">
        <f>IFERROR(ROUND(AVERAGE(BI15,BK15,BM15,BO15,BQ15,BS15,BU15,BW15,BY15,CA15), 2), "")</f>
        <v/>
      </c>
      <c r="CD15" s="79" t="n"/>
      <c r="CE15" s="79" t="n"/>
      <c r="CF15" s="79" t="n"/>
      <c r="CG15" s="79" t="n"/>
      <c r="CH15" s="79" t="n"/>
      <c r="CI15" s="79" t="n"/>
      <c r="CJ15" s="79" t="n"/>
      <c r="CK15" s="79" t="n"/>
      <c r="CL15" s="18" t="n"/>
      <c r="CM15" s="19" t="n"/>
      <c r="CN15" s="6" t="n"/>
      <c r="CO15" s="79" t="n"/>
      <c r="CP15" s="6" t="n"/>
      <c r="CQ15" s="79" t="n"/>
      <c r="CR15" s="6" t="n"/>
      <c r="CS15" s="79" t="n"/>
      <c r="CT15" s="6" t="n"/>
      <c r="CU15" s="79" t="n"/>
      <c r="CV15" s="6" t="n"/>
      <c r="CW15" s="79" t="n"/>
      <c r="CX15" s="18" t="n"/>
      <c r="CY15" s="79" t="n"/>
      <c r="CZ15" s="79" t="n"/>
      <c r="DA15" s="79" t="n"/>
      <c r="DB15" s="79" t="n"/>
      <c r="DC15" s="79" t="n"/>
      <c r="DD15" s="79" t="n"/>
      <c r="DE15" s="79" t="n"/>
      <c r="DF15" s="79" t="n"/>
      <c r="DG15" s="18" t="n"/>
      <c r="DH15" s="19">
        <f>IF(COUNTA(CD15:DG15)=0, "", SUMPRODUCT(--ISNUMBER(SEARCH("m", CD15:DG15))))</f>
        <v/>
      </c>
      <c r="DI15" s="6">
        <f>IF(COUNTA(CD15:DG15)=0, "", COUNTA(CD15:DG15) - SUMPRODUCT(--ISNUMBER(SEARCH("m", CD15:DG15))))</f>
        <v/>
      </c>
      <c r="DJ15" s="79" t="n"/>
      <c r="DK15" s="6" t="n"/>
      <c r="DL15" s="79" t="n"/>
      <c r="DM15" s="6" t="n"/>
      <c r="DN15" s="79" t="n"/>
      <c r="DO15" s="6" t="n"/>
      <c r="DP15" s="79" t="n"/>
      <c r="DQ15" s="6" t="n"/>
      <c r="DR15" s="79" t="n"/>
      <c r="DS15" s="18" t="n"/>
      <c r="DT15" s="79" t="n"/>
      <c r="DU15" s="79" t="n"/>
      <c r="DV15" s="79" t="n"/>
      <c r="DW15" s="79" t="n"/>
      <c r="DX15" s="79" t="n"/>
      <c r="DY15" s="79" t="n"/>
      <c r="DZ15" s="79" t="n"/>
      <c r="EA15" s="79" t="n"/>
      <c r="EB15" s="18" t="n"/>
      <c r="EC15" s="19" t="n"/>
      <c r="ED15" s="20">
        <f>IFERROR(ROUND(AVERAGE(DJ15,DL15,DN15,DP15,DR15,DT15,DV15,DX15,DZ15,EB15), 2), "")</f>
        <v/>
      </c>
      <c r="EE15" s="79" t="n"/>
      <c r="EF15" s="6" t="n"/>
      <c r="EG15" s="79" t="n"/>
      <c r="EH15" s="6" t="n"/>
      <c r="EI15" s="79" t="n"/>
      <c r="EJ15" s="6" t="n"/>
      <c r="EK15" s="79" t="n"/>
      <c r="EL15" s="6" t="n"/>
      <c r="EM15" s="79" t="n"/>
      <c r="EN15" s="18" t="n"/>
      <c r="EO15" s="79" t="n"/>
      <c r="EP15" s="79" t="n"/>
      <c r="EQ15" s="79" t="n"/>
      <c r="ER15" s="79" t="n"/>
      <c r="ES15" s="79" t="n"/>
      <c r="ET15" s="79" t="n"/>
      <c r="EU15" s="79" t="n"/>
      <c r="EV15" s="79" t="n"/>
      <c r="EW15" s="18" t="n"/>
      <c r="EX15" s="19" t="n"/>
      <c r="EY15" s="6" t="n"/>
      <c r="EZ15" s="79" t="n"/>
      <c r="FA15" s="6" t="n"/>
      <c r="FB15" s="79" t="n"/>
      <c r="FC15" s="6" t="n"/>
      <c r="FD15" s="79" t="n"/>
      <c r="FE15" s="6" t="n"/>
      <c r="FF15" s="79" t="n"/>
      <c r="FG15" s="6" t="n"/>
      <c r="FH15" s="79" t="n"/>
      <c r="FI15" s="18">
        <f>IF(COUNTA(EE15:FH15)=0, "", SUMPRODUCT(--ISNUMBER(SEARCH("m", EE15:FH15))))</f>
        <v/>
      </c>
      <c r="FJ15" s="79">
        <f>IF(COUNTA(EE15:FH15)=0, "", COUNTA(EE15:FH15) - SUMPRODUCT(--ISNUMBER(SEARCH("m", EE15:FH15))))</f>
        <v/>
      </c>
      <c r="FK15" s="79" t="n"/>
      <c r="FL15" s="79" t="n"/>
      <c r="FM15" s="79" t="n"/>
      <c r="FN15" s="79" t="n"/>
      <c r="FO15" s="79" t="n"/>
      <c r="FP15" s="79" t="n"/>
      <c r="FQ15" s="79" t="n"/>
      <c r="FR15" s="18" t="n"/>
      <c r="FS15" s="19" t="n"/>
      <c r="FT15" s="6" t="n"/>
      <c r="FU15" s="79" t="n"/>
      <c r="FV15" s="6" t="n"/>
      <c r="FW15" s="79" t="n"/>
      <c r="FX15" s="6" t="n"/>
      <c r="FY15" s="79" t="n"/>
      <c r="FZ15" s="6" t="n"/>
      <c r="GA15" s="79" t="n"/>
      <c r="GB15" s="6" t="n"/>
      <c r="GC15" s="79" t="n"/>
      <c r="GD15" s="18" t="n"/>
      <c r="GE15" s="80">
        <f>IFERROR(ROUND(AVERAGE(FK15,FM15,FO15,FQ15,FS15,FU15,FW15,FY15,GA15,GC15), 2), "")</f>
        <v/>
      </c>
      <c r="GF15" s="79" t="n"/>
      <c r="GG15" s="79" t="n"/>
      <c r="GH15" s="79" t="n"/>
      <c r="GI15" s="79" t="n"/>
      <c r="GJ15" s="79" t="n"/>
      <c r="GK15" s="79" t="n"/>
      <c r="GL15" s="79" t="n"/>
      <c r="GM15" s="18" t="n"/>
      <c r="GN15" s="19" t="n"/>
      <c r="GO15" s="6" t="n"/>
      <c r="GP15" s="79" t="n"/>
      <c r="GQ15" s="6" t="n"/>
      <c r="GR15" s="79" t="n"/>
      <c r="GS15" s="6" t="n"/>
      <c r="GT15" s="79" t="n"/>
      <c r="GU15" s="6" t="n"/>
      <c r="GV15" s="79" t="n"/>
      <c r="GW15" s="6" t="n"/>
      <c r="GX15" s="79" t="n"/>
      <c r="GY15" s="18" t="n"/>
      <c r="GZ15" s="79" t="n"/>
      <c r="HA15" s="79" t="n"/>
      <c r="HB15" s="79" t="n"/>
      <c r="HC15" s="79" t="n"/>
      <c r="HD15" s="79" t="n"/>
      <c r="HE15" s="79" t="n"/>
      <c r="HF15" s="79" t="n"/>
      <c r="HG15" s="79" t="n"/>
      <c r="HH15" s="18" t="n"/>
      <c r="HI15" s="19" t="n"/>
      <c r="HJ15" s="6">
        <f>IF(COUNTA(GF15:HI15)=0, "", SUMPRODUCT(--ISNUMBER(SEARCH("m", GF15:HI15))))</f>
        <v/>
      </c>
      <c r="HK15" s="79">
        <f>IF(COUNTA(GF15:HI15)=0, "", COUNTA(GF15:HI15) - SUMPRODUCT(--ISNUMBER(SEARCH("m", GF15:HI15))))</f>
        <v/>
      </c>
      <c r="HL15" s="6" t="n"/>
      <c r="HM15" s="79" t="n"/>
      <c r="HN15" s="6" t="n"/>
      <c r="HO15" s="79" t="n"/>
      <c r="HP15" s="6" t="n"/>
      <c r="HQ15" s="79" t="n"/>
      <c r="HR15" s="6" t="n"/>
      <c r="HS15" s="79" t="n"/>
      <c r="HT15" s="18" t="n"/>
      <c r="HU15" s="79" t="n"/>
      <c r="HV15" s="79" t="n"/>
      <c r="HW15" s="79" t="n"/>
      <c r="HX15" s="79" t="n"/>
      <c r="HY15" s="79" t="n"/>
      <c r="HZ15" s="79" t="n"/>
      <c r="IA15" s="79" t="n"/>
      <c r="IB15" s="79" t="n"/>
      <c r="IC15" s="18" t="n"/>
      <c r="ID15" s="19" t="n"/>
      <c r="IE15" s="6" t="n"/>
      <c r="IF15" s="80">
        <f>IFERROR(ROUND(AVERAGE(HL15,HN15,HP15,HR15,HT15,HV15,HX15,HZ15,IB15,ID15), 2), "")</f>
        <v/>
      </c>
      <c r="IG15" s="6" t="n"/>
      <c r="IH15" s="79" t="n"/>
      <c r="II15" s="6" t="n"/>
      <c r="IJ15" s="79" t="n"/>
      <c r="IK15" s="6" t="n"/>
      <c r="IL15" s="79" t="n"/>
      <c r="IM15" s="6" t="n"/>
      <c r="IN15" s="79" t="n"/>
      <c r="IO15" s="18" t="n"/>
      <c r="IP15" s="79" t="n"/>
      <c r="IQ15" s="79" t="n"/>
      <c r="IR15" s="79" t="n"/>
      <c r="IS15" s="79" t="n"/>
      <c r="IT15" s="79" t="n"/>
      <c r="IU15" s="79" t="n"/>
      <c r="IV15" s="79" t="n"/>
      <c r="IW15" s="79" t="n"/>
      <c r="IX15" s="18" t="n"/>
      <c r="IY15" s="19" t="n"/>
      <c r="IZ15" s="6" t="n"/>
      <c r="JA15" s="79" t="n"/>
      <c r="JB15" s="6" t="n"/>
      <c r="JC15" s="79" t="n"/>
      <c r="JD15" s="6" t="n"/>
      <c r="JE15" s="79" t="n"/>
      <c r="JF15" s="6" t="n"/>
      <c r="JG15" s="79" t="n"/>
      <c r="JH15" s="6" t="n"/>
      <c r="JI15" s="79" t="n"/>
      <c r="JJ15" s="18" t="n"/>
      <c r="JK15" s="79">
        <f>IF(COUNTA(IG15:JJ15)=0, "", SUMPRODUCT(--ISNUMBER(SEARCH("m", IG15:JJ15))))</f>
        <v/>
      </c>
      <c r="JL15" s="79">
        <f>IF(COUNTA(IG15:JJ15)=0, "", COUNTA(IG15:JJ15) - SUMPRODUCT(--ISNUMBER(SEARCH("m", IG15:JJ15))))</f>
        <v/>
      </c>
      <c r="JM15" s="79" t="n"/>
      <c r="JN15" s="79" t="n"/>
      <c r="JO15" s="79" t="n"/>
      <c r="JP15" s="79" t="n"/>
      <c r="JQ15" s="79" t="n"/>
      <c r="JR15" s="79" t="n"/>
      <c r="JS15" s="18" t="n"/>
      <c r="JT15" s="19" t="n"/>
      <c r="JU15" s="6" t="n"/>
      <c r="JV15" s="79" t="n"/>
      <c r="JW15" s="6" t="n"/>
      <c r="JX15" s="79" t="n"/>
      <c r="JY15" s="6" t="n"/>
      <c r="JZ15" s="79" t="n"/>
      <c r="KA15" s="6" t="n"/>
      <c r="KB15" s="79" t="n"/>
      <c r="KC15" s="6" t="n"/>
      <c r="KD15" s="79" t="n"/>
      <c r="KE15" s="18" t="n"/>
      <c r="KF15" s="79" t="n"/>
      <c r="KG15" s="80">
        <f>IFERROR(ROUND(AVERAGE(JM15,JO15,JQ15,JS15,JU15,JW15,JY15,KA15,KC15,KE15), 2), "")</f>
        <v/>
      </c>
      <c r="KH15" s="79" t="n"/>
      <c r="KI15" s="79" t="n"/>
      <c r="KJ15" s="79" t="n"/>
      <c r="KK15" s="79" t="n"/>
      <c r="KL15" s="79" t="n"/>
      <c r="KM15" s="79" t="n"/>
      <c r="KN15" s="18" t="n"/>
      <c r="KO15" s="19" t="n"/>
      <c r="KP15" s="6" t="n"/>
      <c r="KQ15" s="6" t="n"/>
      <c r="KR15" s="6" t="n"/>
      <c r="KS15" s="6" t="n"/>
      <c r="KT15" s="6" t="n"/>
      <c r="KU15" s="6" t="n"/>
      <c r="KV15" s="6" t="n"/>
      <c r="KW15" s="6" t="n"/>
      <c r="KX15" s="6" t="n"/>
      <c r="KY15" s="6" t="n"/>
      <c r="KZ15" s="6" t="n"/>
      <c r="LA15" s="6" t="n"/>
      <c r="LB15" s="6" t="n"/>
      <c r="LC15" s="6" t="n"/>
      <c r="LD15" s="6" t="n"/>
      <c r="LE15" s="6" t="n"/>
      <c r="LF15" s="6" t="n"/>
      <c r="LG15" s="6" t="n"/>
      <c r="LH15" s="6" t="n"/>
      <c r="LI15" s="6" t="n"/>
      <c r="LJ15" s="6" t="n"/>
      <c r="LK15" s="6" t="n"/>
      <c r="LL15" s="6">
        <f>IF(COUNTA(KH15:LK15)=0, "", SUMPRODUCT(--ISNUMBER(SEARCH("m", KH15:LK15))))</f>
        <v/>
      </c>
      <c r="LM15" s="6">
        <f>IF(COUNTA(KH15:LK15)=0, "", COUNTA(KH15:LK15) - SUMPRODUCT(--ISNUMBER(SEARCH("m", KH15:LK15))))</f>
        <v/>
      </c>
      <c r="LN15" s="6" t="n"/>
      <c r="LO15" s="6" t="n"/>
      <c r="LP15" s="6" t="n"/>
      <c r="LQ15" s="6" t="n"/>
      <c r="LR15" s="6" t="n"/>
      <c r="LS15" s="6" t="n"/>
      <c r="LT15" s="6" t="n"/>
      <c r="LU15" s="6" t="n"/>
      <c r="LV15" s="6" t="n"/>
      <c r="LW15" s="6" t="n"/>
      <c r="LX15" s="6" t="n"/>
      <c r="LY15" s="6" t="n"/>
      <c r="LZ15" s="6" t="n"/>
      <c r="MA15" s="6" t="n"/>
      <c r="MB15" s="6" t="n"/>
      <c r="MC15" s="6" t="n"/>
      <c r="MD15" s="6" t="n"/>
      <c r="ME15" s="6" t="n"/>
      <c r="MF15" s="6" t="n"/>
      <c r="MG15" s="6" t="n"/>
      <c r="MH15" s="20">
        <f>IFERROR(ROUND(AVERAGE(LN15,LP15,LR15,LT15,LV15,LX15,LZ15,MB15,MD15,MF15), 2), "")</f>
        <v/>
      </c>
      <c r="MI15" s="6" t="n"/>
      <c r="MJ15" s="6" t="n"/>
      <c r="MK15" s="6" t="n"/>
      <c r="ML15" s="6" t="n"/>
      <c r="MM15" s="6" t="n"/>
      <c r="MN15" s="6" t="n"/>
      <c r="MO15" s="6" t="n"/>
      <c r="MP15" s="6" t="n"/>
      <c r="MQ15" s="6" t="n"/>
      <c r="MR15" s="6" t="n"/>
      <c r="MS15" s="6" t="n"/>
      <c r="MT15" s="6" t="n"/>
      <c r="MU15" s="6" t="n"/>
      <c r="MV15" s="6" t="n"/>
      <c r="MW15" s="6" t="n"/>
      <c r="MX15" s="6" t="n"/>
      <c r="MY15" s="6" t="n"/>
      <c r="MZ15" s="6" t="n"/>
      <c r="NA15" s="6" t="n"/>
      <c r="NB15" s="6" t="n"/>
      <c r="NC15" s="6" t="n"/>
      <c r="ND15" s="6" t="n"/>
      <c r="NE15" s="6" t="n"/>
      <c r="NF15" s="6" t="n"/>
      <c r="NG15" s="6" t="n"/>
      <c r="NH15" s="6" t="n"/>
      <c r="NI15" s="6" t="n"/>
      <c r="NJ15" s="6" t="n"/>
      <c r="NK15" s="6" t="n"/>
      <c r="NL15" s="6" t="n"/>
      <c r="NM15" s="6">
        <f>IF(COUNTA(MI15:NL15)=0, "", SUMPRODUCT(--ISNUMBER(SEARCH("m", MI15:NL15))))</f>
        <v/>
      </c>
      <c r="NN15" s="6">
        <f>IF(COUNTA(MI15:NL15)=0, "", COUNTA(MI15:NL15) - SUMPRODUCT(--ISNUMBER(SEARCH("m", MI15:NL15))))</f>
        <v/>
      </c>
      <c r="NO15" s="6" t="n"/>
      <c r="NP15" s="6" t="n"/>
      <c r="NQ15" s="6" t="n"/>
      <c r="NR15" s="6" t="n"/>
      <c r="NS15" s="6" t="n"/>
      <c r="NT15" s="6" t="n"/>
      <c r="NU15" s="6" t="n"/>
      <c r="NV15" s="6" t="n"/>
      <c r="NW15" s="6" t="n"/>
      <c r="NX15" s="6" t="n"/>
      <c r="NY15" s="6" t="n"/>
      <c r="NZ15" s="6" t="n"/>
      <c r="OA15" s="6" t="n"/>
      <c r="OB15" s="6" t="n"/>
      <c r="OC15" s="6" t="n"/>
      <c r="OD15" s="6" t="n"/>
      <c r="OE15" s="6" t="n"/>
      <c r="OF15" s="6" t="n"/>
      <c r="OG15" s="6" t="n"/>
      <c r="OH15" s="6" t="n"/>
      <c r="OI15" s="20">
        <f>IFERROR(ROUND(AVERAGE(NO15,NQ15,NS15,NU15,NW15,NY15,OA15,OC15,OE15,OG15), 2), "")</f>
        <v/>
      </c>
      <c r="OJ15" s="6" t="n"/>
      <c r="OK15" s="6" t="n"/>
      <c r="OL15" s="6" t="n"/>
      <c r="OM15" s="6" t="n"/>
      <c r="ON15" s="6" t="n"/>
      <c r="OO15" s="6" t="n"/>
      <c r="OP15" s="6" t="n"/>
      <c r="OQ15" s="6" t="n"/>
      <c r="OR15" s="6" t="n"/>
      <c r="OS15" s="6" t="n"/>
      <c r="OT15" s="6" t="n"/>
      <c r="OU15" s="6" t="n"/>
      <c r="OV15" s="6" t="n"/>
      <c r="OW15" s="6" t="n"/>
      <c r="OX15" s="6" t="n"/>
      <c r="OY15" s="6" t="n"/>
      <c r="OZ15" s="6" t="n"/>
      <c r="PA15" s="6" t="n"/>
      <c r="PB15" s="6" t="n"/>
      <c r="PC15" s="6" t="n"/>
      <c r="PD15" s="6" t="n"/>
      <c r="PE15" s="6" t="n"/>
      <c r="PF15" s="6" t="n"/>
      <c r="PG15" s="6" t="n"/>
      <c r="PH15" s="6" t="n"/>
      <c r="PI15" s="6" t="n"/>
      <c r="PJ15" s="6" t="n"/>
      <c r="PK15" s="6" t="n"/>
      <c r="PL15" s="6" t="n"/>
      <c r="PM15" s="6" t="n"/>
      <c r="PN15" s="6">
        <f>IF(COUNTA(OJ15:PM15)=0, "", SUMPRODUCT(--ISNUMBER(SEARCH("m", OJ15:PM15))))</f>
        <v/>
      </c>
      <c r="PO15" s="6">
        <f>IF(COUNTA(OJ15:PM15)=0, "", COUNTA(OJ15:PM15) - SUMPRODUCT(--ISNUMBER(SEARCH("m", OJ15:PM15))))</f>
        <v/>
      </c>
      <c r="PP15" s="6" t="n"/>
      <c r="PQ15" s="6" t="n"/>
      <c r="PR15" s="6" t="n"/>
      <c r="PS15" s="6" t="n"/>
      <c r="PT15" s="6" t="n"/>
      <c r="PU15" s="6" t="n"/>
      <c r="PV15" s="6" t="n"/>
      <c r="PW15" s="6" t="n"/>
      <c r="PX15" s="6" t="n"/>
      <c r="PY15" s="6" t="n"/>
      <c r="PZ15" s="6" t="n"/>
      <c r="QA15" s="6" t="n"/>
      <c r="QB15" s="6" t="n"/>
      <c r="QC15" s="6" t="n"/>
      <c r="QD15" s="6" t="n"/>
      <c r="QE15" s="6" t="n"/>
      <c r="QF15" s="6" t="n"/>
      <c r="QG15" s="6" t="n"/>
      <c r="QH15" s="6" t="n"/>
      <c r="QI15" s="6" t="n"/>
      <c r="QJ15" s="20">
        <f>IFERROR(ROUND(AVERAGE(PP15,PR15,PT15,PV15,PX15,PZ15,QB15,QD15,QF15,QH15), 2), "")</f>
        <v/>
      </c>
      <c r="QK15" s="6" t="n"/>
      <c r="QL15" s="6" t="n"/>
      <c r="QM15" s="6" t="n"/>
      <c r="QN15" s="6" t="n"/>
      <c r="QO15" s="6" t="n"/>
      <c r="QP15" s="6" t="n"/>
      <c r="QQ15" s="6" t="n"/>
      <c r="QR15" s="6" t="n"/>
      <c r="QS15" s="6" t="n"/>
      <c r="QT15" s="6" t="n"/>
      <c r="QU15" s="6" t="n"/>
      <c r="QV15" s="6" t="n"/>
      <c r="QW15" s="6" t="n"/>
      <c r="QX15" s="6" t="n"/>
      <c r="QY15" s="6" t="n"/>
      <c r="QZ15" s="6" t="n"/>
      <c r="RA15" s="6" t="n"/>
      <c r="RB15" s="6" t="n"/>
      <c r="RC15" s="6" t="n"/>
      <c r="RD15" s="6" t="n"/>
      <c r="RE15" s="6" t="n"/>
      <c r="RF15" s="6" t="n"/>
      <c r="RG15" s="6" t="n"/>
      <c r="RH15" s="6" t="n"/>
      <c r="RI15" s="6" t="n"/>
      <c r="RJ15" s="6" t="n"/>
      <c r="RK15" s="6" t="n"/>
      <c r="RL15" s="6" t="n"/>
      <c r="RM15" s="6" t="n"/>
      <c r="RN15" s="6" t="n"/>
      <c r="RO15" s="6">
        <f>IF(COUNTA(QK15:RN15)=0, "", SUMPRODUCT(--ISNUMBER(SEARCH("m", QK15:RN15))))</f>
        <v/>
      </c>
      <c r="RP15" s="6">
        <f>IF(COUNTA(QK15:RN15)=0, "", COUNTA(QK15:RN15) - SUMPRODUCT(--ISNUMBER(SEARCH("m", QK15:RN15))))</f>
        <v/>
      </c>
      <c r="RQ15" s="6" t="n"/>
      <c r="RR15" s="6" t="n"/>
      <c r="RS15" s="6" t="n"/>
      <c r="RT15" s="6" t="n"/>
      <c r="RU15" s="6" t="n"/>
      <c r="RV15" s="6" t="n"/>
      <c r="RW15" s="6" t="n"/>
      <c r="RX15" s="6" t="n"/>
      <c r="RY15" s="6" t="n"/>
      <c r="RZ15" s="6" t="n"/>
      <c r="SA15" s="6" t="n"/>
      <c r="SB15" s="6" t="n"/>
      <c r="SC15" s="6" t="n"/>
      <c r="SD15" s="6" t="n"/>
      <c r="SE15" s="6" t="n"/>
      <c r="SF15" s="6" t="n"/>
      <c r="SG15" s="6" t="n"/>
      <c r="SH15" s="6" t="n"/>
      <c r="SI15" s="6" t="n"/>
      <c r="SJ15" s="6" t="n"/>
      <c r="SK15" s="20">
        <f>IFERROR(ROUND(AVERAGE(RQ15,RS15,RU15,RW15,RY15,SA15,SC15,SE15,SG15,SI15), 2), "")</f>
        <v/>
      </c>
      <c r="SL15" s="6" t="n"/>
      <c r="SM15" s="6" t="n"/>
      <c r="SN15" s="6" t="n"/>
      <c r="SO15" s="6" t="n"/>
      <c r="SP15" s="6" t="n"/>
      <c r="SQ15" s="6" t="n"/>
      <c r="SR15" s="6" t="n"/>
      <c r="SS15" s="6" t="n"/>
      <c r="ST15" s="6" t="n"/>
      <c r="SU15" s="6" t="n"/>
      <c r="SV15" s="6" t="n"/>
      <c r="SW15" s="6" t="n"/>
      <c r="SX15" s="6" t="n"/>
      <c r="SY15" s="6" t="n"/>
      <c r="SZ15" s="6" t="n"/>
      <c r="TA15" s="6" t="n"/>
      <c r="TB15" s="6" t="n"/>
      <c r="TC15" s="6" t="n"/>
      <c r="TD15" s="6" t="n"/>
      <c r="TE15" s="6" t="n"/>
      <c r="TF15" s="6" t="n"/>
      <c r="TG15" s="6" t="n"/>
      <c r="TH15" s="6" t="n"/>
      <c r="TI15" s="6" t="n"/>
      <c r="TJ15" s="6" t="n"/>
      <c r="TK15" s="6" t="n"/>
      <c r="TL15" s="6" t="n"/>
      <c r="TM15" s="6" t="n"/>
      <c r="TN15" s="6" t="n"/>
      <c r="TO15" s="6" t="n"/>
      <c r="TP15" s="6">
        <f>IF(COUNTA(SL15:TO15)=0, "", SUMPRODUCT(--ISNUMBER(SEARCH("m", SL15:TO15))))</f>
        <v/>
      </c>
      <c r="TQ15" s="6">
        <f>IF(COUNTA(SL15:TO15)=0, "", COUNTA(SL15:TO15) - SUMPRODUCT(--ISNUMBER(SEARCH("m", SL15:TO15))))</f>
        <v/>
      </c>
      <c r="TR15" s="6" t="n"/>
      <c r="TS15" s="6" t="n"/>
      <c r="TT15" s="6" t="n"/>
      <c r="TU15" s="6" t="n"/>
      <c r="TV15" s="6" t="n"/>
      <c r="TW15" s="6" t="n"/>
      <c r="TX15" s="6" t="n"/>
      <c r="TY15" s="6" t="n"/>
      <c r="TZ15" s="6" t="n"/>
      <c r="UA15" s="6" t="n"/>
      <c r="UB15" s="6" t="n"/>
      <c r="UC15" s="6" t="n"/>
      <c r="UD15" s="6" t="n"/>
      <c r="UE15" s="6" t="n"/>
      <c r="UF15" s="6" t="n"/>
      <c r="UG15" s="6" t="n"/>
      <c r="UH15" s="6" t="n"/>
      <c r="UI15" s="6" t="n"/>
      <c r="UJ15" s="6" t="n"/>
      <c r="UK15" s="6" t="n"/>
      <c r="UL15" s="20">
        <f>IFERROR(ROUND(AVERAGE(TR15,TT15,TV15,TX15,TZ15,UB15,UD15,UF15,UH15,UJ15), 2), "")</f>
        <v/>
      </c>
      <c r="UM15" s="6" t="n"/>
      <c r="UN15" s="6" t="n"/>
      <c r="UO15" s="6" t="n"/>
      <c r="UP15" s="6" t="n"/>
      <c r="UQ15" s="6" t="n"/>
      <c r="UR15" s="6" t="n"/>
      <c r="US15" s="6" t="n"/>
      <c r="UT15" s="6" t="n"/>
      <c r="UU15" s="6" t="n"/>
      <c r="UV15" s="6" t="n"/>
      <c r="UW15" s="6" t="n"/>
      <c r="UX15" s="6" t="n"/>
      <c r="UY15" s="6" t="n"/>
      <c r="UZ15" s="6" t="n"/>
      <c r="VA15" s="6" t="n"/>
      <c r="VB15" s="6" t="n"/>
      <c r="VC15" s="6" t="n"/>
      <c r="VD15" s="6" t="n"/>
      <c r="VE15" s="6" t="n"/>
      <c r="VF15" s="6" t="n"/>
      <c r="VG15" s="6" t="n"/>
      <c r="VH15" s="6" t="n"/>
      <c r="VI15" s="6" t="n"/>
      <c r="VJ15" s="6" t="n"/>
      <c r="VK15" s="6" t="n"/>
      <c r="VL15" s="6" t="n"/>
      <c r="VM15" s="6" t="n"/>
      <c r="VN15" s="6" t="n"/>
      <c r="VO15" s="6" t="n"/>
      <c r="VP15" s="6" t="n"/>
      <c r="VQ15" s="6">
        <f>IF(COUNTA(UM15:VP15)=0, "", SUMPRODUCT(--ISNUMBER(SEARCH("m", UM15:VP15))))</f>
        <v/>
      </c>
      <c r="VR15" s="6">
        <f>IF(COUNTA(UM15:VP15)=0, "", COUNTA(UM15:VP15) - SUMPRODUCT(--ISNUMBER(SEARCH("m", UM15:VP15))))</f>
        <v/>
      </c>
      <c r="VS15" s="6" t="n"/>
      <c r="VT15" s="6" t="n"/>
      <c r="VU15" s="6" t="n"/>
      <c r="VV15" s="6" t="n"/>
      <c r="VW15" s="6" t="n"/>
      <c r="VX15" s="6" t="n"/>
      <c r="VY15" s="6" t="n"/>
      <c r="VZ15" s="6" t="n"/>
      <c r="WA15" s="6" t="n"/>
      <c r="WB15" s="6" t="n"/>
      <c r="WC15" s="6" t="n"/>
      <c r="WD15" s="6" t="n"/>
      <c r="WE15" s="6" t="n"/>
      <c r="WF15" s="6" t="n"/>
      <c r="WG15" s="6" t="n"/>
      <c r="WH15" s="6" t="n"/>
      <c r="WI15" s="6" t="n"/>
      <c r="WJ15" s="6" t="n"/>
      <c r="WK15" s="6" t="n"/>
      <c r="WL15" s="6" t="n"/>
      <c r="WM15" s="20">
        <f>IFERROR(ROUND(AVERAGE(VS15,VU15,VW15,VY15,WA15,WC15,WE15,WG15,WI15,WK15), 2), "")</f>
        <v/>
      </c>
      <c r="WN15" s="6" t="n"/>
      <c r="WO15" s="6" t="n"/>
      <c r="WP15" s="6" t="n"/>
      <c r="WQ15" s="6" t="n"/>
      <c r="WR15" s="6" t="n"/>
      <c r="WS15" s="6" t="n"/>
      <c r="WT15" s="6" t="n"/>
      <c r="WU15" s="6" t="n"/>
      <c r="WV15" s="6" t="n"/>
      <c r="WW15" s="6" t="n"/>
      <c r="WX15" s="6" t="n"/>
      <c r="WY15" s="6" t="n"/>
      <c r="WZ15" s="6" t="n"/>
      <c r="XA15" s="6" t="n"/>
      <c r="XB15" s="6" t="n"/>
      <c r="XC15" s="6" t="n"/>
      <c r="XD15" s="6" t="n"/>
      <c r="XE15" s="6" t="n"/>
      <c r="XF15" s="6" t="n"/>
      <c r="XG15" s="6" t="n"/>
      <c r="XH15" s="6" t="n"/>
      <c r="XI15" s="6" t="n"/>
      <c r="XJ15" s="6" t="n"/>
      <c r="XK15" s="6" t="n"/>
      <c r="XL15" s="6" t="n"/>
      <c r="XM15" s="6" t="n"/>
      <c r="XN15" s="6" t="n"/>
      <c r="XO15" s="6" t="n"/>
      <c r="XP15" s="6" t="n"/>
      <c r="XQ15" s="6" t="n"/>
      <c r="XR15" s="6">
        <f>IF(COUNTA(WN15:XQ15)=0, "", SUMPRODUCT(--ISNUMBER(SEARCH("m", WN15:XQ15))))</f>
        <v/>
      </c>
      <c r="XS15" s="6">
        <f>IF(COUNTA(WN15:XQ15)=0, "", COUNTA(WN15:XQ15) - SUMPRODUCT(--ISNUMBER(SEARCH("m", WN15:XQ15))))</f>
        <v/>
      </c>
      <c r="XT15" s="6" t="n"/>
      <c r="XU15" s="6" t="n"/>
      <c r="XV15" s="6" t="n"/>
      <c r="XW15" s="6" t="n"/>
      <c r="XX15" s="6" t="n"/>
      <c r="XY15" s="6" t="n"/>
      <c r="XZ15" s="6" t="n"/>
      <c r="YA15" s="6" t="n"/>
      <c r="YB15" s="6" t="n"/>
      <c r="YC15" s="6" t="n"/>
      <c r="YD15" s="6" t="n"/>
      <c r="YE15" s="6" t="n"/>
      <c r="YF15" s="6" t="n"/>
      <c r="YG15" s="6" t="n"/>
      <c r="YH15" s="6" t="n"/>
      <c r="YI15" s="6" t="n"/>
      <c r="YJ15" s="6" t="n"/>
      <c r="YK15" s="6" t="n"/>
      <c r="YL15" s="6" t="n"/>
      <c r="YM15" s="6" t="n"/>
      <c r="YN15" s="20">
        <f>IFERROR(ROUND(AVERAGE(XT15,XV15,XX15,XZ15,YB15,YD15,YF15,YH15,YJ15,YL15), 2), "")</f>
        <v/>
      </c>
      <c r="YO15" s="6" t="n"/>
      <c r="YP15" s="6" t="n"/>
      <c r="YQ15" s="6" t="n"/>
      <c r="YR15" s="6" t="n"/>
      <c r="YS15" s="6" t="n"/>
      <c r="YT15" s="6" t="n"/>
      <c r="YU15" s="6" t="n"/>
      <c r="YV15" s="6" t="n"/>
      <c r="YW15" s="6" t="n"/>
      <c r="YX15" s="6" t="n"/>
      <c r="YY15" s="6" t="n"/>
      <c r="YZ15" s="6" t="n"/>
      <c r="ZA15" s="6" t="n"/>
      <c r="ZB15" s="6" t="n"/>
      <c r="ZC15" s="6" t="n"/>
      <c r="ZD15" s="6" t="n"/>
      <c r="ZE15" s="6" t="n"/>
      <c r="ZF15" s="6" t="n"/>
      <c r="ZG15" s="6" t="n"/>
      <c r="ZH15" s="6" t="n"/>
      <c r="ZI15" s="6" t="n"/>
      <c r="ZJ15" s="6" t="n"/>
      <c r="ZK15" s="6" t="n"/>
      <c r="ZL15" s="6" t="n"/>
      <c r="ZM15" s="6" t="n"/>
      <c r="ZN15" s="6" t="n"/>
      <c r="ZO15" s="6" t="n"/>
      <c r="ZP15" s="6" t="n"/>
      <c r="ZQ15" s="6" t="n"/>
      <c r="ZR15" s="6" t="n"/>
      <c r="ZS15" s="6">
        <f>IF(COUNTA(YO15:ZR15)=0, "", SUMPRODUCT(--ISNUMBER(SEARCH("m", YO15:ZR15))))</f>
        <v/>
      </c>
      <c r="ZT15" s="6">
        <f>IF(COUNTA(YO15:ZR15)=0, "", COUNTA(YO15:ZR15) - SUMPRODUCT(--ISNUMBER(SEARCH("m", YO15:ZR15))))</f>
        <v/>
      </c>
      <c r="ZU15" s="6" t="n"/>
      <c r="ZV15" s="6" t="n"/>
      <c r="ZW15" s="6" t="n"/>
      <c r="ZX15" s="6" t="n"/>
      <c r="ZY15" s="6" t="n"/>
      <c r="ZZ15" s="6" t="n"/>
      <c r="AAA15" s="6" t="n"/>
      <c r="AAB15" s="6" t="n"/>
      <c r="AAC15" s="6" t="n"/>
      <c r="AAD15" s="6" t="n"/>
      <c r="AAE15" s="6" t="n"/>
      <c r="AAF15" s="6" t="n"/>
      <c r="AAG15" s="6" t="n"/>
      <c r="AAH15" s="6" t="n"/>
      <c r="AAI15" s="6" t="n"/>
      <c r="AAJ15" s="6" t="n"/>
      <c r="AAK15" s="6" t="n"/>
      <c r="AAL15" s="6" t="n"/>
      <c r="AAM15" s="6" t="n"/>
      <c r="AAN15" s="6" t="n"/>
      <c r="AAO15" s="20">
        <f>IFERROR(ROUND(AVERAGE(ZU15,ZW15,ZY15,AAA15,AAC15,AAE15,AAG15,AAI15,AAK15,AAM15), 2), "")</f>
        <v/>
      </c>
      <c r="AAP15" s="6" t="n"/>
      <c r="AAQ15" s="6" t="n"/>
      <c r="AAR15" s="6" t="n"/>
      <c r="AAS15" s="6" t="n"/>
      <c r="AAT15" s="6" t="n"/>
      <c r="AAU15" s="6" t="n"/>
      <c r="AAV15" s="6" t="n"/>
      <c r="AAW15" s="6" t="n"/>
      <c r="AAX15" s="6" t="n"/>
      <c r="AAY15" s="6" t="n"/>
      <c r="AAZ15" s="6" t="n"/>
      <c r="ABA15" s="6" t="n"/>
      <c r="ABB15" s="6" t="n"/>
      <c r="ABC15" s="6" t="n"/>
      <c r="ABD15" s="6" t="n"/>
      <c r="ABE15" s="6" t="n"/>
      <c r="ABF15" s="6" t="n"/>
      <c r="ABG15" s="6" t="n"/>
      <c r="ABH15" s="6" t="n"/>
      <c r="ABI15" s="6" t="n"/>
      <c r="ABJ15" s="6" t="n"/>
      <c r="ABK15" s="6" t="n"/>
      <c r="ABL15" s="6" t="n"/>
      <c r="ABM15" s="6" t="n"/>
      <c r="ABN15" s="6" t="n"/>
      <c r="ABO15" s="6" t="n"/>
      <c r="ABP15" s="6" t="n"/>
      <c r="ABQ15" s="6" t="n"/>
      <c r="ABR15" s="6" t="n"/>
      <c r="ABS15" s="6" t="n"/>
      <c r="ABT15" s="6">
        <f>IF(COUNTA(AAP15:ABS15)=0, "", SUMPRODUCT(--ISNUMBER(SEARCH("m", AAP15:ABS15))))</f>
        <v/>
      </c>
      <c r="ABU15" s="6">
        <f>IF(COUNTA(AAP15:ABS15)=0, "", COUNTA(AAP15:ABS15) - SUMPRODUCT(--ISNUMBER(SEARCH("m", AAP15:ABS15))))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8">
        <f>IFERROR(ROUND(AVERAGE(AB16,CC16,ED16,GE16,IF16,KG16,MH16,OI16,QJ16,SK16,UL16,WM16,YN16,AAO16), 2), "")</f>
        <v/>
      </c>
      <c r="F16" s="14">
        <f>IF(SUM(BH16,DI16,FJ16,HK16,JL16,LM16,NN16,PO16,RP16,TQ16,VR16,XS16,ZT16,ABU16)=0, "", SUM(BH16,DI16,FJ16,HK16,JL16,LM16,NN16,PO16,RP16,TQ16,VR16,XS16,ZT16,ABU16))</f>
        <v/>
      </c>
      <c r="G16" s="8">
        <f>IF(SUM(BG16,DH16,FI16,HJ16,JK16,LL16,NM16,PN16,RO16,TP16,VQ16,XR16,ZS16,ABT16)=0, "", SUM(BG16,DH16,FI16,HJ16,JK16,LL16,NM16,PN16,RO16,TP16,VQ16,XR16,ZS16,ABT16))</f>
        <v/>
      </c>
      <c r="H16" s="6" t="n"/>
      <c r="I16" s="79" t="n"/>
      <c r="J16" s="6" t="n"/>
      <c r="K16" s="79" t="n"/>
      <c r="L16" s="6" t="n"/>
      <c r="M16" s="79" t="n"/>
      <c r="N16" s="6" t="n"/>
      <c r="O16" s="79" t="n"/>
      <c r="P16" s="6" t="n"/>
      <c r="Q16" s="79" t="n"/>
      <c r="R16" s="18" t="n"/>
      <c r="S16" s="79" t="n"/>
      <c r="T16" s="79" t="n"/>
      <c r="U16" s="79" t="n"/>
      <c r="V16" s="79" t="n"/>
      <c r="W16" s="79" t="n"/>
      <c r="X16" s="79" t="n"/>
      <c r="Y16" s="79" t="n"/>
      <c r="Z16" s="79" t="n"/>
      <c r="AA16" s="18" t="n"/>
      <c r="AB16" s="14">
        <f>IFERROR(ROUND(AVERAGE(H16,J16,L16,N16,P16,R16,T16,V16,X16,Z16), 2), "")</f>
        <v/>
      </c>
      <c r="AC16" s="6" t="n"/>
      <c r="AD16" s="79" t="n"/>
      <c r="AE16" s="6" t="n"/>
      <c r="AF16" s="79" t="n"/>
      <c r="AG16" s="6" t="n"/>
      <c r="AH16" s="79" t="n"/>
      <c r="AI16" s="6" t="n"/>
      <c r="AJ16" s="79" t="n"/>
      <c r="AK16" s="6" t="n"/>
      <c r="AL16" s="79" t="n"/>
      <c r="AM16" s="18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18" t="n"/>
      <c r="AW16" s="19" t="n"/>
      <c r="AX16" s="6" t="n"/>
      <c r="AY16" s="79" t="n"/>
      <c r="AZ16" s="6" t="n"/>
      <c r="BA16" s="79" t="n"/>
      <c r="BB16" s="6" t="n"/>
      <c r="BC16" s="79" t="n"/>
      <c r="BD16" s="6" t="n"/>
      <c r="BE16" s="79" t="n"/>
      <c r="BF16" s="6" t="n"/>
      <c r="BG16" s="79">
        <f>IF(COUNTA(AC16:BF16)=0, "", SUMPRODUCT(--ISNUMBER(SEARCH("m", AC16:BF16))))</f>
        <v/>
      </c>
      <c r="BH16" s="18">
        <f>IF(COUNTA(AC16:BF16)=0, "", COUNTA(AC16:BF16) - SUMPRODUCT(--ISNUMBER(SEARCH("m", AC16:BF16))))</f>
        <v/>
      </c>
      <c r="BI16" s="79" t="n"/>
      <c r="BJ16" s="79" t="n"/>
      <c r="BK16" s="79" t="n"/>
      <c r="BL16" s="79" t="n"/>
      <c r="BM16" s="79" t="n"/>
      <c r="BN16" s="79" t="n"/>
      <c r="BO16" s="79" t="n"/>
      <c r="BP16" s="79" t="n"/>
      <c r="BQ16" s="18" t="n"/>
      <c r="BR16" s="19" t="n"/>
      <c r="BS16" s="6" t="n"/>
      <c r="BT16" s="79" t="n"/>
      <c r="BU16" s="6" t="n"/>
      <c r="BV16" s="79" t="n"/>
      <c r="BW16" s="6" t="n"/>
      <c r="BX16" s="79" t="n"/>
      <c r="BY16" s="6" t="n"/>
      <c r="BZ16" s="79" t="n"/>
      <c r="CA16" s="6" t="n"/>
      <c r="CB16" s="79" t="n"/>
      <c r="CC16" s="8">
        <f>IFERROR(ROUND(AVERAGE(BI16,BK16,BM16,BO16,BQ16,BS16,BU16,BW16,BY16,CA16), 2), "")</f>
        <v/>
      </c>
      <c r="CD16" s="79" t="n"/>
      <c r="CE16" s="79" t="n"/>
      <c r="CF16" s="79" t="n"/>
      <c r="CG16" s="79" t="n"/>
      <c r="CH16" s="79" t="n"/>
      <c r="CI16" s="79" t="n"/>
      <c r="CJ16" s="79" t="n"/>
      <c r="CK16" s="79" t="n"/>
      <c r="CL16" s="18" t="n"/>
      <c r="CM16" s="19" t="n"/>
      <c r="CN16" s="6" t="n"/>
      <c r="CO16" s="79" t="n"/>
      <c r="CP16" s="6" t="n"/>
      <c r="CQ16" s="79" t="n"/>
      <c r="CR16" s="6" t="n"/>
      <c r="CS16" s="79" t="n"/>
      <c r="CT16" s="6" t="n"/>
      <c r="CU16" s="79" t="n"/>
      <c r="CV16" s="6" t="n"/>
      <c r="CW16" s="79" t="n"/>
      <c r="CX16" s="18" t="n"/>
      <c r="CY16" s="79" t="n"/>
      <c r="CZ16" s="79" t="n"/>
      <c r="DA16" s="79" t="n"/>
      <c r="DB16" s="79" t="n"/>
      <c r="DC16" s="79" t="n"/>
      <c r="DD16" s="79" t="n"/>
      <c r="DE16" s="79" t="n"/>
      <c r="DF16" s="79" t="n"/>
      <c r="DG16" s="18" t="n"/>
      <c r="DH16" s="19">
        <f>IF(COUNTA(CD16:DG16)=0, "", SUMPRODUCT(--ISNUMBER(SEARCH("m", CD16:DG16))))</f>
        <v/>
      </c>
      <c r="DI16" s="6">
        <f>IF(COUNTA(CD16:DG16)=0, "", COUNTA(CD16:DG16) - SUMPRODUCT(--ISNUMBER(SEARCH("m", CD16:DG16))))</f>
        <v/>
      </c>
      <c r="DJ16" s="79" t="n"/>
      <c r="DK16" s="6" t="n"/>
      <c r="DL16" s="79" t="n"/>
      <c r="DM16" s="6" t="n"/>
      <c r="DN16" s="79" t="n"/>
      <c r="DO16" s="6" t="n"/>
      <c r="DP16" s="79" t="n"/>
      <c r="DQ16" s="6" t="n"/>
      <c r="DR16" s="79" t="n"/>
      <c r="DS16" s="18" t="n"/>
      <c r="DT16" s="79" t="n"/>
      <c r="DU16" s="79" t="n"/>
      <c r="DV16" s="79" t="n"/>
      <c r="DW16" s="79" t="n"/>
      <c r="DX16" s="79" t="n"/>
      <c r="DY16" s="79" t="n"/>
      <c r="DZ16" s="79" t="n"/>
      <c r="EA16" s="79" t="n"/>
      <c r="EB16" s="18" t="n"/>
      <c r="EC16" s="19" t="n"/>
      <c r="ED16" s="20">
        <f>IFERROR(ROUND(AVERAGE(DJ16,DL16,DN16,DP16,DR16,DT16,DV16,DX16,DZ16,EB16), 2), "")</f>
        <v/>
      </c>
      <c r="EE16" s="79" t="n"/>
      <c r="EF16" s="6" t="n"/>
      <c r="EG16" s="79" t="n"/>
      <c r="EH16" s="6" t="n"/>
      <c r="EI16" s="79" t="n"/>
      <c r="EJ16" s="6" t="n"/>
      <c r="EK16" s="79" t="n"/>
      <c r="EL16" s="6" t="n"/>
      <c r="EM16" s="79" t="n"/>
      <c r="EN16" s="18" t="n"/>
      <c r="EO16" s="79" t="n"/>
      <c r="EP16" s="79" t="n"/>
      <c r="EQ16" s="79" t="n"/>
      <c r="ER16" s="79" t="n"/>
      <c r="ES16" s="79" t="n"/>
      <c r="ET16" s="79" t="n"/>
      <c r="EU16" s="79" t="n"/>
      <c r="EV16" s="79" t="n"/>
      <c r="EW16" s="18" t="n"/>
      <c r="EX16" s="19" t="n"/>
      <c r="EY16" s="6" t="n"/>
      <c r="EZ16" s="79" t="n"/>
      <c r="FA16" s="6" t="n"/>
      <c r="FB16" s="79" t="n"/>
      <c r="FC16" s="6" t="n"/>
      <c r="FD16" s="79" t="n"/>
      <c r="FE16" s="6" t="n"/>
      <c r="FF16" s="79" t="n"/>
      <c r="FG16" s="6" t="n"/>
      <c r="FH16" s="79" t="n"/>
      <c r="FI16" s="18">
        <f>IF(COUNTA(EE16:FH16)=0, "", SUMPRODUCT(--ISNUMBER(SEARCH("m", EE16:FH16))))</f>
        <v/>
      </c>
      <c r="FJ16" s="79">
        <f>IF(COUNTA(EE16:FH16)=0, "", COUNTA(EE16:FH16) - SUMPRODUCT(--ISNUMBER(SEARCH("m", EE16:FH16))))</f>
        <v/>
      </c>
      <c r="FK16" s="79" t="n"/>
      <c r="FL16" s="79" t="n"/>
      <c r="FM16" s="79" t="n"/>
      <c r="FN16" s="79" t="n"/>
      <c r="FO16" s="79" t="n"/>
      <c r="FP16" s="79" t="n"/>
      <c r="FQ16" s="79" t="n"/>
      <c r="FR16" s="18" t="n"/>
      <c r="FS16" s="19" t="n"/>
      <c r="FT16" s="6" t="n"/>
      <c r="FU16" s="79" t="n"/>
      <c r="FV16" s="6" t="n"/>
      <c r="FW16" s="79" t="n"/>
      <c r="FX16" s="6" t="n"/>
      <c r="FY16" s="79" t="n"/>
      <c r="FZ16" s="6" t="n"/>
      <c r="GA16" s="79" t="n"/>
      <c r="GB16" s="6" t="n"/>
      <c r="GC16" s="79" t="n"/>
      <c r="GD16" s="18" t="n"/>
      <c r="GE16" s="80">
        <f>IFERROR(ROUND(AVERAGE(FK16,FM16,FO16,FQ16,FS16,FU16,FW16,FY16,GA16,GC16), 2), "")</f>
        <v/>
      </c>
      <c r="GF16" s="79" t="n"/>
      <c r="GG16" s="79" t="n"/>
      <c r="GH16" s="79" t="n"/>
      <c r="GI16" s="79" t="n"/>
      <c r="GJ16" s="79" t="n"/>
      <c r="GK16" s="79" t="n"/>
      <c r="GL16" s="79" t="n"/>
      <c r="GM16" s="18" t="n"/>
      <c r="GN16" s="19" t="n"/>
      <c r="GO16" s="6" t="n"/>
      <c r="GP16" s="79" t="n"/>
      <c r="GQ16" s="6" t="n"/>
      <c r="GR16" s="79" t="n"/>
      <c r="GS16" s="6" t="n"/>
      <c r="GT16" s="79" t="n"/>
      <c r="GU16" s="6" t="n"/>
      <c r="GV16" s="79" t="n"/>
      <c r="GW16" s="6" t="n"/>
      <c r="GX16" s="79" t="n"/>
      <c r="GY16" s="18" t="n"/>
      <c r="GZ16" s="79" t="n"/>
      <c r="HA16" s="79" t="n"/>
      <c r="HB16" s="79" t="n"/>
      <c r="HC16" s="79" t="n"/>
      <c r="HD16" s="79" t="n"/>
      <c r="HE16" s="79" t="n"/>
      <c r="HF16" s="79" t="n"/>
      <c r="HG16" s="79" t="n"/>
      <c r="HH16" s="18" t="n"/>
      <c r="HI16" s="19" t="n"/>
      <c r="HJ16" s="6">
        <f>IF(COUNTA(GF16:HI16)=0, "", SUMPRODUCT(--ISNUMBER(SEARCH("m", GF16:HI16))))</f>
        <v/>
      </c>
      <c r="HK16" s="79">
        <f>IF(COUNTA(GF16:HI16)=0, "", COUNTA(GF16:HI16) - SUMPRODUCT(--ISNUMBER(SEARCH("m", GF16:HI16))))</f>
        <v/>
      </c>
      <c r="HL16" s="6" t="n"/>
      <c r="HM16" s="79" t="n"/>
      <c r="HN16" s="6" t="n"/>
      <c r="HO16" s="79" t="n"/>
      <c r="HP16" s="6" t="n"/>
      <c r="HQ16" s="79" t="n"/>
      <c r="HR16" s="6" t="n"/>
      <c r="HS16" s="79" t="n"/>
      <c r="HT16" s="18" t="n"/>
      <c r="HU16" s="79" t="n"/>
      <c r="HV16" s="79" t="n"/>
      <c r="HW16" s="79" t="n"/>
      <c r="HX16" s="79" t="n"/>
      <c r="HY16" s="79" t="n"/>
      <c r="HZ16" s="79" t="n"/>
      <c r="IA16" s="79" t="n"/>
      <c r="IB16" s="79" t="n"/>
      <c r="IC16" s="18" t="n"/>
      <c r="ID16" s="19" t="n"/>
      <c r="IE16" s="6" t="n"/>
      <c r="IF16" s="80">
        <f>IFERROR(ROUND(AVERAGE(HL16,HN16,HP16,HR16,HT16,HV16,HX16,HZ16,IB16,ID16), 2), "")</f>
        <v/>
      </c>
      <c r="IG16" s="6" t="n"/>
      <c r="IH16" s="79" t="n"/>
      <c r="II16" s="6" t="n"/>
      <c r="IJ16" s="79" t="n"/>
      <c r="IK16" s="6" t="n"/>
      <c r="IL16" s="79" t="n"/>
      <c r="IM16" s="6" t="n"/>
      <c r="IN16" s="79" t="n"/>
      <c r="IO16" s="18" t="n"/>
      <c r="IP16" s="79" t="n"/>
      <c r="IQ16" s="79" t="n"/>
      <c r="IR16" s="79" t="n"/>
      <c r="IS16" s="79" t="n"/>
      <c r="IT16" s="79" t="n"/>
      <c r="IU16" s="79" t="n"/>
      <c r="IV16" s="79" t="n"/>
      <c r="IW16" s="79" t="n"/>
      <c r="IX16" s="18" t="n"/>
      <c r="IY16" s="19" t="n"/>
      <c r="IZ16" s="6" t="n"/>
      <c r="JA16" s="79" t="n"/>
      <c r="JB16" s="6" t="n"/>
      <c r="JC16" s="79" t="n"/>
      <c r="JD16" s="6" t="n"/>
      <c r="JE16" s="79" t="n"/>
      <c r="JF16" s="6" t="n"/>
      <c r="JG16" s="79" t="n"/>
      <c r="JH16" s="6" t="n"/>
      <c r="JI16" s="79" t="n"/>
      <c r="JJ16" s="18" t="n"/>
      <c r="JK16" s="79">
        <f>IF(COUNTA(IG16:JJ16)=0, "", SUMPRODUCT(--ISNUMBER(SEARCH("m", IG16:JJ16))))</f>
        <v/>
      </c>
      <c r="JL16" s="79">
        <f>IF(COUNTA(IG16:JJ16)=0, "", COUNTA(IG16:JJ16) - SUMPRODUCT(--ISNUMBER(SEARCH("m", IG16:JJ16))))</f>
        <v/>
      </c>
      <c r="JM16" s="79" t="n"/>
      <c r="JN16" s="79" t="n"/>
      <c r="JO16" s="79" t="n"/>
      <c r="JP16" s="79" t="n"/>
      <c r="JQ16" s="79" t="n"/>
      <c r="JR16" s="79" t="n"/>
      <c r="JS16" s="18" t="n"/>
      <c r="JT16" s="19" t="n"/>
      <c r="JU16" s="6" t="n"/>
      <c r="JV16" s="79" t="n"/>
      <c r="JW16" s="6" t="n"/>
      <c r="JX16" s="79" t="n"/>
      <c r="JY16" s="6" t="n"/>
      <c r="JZ16" s="79" t="n"/>
      <c r="KA16" s="6" t="n"/>
      <c r="KB16" s="79" t="n"/>
      <c r="KC16" s="6" t="n"/>
      <c r="KD16" s="79" t="n"/>
      <c r="KE16" s="18" t="n"/>
      <c r="KF16" s="79" t="n"/>
      <c r="KG16" s="80">
        <f>IFERROR(ROUND(AVERAGE(JM16,JO16,JQ16,JS16,JU16,JW16,JY16,KA16,KC16,KE16), 2), "")</f>
        <v/>
      </c>
      <c r="KH16" s="79" t="n"/>
      <c r="KI16" s="79" t="n"/>
      <c r="KJ16" s="79" t="n"/>
      <c r="KK16" s="79" t="n"/>
      <c r="KL16" s="79" t="n"/>
      <c r="KM16" s="79" t="n"/>
      <c r="KN16" s="18" t="n"/>
      <c r="KO16" s="19" t="n"/>
      <c r="KP16" s="6" t="n"/>
      <c r="KQ16" s="6" t="n"/>
      <c r="KR16" s="6" t="n"/>
      <c r="KS16" s="6" t="n"/>
      <c r="KT16" s="6" t="n"/>
      <c r="KU16" s="6" t="n"/>
      <c r="KV16" s="6" t="n"/>
      <c r="KW16" s="6" t="n"/>
      <c r="KX16" s="6" t="n"/>
      <c r="KY16" s="6" t="n"/>
      <c r="KZ16" s="6" t="n"/>
      <c r="LA16" s="6" t="n"/>
      <c r="LB16" s="6" t="n"/>
      <c r="LC16" s="6" t="n"/>
      <c r="LD16" s="6" t="n"/>
      <c r="LE16" s="6" t="n"/>
      <c r="LF16" s="6" t="n"/>
      <c r="LG16" s="6" t="n"/>
      <c r="LH16" s="6" t="n"/>
      <c r="LI16" s="6" t="n"/>
      <c r="LJ16" s="6" t="n"/>
      <c r="LK16" s="6" t="n"/>
      <c r="LL16" s="6">
        <f>IF(COUNTA(KH16:LK16)=0, "", SUMPRODUCT(--ISNUMBER(SEARCH("m", KH16:LK16))))</f>
        <v/>
      </c>
      <c r="LM16" s="6">
        <f>IF(COUNTA(KH16:LK16)=0, "", COUNTA(KH16:LK16) - SUMPRODUCT(--ISNUMBER(SEARCH("m", KH16:LK16))))</f>
        <v/>
      </c>
      <c r="LN16" s="6" t="n"/>
      <c r="LO16" s="6" t="n"/>
      <c r="LP16" s="6" t="n"/>
      <c r="LQ16" s="6" t="n"/>
      <c r="LR16" s="6" t="n"/>
      <c r="LS16" s="6" t="n"/>
      <c r="LT16" s="6" t="n"/>
      <c r="LU16" s="6" t="n"/>
      <c r="LV16" s="6" t="n"/>
      <c r="LW16" s="6" t="n"/>
      <c r="LX16" s="6" t="n"/>
      <c r="LY16" s="6" t="n"/>
      <c r="LZ16" s="6" t="n"/>
      <c r="MA16" s="6" t="n"/>
      <c r="MB16" s="6" t="n"/>
      <c r="MC16" s="6" t="n"/>
      <c r="MD16" s="6" t="n"/>
      <c r="ME16" s="6" t="n"/>
      <c r="MF16" s="6" t="n"/>
      <c r="MG16" s="6" t="n"/>
      <c r="MH16" s="20">
        <f>IFERROR(ROUND(AVERAGE(LN16,LP16,LR16,LT16,LV16,LX16,LZ16,MB16,MD16,MF16), 2), "")</f>
        <v/>
      </c>
      <c r="MI16" s="6" t="n"/>
      <c r="MJ16" s="6" t="n"/>
      <c r="MK16" s="6" t="n"/>
      <c r="ML16" s="6" t="n"/>
      <c r="MM16" s="6" t="n"/>
      <c r="MN16" s="6" t="n"/>
      <c r="MO16" s="6" t="n"/>
      <c r="MP16" s="6" t="n"/>
      <c r="MQ16" s="6" t="n"/>
      <c r="MR16" s="6" t="n"/>
      <c r="MS16" s="6" t="n"/>
      <c r="MT16" s="6" t="n"/>
      <c r="MU16" s="6" t="n"/>
      <c r="MV16" s="6" t="n"/>
      <c r="MW16" s="6" t="n"/>
      <c r="MX16" s="6" t="n"/>
      <c r="MY16" s="6" t="n"/>
      <c r="MZ16" s="6" t="n"/>
      <c r="NA16" s="6" t="n"/>
      <c r="NB16" s="6" t="n"/>
      <c r="NC16" s="6" t="n"/>
      <c r="ND16" s="6" t="n"/>
      <c r="NE16" s="6" t="n"/>
      <c r="NF16" s="6" t="n"/>
      <c r="NG16" s="6" t="n"/>
      <c r="NH16" s="6" t="n"/>
      <c r="NI16" s="6" t="n"/>
      <c r="NJ16" s="6" t="n"/>
      <c r="NK16" s="6" t="n"/>
      <c r="NL16" s="6" t="n"/>
      <c r="NM16" s="6">
        <f>IF(COUNTA(MI16:NL16)=0, "", SUMPRODUCT(--ISNUMBER(SEARCH("m", MI16:NL16))))</f>
        <v/>
      </c>
      <c r="NN16" s="6">
        <f>IF(COUNTA(MI16:NL16)=0, "", COUNTA(MI16:NL16) - SUMPRODUCT(--ISNUMBER(SEARCH("m", MI16:NL16))))</f>
        <v/>
      </c>
      <c r="NO16" s="6" t="n"/>
      <c r="NP16" s="6" t="n"/>
      <c r="NQ16" s="6" t="n"/>
      <c r="NR16" s="6" t="n"/>
      <c r="NS16" s="6" t="n"/>
      <c r="NT16" s="6" t="n"/>
      <c r="NU16" s="6" t="n"/>
      <c r="NV16" s="6" t="n"/>
      <c r="NW16" s="6" t="n"/>
      <c r="NX16" s="6" t="n"/>
      <c r="NY16" s="6" t="n"/>
      <c r="NZ16" s="6" t="n"/>
      <c r="OA16" s="6" t="n"/>
      <c r="OB16" s="6" t="n"/>
      <c r="OC16" s="6" t="n"/>
      <c r="OD16" s="6" t="n"/>
      <c r="OE16" s="6" t="n"/>
      <c r="OF16" s="6" t="n"/>
      <c r="OG16" s="6" t="n"/>
      <c r="OH16" s="6" t="n"/>
      <c r="OI16" s="20">
        <f>IFERROR(ROUND(AVERAGE(NO16,NQ16,NS16,NU16,NW16,NY16,OA16,OC16,OE16,OG16), 2), "")</f>
        <v/>
      </c>
      <c r="OJ16" s="6" t="n"/>
      <c r="OK16" s="6" t="n"/>
      <c r="OL16" s="6" t="n"/>
      <c r="OM16" s="6" t="n"/>
      <c r="ON16" s="6" t="n"/>
      <c r="OO16" s="6" t="n"/>
      <c r="OP16" s="6" t="n"/>
      <c r="OQ16" s="6" t="n"/>
      <c r="OR16" s="6" t="n"/>
      <c r="OS16" s="6" t="n"/>
      <c r="OT16" s="6" t="n"/>
      <c r="OU16" s="6" t="n"/>
      <c r="OV16" s="6" t="n"/>
      <c r="OW16" s="6" t="n"/>
      <c r="OX16" s="6" t="n"/>
      <c r="OY16" s="6" t="n"/>
      <c r="OZ16" s="6" t="n"/>
      <c r="PA16" s="6" t="n"/>
      <c r="PB16" s="6" t="n"/>
      <c r="PC16" s="6" t="n"/>
      <c r="PD16" s="6" t="n"/>
      <c r="PE16" s="6" t="n"/>
      <c r="PF16" s="6" t="n"/>
      <c r="PG16" s="6" t="n"/>
      <c r="PH16" s="6" t="n"/>
      <c r="PI16" s="6" t="n"/>
      <c r="PJ16" s="6" t="n"/>
      <c r="PK16" s="6" t="n"/>
      <c r="PL16" s="6" t="n"/>
      <c r="PM16" s="6" t="n"/>
      <c r="PN16" s="6">
        <f>IF(COUNTA(OJ16:PM16)=0, "", SUMPRODUCT(--ISNUMBER(SEARCH("m", OJ16:PM16))))</f>
        <v/>
      </c>
      <c r="PO16" s="6">
        <f>IF(COUNTA(OJ16:PM16)=0, "", COUNTA(OJ16:PM16) - SUMPRODUCT(--ISNUMBER(SEARCH("m", OJ16:PM16))))</f>
        <v/>
      </c>
      <c r="PP16" s="6" t="n"/>
      <c r="PQ16" s="6" t="n"/>
      <c r="PR16" s="6" t="n"/>
      <c r="PS16" s="6" t="n"/>
      <c r="PT16" s="6" t="n"/>
      <c r="PU16" s="6" t="n"/>
      <c r="PV16" s="6" t="n"/>
      <c r="PW16" s="6" t="n"/>
      <c r="PX16" s="6" t="n"/>
      <c r="PY16" s="6" t="n"/>
      <c r="PZ16" s="6" t="n"/>
      <c r="QA16" s="6" t="n"/>
      <c r="QB16" s="6" t="n"/>
      <c r="QC16" s="6" t="n"/>
      <c r="QD16" s="6" t="n"/>
      <c r="QE16" s="6" t="n"/>
      <c r="QF16" s="6" t="n"/>
      <c r="QG16" s="6" t="n"/>
      <c r="QH16" s="6" t="n"/>
      <c r="QI16" s="6" t="n"/>
      <c r="QJ16" s="20">
        <f>IFERROR(ROUND(AVERAGE(PP16,PR16,PT16,PV16,PX16,PZ16,QB16,QD16,QF16,QH16), 2), "")</f>
        <v/>
      </c>
      <c r="QK16" s="6" t="n"/>
      <c r="QL16" s="6" t="n"/>
      <c r="QM16" s="6" t="n"/>
      <c r="QN16" s="6" t="n"/>
      <c r="QO16" s="6" t="n"/>
      <c r="QP16" s="6" t="n"/>
      <c r="QQ16" s="6" t="n"/>
      <c r="QR16" s="6" t="n"/>
      <c r="QS16" s="6" t="n"/>
      <c r="QT16" s="6" t="n"/>
      <c r="QU16" s="6" t="n"/>
      <c r="QV16" s="6" t="n"/>
      <c r="QW16" s="6" t="n"/>
      <c r="QX16" s="6" t="n"/>
      <c r="QY16" s="6" t="n"/>
      <c r="QZ16" s="6" t="n"/>
      <c r="RA16" s="6" t="n"/>
      <c r="RB16" s="6" t="n"/>
      <c r="RC16" s="6" t="n"/>
      <c r="RD16" s="6" t="n"/>
      <c r="RE16" s="6" t="n"/>
      <c r="RF16" s="6" t="n"/>
      <c r="RG16" s="6" t="n"/>
      <c r="RH16" s="6" t="n"/>
      <c r="RI16" s="6" t="n"/>
      <c r="RJ16" s="6" t="n"/>
      <c r="RK16" s="6" t="n"/>
      <c r="RL16" s="6" t="n"/>
      <c r="RM16" s="6" t="n"/>
      <c r="RN16" s="6" t="n"/>
      <c r="RO16" s="6">
        <f>IF(COUNTA(QK16:RN16)=0, "", SUMPRODUCT(--ISNUMBER(SEARCH("m", QK16:RN16))))</f>
        <v/>
      </c>
      <c r="RP16" s="6">
        <f>IF(COUNTA(QK16:RN16)=0, "", COUNTA(QK16:RN16) - SUMPRODUCT(--ISNUMBER(SEARCH("m", QK16:RN16))))</f>
        <v/>
      </c>
      <c r="RQ16" s="6" t="n"/>
      <c r="RR16" s="6" t="n"/>
      <c r="RS16" s="6" t="n"/>
      <c r="RT16" s="6" t="n"/>
      <c r="RU16" s="6" t="n"/>
      <c r="RV16" s="6" t="n"/>
      <c r="RW16" s="6" t="n"/>
      <c r="RX16" s="6" t="n"/>
      <c r="RY16" s="6" t="n"/>
      <c r="RZ16" s="6" t="n"/>
      <c r="SA16" s="6" t="n"/>
      <c r="SB16" s="6" t="n"/>
      <c r="SC16" s="6" t="n"/>
      <c r="SD16" s="6" t="n"/>
      <c r="SE16" s="6" t="n"/>
      <c r="SF16" s="6" t="n"/>
      <c r="SG16" s="6" t="n"/>
      <c r="SH16" s="6" t="n"/>
      <c r="SI16" s="6" t="n"/>
      <c r="SJ16" s="6" t="n"/>
      <c r="SK16" s="20">
        <f>IFERROR(ROUND(AVERAGE(RQ16,RS16,RU16,RW16,RY16,SA16,SC16,SE16,SG16,SI16), 2), "")</f>
        <v/>
      </c>
      <c r="SL16" s="6" t="n"/>
      <c r="SM16" s="6" t="n"/>
      <c r="SN16" s="6" t="n"/>
      <c r="SO16" s="6" t="n"/>
      <c r="SP16" s="6" t="n"/>
      <c r="SQ16" s="6" t="n"/>
      <c r="SR16" s="6" t="n"/>
      <c r="SS16" s="6" t="n"/>
      <c r="ST16" s="6" t="n"/>
      <c r="SU16" s="6" t="n"/>
      <c r="SV16" s="6" t="n"/>
      <c r="SW16" s="6" t="n"/>
      <c r="SX16" s="6" t="n"/>
      <c r="SY16" s="6" t="n"/>
      <c r="SZ16" s="6" t="n"/>
      <c r="TA16" s="6" t="n"/>
      <c r="TB16" s="6" t="n"/>
      <c r="TC16" s="6" t="n"/>
      <c r="TD16" s="6" t="n"/>
      <c r="TE16" s="6" t="n"/>
      <c r="TF16" s="6" t="n"/>
      <c r="TG16" s="6" t="n"/>
      <c r="TH16" s="6" t="n"/>
      <c r="TI16" s="6" t="n"/>
      <c r="TJ16" s="6" t="n"/>
      <c r="TK16" s="6" t="n"/>
      <c r="TL16" s="6" t="n"/>
      <c r="TM16" s="6" t="n"/>
      <c r="TN16" s="6" t="n"/>
      <c r="TO16" s="6" t="n"/>
      <c r="TP16" s="6">
        <f>IF(COUNTA(SL16:TO16)=0, "", SUMPRODUCT(--ISNUMBER(SEARCH("m", SL16:TO16))))</f>
        <v/>
      </c>
      <c r="TQ16" s="6">
        <f>IF(COUNTA(SL16:TO16)=0, "", COUNTA(SL16:TO16) - SUMPRODUCT(--ISNUMBER(SEARCH("m", SL16:TO16))))</f>
        <v/>
      </c>
      <c r="TR16" s="6" t="n"/>
      <c r="TS16" s="6" t="n"/>
      <c r="TT16" s="6" t="n"/>
      <c r="TU16" s="6" t="n"/>
      <c r="TV16" s="6" t="n"/>
      <c r="TW16" s="6" t="n"/>
      <c r="TX16" s="6" t="n"/>
      <c r="TY16" s="6" t="n"/>
      <c r="TZ16" s="6" t="n"/>
      <c r="UA16" s="6" t="n"/>
      <c r="UB16" s="6" t="n"/>
      <c r="UC16" s="6" t="n"/>
      <c r="UD16" s="6" t="n"/>
      <c r="UE16" s="6" t="n"/>
      <c r="UF16" s="6" t="n"/>
      <c r="UG16" s="6" t="n"/>
      <c r="UH16" s="6" t="n"/>
      <c r="UI16" s="6" t="n"/>
      <c r="UJ16" s="6" t="n"/>
      <c r="UK16" s="6" t="n"/>
      <c r="UL16" s="20">
        <f>IFERROR(ROUND(AVERAGE(TR16,TT16,TV16,TX16,TZ16,UB16,UD16,UF16,UH16,UJ16), 2), "")</f>
        <v/>
      </c>
      <c r="UM16" s="6" t="n"/>
      <c r="UN16" s="6" t="n"/>
      <c r="UO16" s="6" t="n"/>
      <c r="UP16" s="6" t="n"/>
      <c r="UQ16" s="6" t="n"/>
      <c r="UR16" s="6" t="n"/>
      <c r="US16" s="6" t="n"/>
      <c r="UT16" s="6" t="n"/>
      <c r="UU16" s="6" t="n"/>
      <c r="UV16" s="6" t="n"/>
      <c r="UW16" s="6" t="n"/>
      <c r="UX16" s="6" t="n"/>
      <c r="UY16" s="6" t="n"/>
      <c r="UZ16" s="6" t="n"/>
      <c r="VA16" s="6" t="n"/>
      <c r="VB16" s="6" t="n"/>
      <c r="VC16" s="6" t="n"/>
      <c r="VD16" s="6" t="n"/>
      <c r="VE16" s="6" t="n"/>
      <c r="VF16" s="6" t="n"/>
      <c r="VG16" s="6" t="n"/>
      <c r="VH16" s="6" t="n"/>
      <c r="VI16" s="6" t="n"/>
      <c r="VJ16" s="6" t="n"/>
      <c r="VK16" s="6" t="n"/>
      <c r="VL16" s="6" t="n"/>
      <c r="VM16" s="6" t="n"/>
      <c r="VN16" s="6" t="n"/>
      <c r="VO16" s="6" t="n"/>
      <c r="VP16" s="6" t="n"/>
      <c r="VQ16" s="6">
        <f>IF(COUNTA(UM16:VP16)=0, "", SUMPRODUCT(--ISNUMBER(SEARCH("m", UM16:VP16))))</f>
        <v/>
      </c>
      <c r="VR16" s="6">
        <f>IF(COUNTA(UM16:VP16)=0, "", COUNTA(UM16:VP16) - SUMPRODUCT(--ISNUMBER(SEARCH("m", UM16:VP16))))</f>
        <v/>
      </c>
      <c r="VS16" s="6" t="n"/>
      <c r="VT16" s="6" t="n"/>
      <c r="VU16" s="6" t="n"/>
      <c r="VV16" s="6" t="n"/>
      <c r="VW16" s="6" t="n"/>
      <c r="VX16" s="6" t="n"/>
      <c r="VY16" s="6" t="n"/>
      <c r="VZ16" s="6" t="n"/>
      <c r="WA16" s="6" t="n"/>
      <c r="WB16" s="6" t="n"/>
      <c r="WC16" s="6" t="n"/>
      <c r="WD16" s="6" t="n"/>
      <c r="WE16" s="6" t="n"/>
      <c r="WF16" s="6" t="n"/>
      <c r="WG16" s="6" t="n"/>
      <c r="WH16" s="6" t="n"/>
      <c r="WI16" s="6" t="n"/>
      <c r="WJ16" s="6" t="n"/>
      <c r="WK16" s="6" t="n"/>
      <c r="WL16" s="6" t="n"/>
      <c r="WM16" s="20">
        <f>IFERROR(ROUND(AVERAGE(VS16,VU16,VW16,VY16,WA16,WC16,WE16,WG16,WI16,WK16), 2), "")</f>
        <v/>
      </c>
      <c r="WN16" s="6" t="n"/>
      <c r="WO16" s="6" t="n"/>
      <c r="WP16" s="6" t="n"/>
      <c r="WQ16" s="6" t="n"/>
      <c r="WR16" s="6" t="n"/>
      <c r="WS16" s="6" t="n"/>
      <c r="WT16" s="6" t="n"/>
      <c r="WU16" s="6" t="n"/>
      <c r="WV16" s="6" t="n"/>
      <c r="WW16" s="6" t="n"/>
      <c r="WX16" s="6" t="n"/>
      <c r="WY16" s="6" t="n"/>
      <c r="WZ16" s="6" t="n"/>
      <c r="XA16" s="6" t="n"/>
      <c r="XB16" s="6" t="n"/>
      <c r="XC16" s="6" t="n"/>
      <c r="XD16" s="6" t="n"/>
      <c r="XE16" s="6" t="n"/>
      <c r="XF16" s="6" t="n"/>
      <c r="XG16" s="6" t="n"/>
      <c r="XH16" s="6" t="n"/>
      <c r="XI16" s="6" t="n"/>
      <c r="XJ16" s="6" t="n"/>
      <c r="XK16" s="6" t="n"/>
      <c r="XL16" s="6" t="n"/>
      <c r="XM16" s="6" t="n"/>
      <c r="XN16" s="6" t="n"/>
      <c r="XO16" s="6" t="n"/>
      <c r="XP16" s="6" t="n"/>
      <c r="XQ16" s="6" t="n"/>
      <c r="XR16" s="6">
        <f>IF(COUNTA(WN16:XQ16)=0, "", SUMPRODUCT(--ISNUMBER(SEARCH("m", WN16:XQ16))))</f>
        <v/>
      </c>
      <c r="XS16" s="6">
        <f>IF(COUNTA(WN16:XQ16)=0, "", COUNTA(WN16:XQ16) - SUMPRODUCT(--ISNUMBER(SEARCH("m", WN16:XQ16))))</f>
        <v/>
      </c>
      <c r="XT16" s="6" t="n"/>
      <c r="XU16" s="6" t="n"/>
      <c r="XV16" s="6" t="n"/>
      <c r="XW16" s="6" t="n"/>
      <c r="XX16" s="6" t="n"/>
      <c r="XY16" s="6" t="n"/>
      <c r="XZ16" s="6" t="n"/>
      <c r="YA16" s="6" t="n"/>
      <c r="YB16" s="6" t="n"/>
      <c r="YC16" s="6" t="n"/>
      <c r="YD16" s="6" t="n"/>
      <c r="YE16" s="6" t="n"/>
      <c r="YF16" s="6" t="n"/>
      <c r="YG16" s="6" t="n"/>
      <c r="YH16" s="6" t="n"/>
      <c r="YI16" s="6" t="n"/>
      <c r="YJ16" s="6" t="n"/>
      <c r="YK16" s="6" t="n"/>
      <c r="YL16" s="6" t="n"/>
      <c r="YM16" s="6" t="n"/>
      <c r="YN16" s="20">
        <f>IFERROR(ROUND(AVERAGE(XT16,XV16,XX16,XZ16,YB16,YD16,YF16,YH16,YJ16,YL16), 2), "")</f>
        <v/>
      </c>
      <c r="YO16" s="6" t="n"/>
      <c r="YP16" s="6" t="n"/>
      <c r="YQ16" s="6" t="n"/>
      <c r="YR16" s="6" t="n"/>
      <c r="YS16" s="6" t="n"/>
      <c r="YT16" s="6" t="n"/>
      <c r="YU16" s="6" t="n"/>
      <c r="YV16" s="6" t="n"/>
      <c r="YW16" s="6" t="n"/>
      <c r="YX16" s="6" t="n"/>
      <c r="YY16" s="6" t="n"/>
      <c r="YZ16" s="6" t="n"/>
      <c r="ZA16" s="6" t="n"/>
      <c r="ZB16" s="6" t="n"/>
      <c r="ZC16" s="6" t="n"/>
      <c r="ZD16" s="6" t="n"/>
      <c r="ZE16" s="6" t="n"/>
      <c r="ZF16" s="6" t="n"/>
      <c r="ZG16" s="6" t="n"/>
      <c r="ZH16" s="6" t="n"/>
      <c r="ZI16" s="6" t="n"/>
      <c r="ZJ16" s="6" t="n"/>
      <c r="ZK16" s="6" t="n"/>
      <c r="ZL16" s="6" t="n"/>
      <c r="ZM16" s="6" t="n"/>
      <c r="ZN16" s="6" t="n"/>
      <c r="ZO16" s="6" t="n"/>
      <c r="ZP16" s="6" t="n"/>
      <c r="ZQ16" s="6" t="n"/>
      <c r="ZR16" s="6" t="n"/>
      <c r="ZS16" s="6">
        <f>IF(COUNTA(YO16:ZR16)=0, "", SUMPRODUCT(--ISNUMBER(SEARCH("m", YO16:ZR16))))</f>
        <v/>
      </c>
      <c r="ZT16" s="6">
        <f>IF(COUNTA(YO16:ZR16)=0, "", COUNTA(YO16:ZR16) - SUMPRODUCT(--ISNUMBER(SEARCH("m", YO16:ZR16))))</f>
        <v/>
      </c>
      <c r="ZU16" s="6" t="n"/>
      <c r="ZV16" s="6" t="n"/>
      <c r="ZW16" s="6" t="n"/>
      <c r="ZX16" s="6" t="n"/>
      <c r="ZY16" s="6" t="n"/>
      <c r="ZZ16" s="6" t="n"/>
      <c r="AAA16" s="6" t="n"/>
      <c r="AAB16" s="6" t="n"/>
      <c r="AAC16" s="6" t="n"/>
      <c r="AAD16" s="6" t="n"/>
      <c r="AAE16" s="6" t="n"/>
      <c r="AAF16" s="6" t="n"/>
      <c r="AAG16" s="6" t="n"/>
      <c r="AAH16" s="6" t="n"/>
      <c r="AAI16" s="6" t="n"/>
      <c r="AAJ16" s="6" t="n"/>
      <c r="AAK16" s="6" t="n"/>
      <c r="AAL16" s="6" t="n"/>
      <c r="AAM16" s="6" t="n"/>
      <c r="AAN16" s="6" t="n"/>
      <c r="AAO16" s="20">
        <f>IFERROR(ROUND(AVERAGE(ZU16,ZW16,ZY16,AAA16,AAC16,AAE16,AAG16,AAI16,AAK16,AAM16), 2), "")</f>
        <v/>
      </c>
      <c r="AAP16" s="6" t="n"/>
      <c r="AAQ16" s="6" t="n"/>
      <c r="AAR16" s="6" t="n"/>
      <c r="AAS16" s="6" t="n"/>
      <c r="AAT16" s="6" t="n"/>
      <c r="AAU16" s="6" t="n"/>
      <c r="AAV16" s="6" t="n"/>
      <c r="AAW16" s="6" t="n"/>
      <c r="AAX16" s="6" t="n"/>
      <c r="AAY16" s="6" t="n"/>
      <c r="AAZ16" s="6" t="n"/>
      <c r="ABA16" s="6" t="n"/>
      <c r="ABB16" s="6" t="n"/>
      <c r="ABC16" s="6" t="n"/>
      <c r="ABD16" s="6" t="n"/>
      <c r="ABE16" s="6" t="n"/>
      <c r="ABF16" s="6" t="n"/>
      <c r="ABG16" s="6" t="n"/>
      <c r="ABH16" s="6" t="n"/>
      <c r="ABI16" s="6" t="n"/>
      <c r="ABJ16" s="6" t="n"/>
      <c r="ABK16" s="6" t="n"/>
      <c r="ABL16" s="6" t="n"/>
      <c r="ABM16" s="6" t="n"/>
      <c r="ABN16" s="6" t="n"/>
      <c r="ABO16" s="6" t="n"/>
      <c r="ABP16" s="6" t="n"/>
      <c r="ABQ16" s="6" t="n"/>
      <c r="ABR16" s="6" t="n"/>
      <c r="ABS16" s="6" t="n"/>
      <c r="ABT16" s="6">
        <f>IF(COUNTA(AAP16:ABS16)=0, "", SUMPRODUCT(--ISNUMBER(SEARCH("m", AAP16:ABS16))))</f>
        <v/>
      </c>
      <c r="ABU16" s="6">
        <f>IF(COUNTA(AAP16:ABS16)=0, "", COUNTA(AAP16:ABS16) - SUMPRODUCT(--ISNUMBER(SEARCH("m", AAP16:ABS16))))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8">
        <f>IFERROR(ROUND(AVERAGE(AB17,CC17,ED17,GE17,IF17,KG17,MH17,OI17,QJ17,SK17,UL17,WM17,YN17,AAO17), 2), "")</f>
        <v/>
      </c>
      <c r="F17" s="14">
        <f>IF(SUM(BH17,DI17,FJ17,HK17,JL17,LM17,NN17,PO17,RP17,TQ17,VR17,XS17,ZT17,ABU17)=0, "", SUM(BH17,DI17,FJ17,HK17,JL17,LM17,NN17,PO17,RP17,TQ17,VR17,XS17,ZT17,ABU17))</f>
        <v/>
      </c>
      <c r="G17" s="8">
        <f>IF(SUM(BG17,DH17,FI17,HJ17,JK17,LL17,NM17,PN17,RO17,TP17,VQ17,XR17,ZS17,ABT17)=0, "", SUM(BG17,DH17,FI17,HJ17,JK17,LL17,NM17,PN17,RO17,TP17,VQ17,XR17,ZS17,ABT17))</f>
        <v/>
      </c>
      <c r="H17" s="6" t="n"/>
      <c r="I17" s="79" t="n"/>
      <c r="J17" s="6" t="n"/>
      <c r="K17" s="79" t="n"/>
      <c r="L17" s="6" t="n"/>
      <c r="M17" s="79" t="n"/>
      <c r="N17" s="6" t="n"/>
      <c r="O17" s="79" t="n"/>
      <c r="P17" s="6" t="n"/>
      <c r="Q17" s="79" t="n"/>
      <c r="R17" s="18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18" t="n"/>
      <c r="AB17" s="14">
        <f>IFERROR(ROUND(AVERAGE(H17,J17,L17,N17,P17,R17,T17,V17,X17,Z17), 2), "")</f>
        <v/>
      </c>
      <c r="AC17" s="6" t="n"/>
      <c r="AD17" s="79" t="n"/>
      <c r="AE17" s="6" t="n"/>
      <c r="AF17" s="79" t="n"/>
      <c r="AG17" s="6" t="n"/>
      <c r="AH17" s="79" t="n"/>
      <c r="AI17" s="6" t="n"/>
      <c r="AJ17" s="79" t="n"/>
      <c r="AK17" s="6" t="n"/>
      <c r="AL17" s="79" t="n"/>
      <c r="AM17" s="18" t="n"/>
      <c r="AN17" s="79" t="n"/>
      <c r="AO17" s="79" t="n"/>
      <c r="AP17" s="79" t="n"/>
      <c r="AQ17" s="79" t="n"/>
      <c r="AR17" s="79" t="n"/>
      <c r="AS17" s="79" t="n"/>
      <c r="AT17" s="79" t="n"/>
      <c r="AU17" s="79" t="n"/>
      <c r="AV17" s="18" t="n"/>
      <c r="AW17" s="19" t="n"/>
      <c r="AX17" s="6" t="n"/>
      <c r="AY17" s="79" t="n"/>
      <c r="AZ17" s="6" t="n"/>
      <c r="BA17" s="79" t="n"/>
      <c r="BB17" s="6" t="n"/>
      <c r="BC17" s="79" t="n"/>
      <c r="BD17" s="6" t="n"/>
      <c r="BE17" s="79" t="n"/>
      <c r="BF17" s="6" t="n"/>
      <c r="BG17" s="79">
        <f>IF(COUNTA(AC17:BF17)=0, "", SUMPRODUCT(--ISNUMBER(SEARCH("m", AC17:BF17))))</f>
        <v/>
      </c>
      <c r="BH17" s="18">
        <f>IF(COUNTA(AC17:BF17)=0, "", COUNTA(AC17:BF17) - SUMPRODUCT(--ISNUMBER(SEARCH("m", AC17:BF17))))</f>
        <v/>
      </c>
      <c r="BI17" s="79" t="n"/>
      <c r="BJ17" s="79" t="n"/>
      <c r="BK17" s="79" t="n"/>
      <c r="BL17" s="79" t="n"/>
      <c r="BM17" s="79" t="n"/>
      <c r="BN17" s="79" t="n"/>
      <c r="BO17" s="79" t="n"/>
      <c r="BP17" s="79" t="n"/>
      <c r="BQ17" s="18" t="n"/>
      <c r="BR17" s="19" t="n"/>
      <c r="BS17" s="6" t="n"/>
      <c r="BT17" s="79" t="n"/>
      <c r="BU17" s="6" t="n"/>
      <c r="BV17" s="79" t="n"/>
      <c r="BW17" s="6" t="n"/>
      <c r="BX17" s="79" t="n"/>
      <c r="BY17" s="6" t="n"/>
      <c r="BZ17" s="79" t="n"/>
      <c r="CA17" s="6" t="n"/>
      <c r="CB17" s="79" t="n"/>
      <c r="CC17" s="8">
        <f>IFERROR(ROUND(AVERAGE(BI17,BK17,BM17,BO17,BQ17,BS17,BU17,BW17,BY17,CA17), 2), "")</f>
        <v/>
      </c>
      <c r="CD17" s="79" t="n"/>
      <c r="CE17" s="79" t="n"/>
      <c r="CF17" s="79" t="n"/>
      <c r="CG17" s="79" t="n"/>
      <c r="CH17" s="79" t="n"/>
      <c r="CI17" s="79" t="n"/>
      <c r="CJ17" s="79" t="n"/>
      <c r="CK17" s="79" t="n"/>
      <c r="CL17" s="18" t="n"/>
      <c r="CM17" s="19" t="n"/>
      <c r="CN17" s="6" t="n"/>
      <c r="CO17" s="79" t="n"/>
      <c r="CP17" s="6" t="n"/>
      <c r="CQ17" s="79" t="n"/>
      <c r="CR17" s="6" t="n"/>
      <c r="CS17" s="79" t="n"/>
      <c r="CT17" s="6" t="n"/>
      <c r="CU17" s="79" t="n"/>
      <c r="CV17" s="6" t="n"/>
      <c r="CW17" s="79" t="n"/>
      <c r="CX17" s="18" t="n"/>
      <c r="CY17" s="79" t="n"/>
      <c r="CZ17" s="79" t="n"/>
      <c r="DA17" s="79" t="n"/>
      <c r="DB17" s="79" t="n"/>
      <c r="DC17" s="79" t="n"/>
      <c r="DD17" s="79" t="n"/>
      <c r="DE17" s="79" t="n"/>
      <c r="DF17" s="79" t="n"/>
      <c r="DG17" s="18" t="n"/>
      <c r="DH17" s="19">
        <f>IF(COUNTA(CD17:DG17)=0, "", SUMPRODUCT(--ISNUMBER(SEARCH("m", CD17:DG17))))</f>
        <v/>
      </c>
      <c r="DI17" s="6">
        <f>IF(COUNTA(CD17:DG17)=0, "", COUNTA(CD17:DG17) - SUMPRODUCT(--ISNUMBER(SEARCH("m", CD17:DG17))))</f>
        <v/>
      </c>
      <c r="DJ17" s="79" t="n"/>
      <c r="DK17" s="6" t="n"/>
      <c r="DL17" s="79" t="n"/>
      <c r="DM17" s="6" t="n"/>
      <c r="DN17" s="79" t="n"/>
      <c r="DO17" s="6" t="n"/>
      <c r="DP17" s="79" t="n"/>
      <c r="DQ17" s="6" t="n"/>
      <c r="DR17" s="79" t="n"/>
      <c r="DS17" s="18" t="n"/>
      <c r="DT17" s="79" t="n"/>
      <c r="DU17" s="79" t="n"/>
      <c r="DV17" s="79" t="n"/>
      <c r="DW17" s="79" t="n"/>
      <c r="DX17" s="79" t="n"/>
      <c r="DY17" s="79" t="n"/>
      <c r="DZ17" s="79" t="n"/>
      <c r="EA17" s="79" t="n"/>
      <c r="EB17" s="18" t="n"/>
      <c r="EC17" s="19" t="n"/>
      <c r="ED17" s="20">
        <f>IFERROR(ROUND(AVERAGE(DJ17,DL17,DN17,DP17,DR17,DT17,DV17,DX17,DZ17,EB17), 2), "")</f>
        <v/>
      </c>
      <c r="EE17" s="79" t="n"/>
      <c r="EF17" s="6" t="n"/>
      <c r="EG17" s="79" t="n"/>
      <c r="EH17" s="6" t="n"/>
      <c r="EI17" s="79" t="n"/>
      <c r="EJ17" s="6" t="n"/>
      <c r="EK17" s="79" t="n"/>
      <c r="EL17" s="6" t="n"/>
      <c r="EM17" s="79" t="n"/>
      <c r="EN17" s="18" t="n"/>
      <c r="EO17" s="79" t="n"/>
      <c r="EP17" s="79" t="n"/>
      <c r="EQ17" s="79" t="n"/>
      <c r="ER17" s="79" t="n"/>
      <c r="ES17" s="79" t="n"/>
      <c r="ET17" s="79" t="n"/>
      <c r="EU17" s="79" t="n"/>
      <c r="EV17" s="79" t="n"/>
      <c r="EW17" s="18" t="n"/>
      <c r="EX17" s="19" t="n"/>
      <c r="EY17" s="6" t="n"/>
      <c r="EZ17" s="79" t="n"/>
      <c r="FA17" s="6" t="n"/>
      <c r="FB17" s="79" t="n"/>
      <c r="FC17" s="6" t="n"/>
      <c r="FD17" s="79" t="n"/>
      <c r="FE17" s="6" t="n"/>
      <c r="FF17" s="79" t="n"/>
      <c r="FG17" s="6" t="n"/>
      <c r="FH17" s="79" t="n"/>
      <c r="FI17" s="18">
        <f>IF(COUNTA(EE17:FH17)=0, "", SUMPRODUCT(--ISNUMBER(SEARCH("m", EE17:FH17))))</f>
        <v/>
      </c>
      <c r="FJ17" s="79">
        <f>IF(COUNTA(EE17:FH17)=0, "", COUNTA(EE17:FH17) - SUMPRODUCT(--ISNUMBER(SEARCH("m", EE17:FH17))))</f>
        <v/>
      </c>
      <c r="FK17" s="79" t="n"/>
      <c r="FL17" s="79" t="n"/>
      <c r="FM17" s="79" t="n"/>
      <c r="FN17" s="79" t="n"/>
      <c r="FO17" s="79" t="n"/>
      <c r="FP17" s="79" t="n"/>
      <c r="FQ17" s="79" t="n"/>
      <c r="FR17" s="18" t="n"/>
      <c r="FS17" s="19" t="n"/>
      <c r="FT17" s="6" t="n"/>
      <c r="FU17" s="79" t="n"/>
      <c r="FV17" s="6" t="n"/>
      <c r="FW17" s="79" t="n"/>
      <c r="FX17" s="6" t="n"/>
      <c r="FY17" s="79" t="n"/>
      <c r="FZ17" s="6" t="n"/>
      <c r="GA17" s="79" t="n"/>
      <c r="GB17" s="6" t="n"/>
      <c r="GC17" s="79" t="n"/>
      <c r="GD17" s="18" t="n"/>
      <c r="GE17" s="80">
        <f>IFERROR(ROUND(AVERAGE(FK17,FM17,FO17,FQ17,FS17,FU17,FW17,FY17,GA17,GC17), 2), "")</f>
        <v/>
      </c>
      <c r="GF17" s="79" t="n"/>
      <c r="GG17" s="79" t="n"/>
      <c r="GH17" s="79" t="n"/>
      <c r="GI17" s="79" t="n"/>
      <c r="GJ17" s="79" t="n"/>
      <c r="GK17" s="79" t="n"/>
      <c r="GL17" s="79" t="n"/>
      <c r="GM17" s="18" t="n"/>
      <c r="GN17" s="19" t="n"/>
      <c r="GO17" s="6" t="n"/>
      <c r="GP17" s="79" t="n"/>
      <c r="GQ17" s="6" t="n"/>
      <c r="GR17" s="79" t="n"/>
      <c r="GS17" s="6" t="n"/>
      <c r="GT17" s="79" t="n"/>
      <c r="GU17" s="6" t="n"/>
      <c r="GV17" s="79" t="n"/>
      <c r="GW17" s="6" t="n"/>
      <c r="GX17" s="79" t="n"/>
      <c r="GY17" s="18" t="n"/>
      <c r="GZ17" s="79" t="n"/>
      <c r="HA17" s="79" t="n"/>
      <c r="HB17" s="79" t="n"/>
      <c r="HC17" s="79" t="n"/>
      <c r="HD17" s="79" t="n"/>
      <c r="HE17" s="79" t="n"/>
      <c r="HF17" s="79" t="n"/>
      <c r="HG17" s="79" t="n"/>
      <c r="HH17" s="18" t="n"/>
      <c r="HI17" s="19" t="n"/>
      <c r="HJ17" s="6">
        <f>IF(COUNTA(GF17:HI17)=0, "", SUMPRODUCT(--ISNUMBER(SEARCH("m", GF17:HI17))))</f>
        <v/>
      </c>
      <c r="HK17" s="79">
        <f>IF(COUNTA(GF17:HI17)=0, "", COUNTA(GF17:HI17) - SUMPRODUCT(--ISNUMBER(SEARCH("m", GF17:HI17))))</f>
        <v/>
      </c>
      <c r="HL17" s="6" t="n"/>
      <c r="HM17" s="79" t="n"/>
      <c r="HN17" s="6" t="n"/>
      <c r="HO17" s="79" t="n"/>
      <c r="HP17" s="6" t="n"/>
      <c r="HQ17" s="79" t="n"/>
      <c r="HR17" s="6" t="n"/>
      <c r="HS17" s="79" t="n"/>
      <c r="HT17" s="18" t="n"/>
      <c r="HU17" s="79" t="n"/>
      <c r="HV17" s="79" t="n"/>
      <c r="HW17" s="79" t="n"/>
      <c r="HX17" s="79" t="n"/>
      <c r="HY17" s="79" t="n"/>
      <c r="HZ17" s="79" t="n"/>
      <c r="IA17" s="79" t="n"/>
      <c r="IB17" s="79" t="n"/>
      <c r="IC17" s="18" t="n"/>
      <c r="ID17" s="19" t="n"/>
      <c r="IE17" s="6" t="n"/>
      <c r="IF17" s="80">
        <f>IFERROR(ROUND(AVERAGE(HL17,HN17,HP17,HR17,HT17,HV17,HX17,HZ17,IB17,ID17), 2), "")</f>
        <v/>
      </c>
      <c r="IG17" s="6" t="n"/>
      <c r="IH17" s="79" t="n"/>
      <c r="II17" s="6" t="n"/>
      <c r="IJ17" s="79" t="n"/>
      <c r="IK17" s="6" t="n"/>
      <c r="IL17" s="79" t="n"/>
      <c r="IM17" s="6" t="n"/>
      <c r="IN17" s="79" t="n"/>
      <c r="IO17" s="18" t="n"/>
      <c r="IP17" s="79" t="n"/>
      <c r="IQ17" s="79" t="n"/>
      <c r="IR17" s="79" t="n"/>
      <c r="IS17" s="79" t="n"/>
      <c r="IT17" s="79" t="n"/>
      <c r="IU17" s="79" t="n"/>
      <c r="IV17" s="79" t="n"/>
      <c r="IW17" s="79" t="n"/>
      <c r="IX17" s="18" t="n"/>
      <c r="IY17" s="19" t="n"/>
      <c r="IZ17" s="6" t="n"/>
      <c r="JA17" s="79" t="n"/>
      <c r="JB17" s="6" t="n"/>
      <c r="JC17" s="79" t="n"/>
      <c r="JD17" s="6" t="n"/>
      <c r="JE17" s="79" t="n"/>
      <c r="JF17" s="6" t="n"/>
      <c r="JG17" s="79" t="n"/>
      <c r="JH17" s="6" t="n"/>
      <c r="JI17" s="79" t="n"/>
      <c r="JJ17" s="18" t="n"/>
      <c r="JK17" s="79">
        <f>IF(COUNTA(IG17:JJ17)=0, "", SUMPRODUCT(--ISNUMBER(SEARCH("m", IG17:JJ17))))</f>
        <v/>
      </c>
      <c r="JL17" s="79">
        <f>IF(COUNTA(IG17:JJ17)=0, "", COUNTA(IG17:JJ17) - SUMPRODUCT(--ISNUMBER(SEARCH("m", IG17:JJ17))))</f>
        <v/>
      </c>
      <c r="JM17" s="79" t="n"/>
      <c r="JN17" s="79" t="n"/>
      <c r="JO17" s="79" t="n"/>
      <c r="JP17" s="79" t="n"/>
      <c r="JQ17" s="79" t="n"/>
      <c r="JR17" s="79" t="n"/>
      <c r="JS17" s="18" t="n"/>
      <c r="JT17" s="19" t="n"/>
      <c r="JU17" s="6" t="n"/>
      <c r="JV17" s="79" t="n"/>
      <c r="JW17" s="6" t="n"/>
      <c r="JX17" s="79" t="n"/>
      <c r="JY17" s="6" t="n"/>
      <c r="JZ17" s="79" t="n"/>
      <c r="KA17" s="6" t="n"/>
      <c r="KB17" s="79" t="n"/>
      <c r="KC17" s="6" t="n"/>
      <c r="KD17" s="79" t="n"/>
      <c r="KE17" s="18" t="n"/>
      <c r="KF17" s="79" t="n"/>
      <c r="KG17" s="80">
        <f>IFERROR(ROUND(AVERAGE(JM17,JO17,JQ17,JS17,JU17,JW17,JY17,KA17,KC17,KE17), 2), "")</f>
        <v/>
      </c>
      <c r="KH17" s="79" t="n"/>
      <c r="KI17" s="79" t="n"/>
      <c r="KJ17" s="79" t="n"/>
      <c r="KK17" s="79" t="n"/>
      <c r="KL17" s="79" t="n"/>
      <c r="KM17" s="79" t="n"/>
      <c r="KN17" s="18" t="n"/>
      <c r="KO17" s="19" t="n"/>
      <c r="KP17" s="6" t="n"/>
      <c r="KQ17" s="6" t="n"/>
      <c r="KR17" s="6" t="n"/>
      <c r="KS17" s="6" t="n"/>
      <c r="KT17" s="6" t="n"/>
      <c r="KU17" s="6" t="n"/>
      <c r="KV17" s="6" t="n"/>
      <c r="KW17" s="6" t="n"/>
      <c r="KX17" s="6" t="n"/>
      <c r="KY17" s="6" t="n"/>
      <c r="KZ17" s="6" t="n"/>
      <c r="LA17" s="6" t="n"/>
      <c r="LB17" s="6" t="n"/>
      <c r="LC17" s="6" t="n"/>
      <c r="LD17" s="6" t="n"/>
      <c r="LE17" s="6" t="n"/>
      <c r="LF17" s="6" t="n"/>
      <c r="LG17" s="6" t="n"/>
      <c r="LH17" s="6" t="n"/>
      <c r="LI17" s="6" t="n"/>
      <c r="LJ17" s="6" t="n"/>
      <c r="LK17" s="6" t="n"/>
      <c r="LL17" s="6">
        <f>IF(COUNTA(KH17:LK17)=0, "", SUMPRODUCT(--ISNUMBER(SEARCH("m", KH17:LK17))))</f>
        <v/>
      </c>
      <c r="LM17" s="6">
        <f>IF(COUNTA(KH17:LK17)=0, "", COUNTA(KH17:LK17) - SUMPRODUCT(--ISNUMBER(SEARCH("m", KH17:LK17))))</f>
        <v/>
      </c>
      <c r="LN17" s="6" t="n"/>
      <c r="LO17" s="6" t="n"/>
      <c r="LP17" s="6" t="n"/>
      <c r="LQ17" s="6" t="n"/>
      <c r="LR17" s="6" t="n"/>
      <c r="LS17" s="6" t="n"/>
      <c r="LT17" s="6" t="n"/>
      <c r="LU17" s="6" t="n"/>
      <c r="LV17" s="6" t="n"/>
      <c r="LW17" s="6" t="n"/>
      <c r="LX17" s="6" t="n"/>
      <c r="LY17" s="6" t="n"/>
      <c r="LZ17" s="6" t="n"/>
      <c r="MA17" s="6" t="n"/>
      <c r="MB17" s="6" t="n"/>
      <c r="MC17" s="6" t="n"/>
      <c r="MD17" s="6" t="n"/>
      <c r="ME17" s="6" t="n"/>
      <c r="MF17" s="6" t="n"/>
      <c r="MG17" s="6" t="n"/>
      <c r="MH17" s="20">
        <f>IFERROR(ROUND(AVERAGE(LN17,LP17,LR17,LT17,LV17,LX17,LZ17,MB17,MD17,MF17), 2), "")</f>
        <v/>
      </c>
      <c r="MI17" s="6" t="n"/>
      <c r="MJ17" s="6" t="n"/>
      <c r="MK17" s="6" t="n"/>
      <c r="ML17" s="6" t="n"/>
      <c r="MM17" s="6" t="n"/>
      <c r="MN17" s="6" t="n"/>
      <c r="MO17" s="6" t="n"/>
      <c r="MP17" s="6" t="n"/>
      <c r="MQ17" s="6" t="n"/>
      <c r="MR17" s="6" t="n"/>
      <c r="MS17" s="6" t="n"/>
      <c r="MT17" s="6" t="n"/>
      <c r="MU17" s="6" t="n"/>
      <c r="MV17" s="6" t="n"/>
      <c r="MW17" s="6" t="n"/>
      <c r="MX17" s="6" t="n"/>
      <c r="MY17" s="6" t="n"/>
      <c r="MZ17" s="6" t="n"/>
      <c r="NA17" s="6" t="n"/>
      <c r="NB17" s="6" t="n"/>
      <c r="NC17" s="6" t="n"/>
      <c r="ND17" s="6" t="n"/>
      <c r="NE17" s="6" t="n"/>
      <c r="NF17" s="6" t="n"/>
      <c r="NG17" s="6" t="n"/>
      <c r="NH17" s="6" t="n"/>
      <c r="NI17" s="6" t="n"/>
      <c r="NJ17" s="6" t="n"/>
      <c r="NK17" s="6" t="n"/>
      <c r="NL17" s="6" t="n"/>
      <c r="NM17" s="6">
        <f>IF(COUNTA(MI17:NL17)=0, "", SUMPRODUCT(--ISNUMBER(SEARCH("m", MI17:NL17))))</f>
        <v/>
      </c>
      <c r="NN17" s="6">
        <f>IF(COUNTA(MI17:NL17)=0, "", COUNTA(MI17:NL17) - SUMPRODUCT(--ISNUMBER(SEARCH("m", MI17:NL17))))</f>
        <v/>
      </c>
      <c r="NO17" s="6" t="n"/>
      <c r="NP17" s="6" t="n"/>
      <c r="NQ17" s="6" t="n"/>
      <c r="NR17" s="6" t="n"/>
      <c r="NS17" s="6" t="n"/>
      <c r="NT17" s="6" t="n"/>
      <c r="NU17" s="6" t="n"/>
      <c r="NV17" s="6" t="n"/>
      <c r="NW17" s="6" t="n"/>
      <c r="NX17" s="6" t="n"/>
      <c r="NY17" s="6" t="n"/>
      <c r="NZ17" s="6" t="n"/>
      <c r="OA17" s="6" t="n"/>
      <c r="OB17" s="6" t="n"/>
      <c r="OC17" s="6" t="n"/>
      <c r="OD17" s="6" t="n"/>
      <c r="OE17" s="6" t="n"/>
      <c r="OF17" s="6" t="n"/>
      <c r="OG17" s="6" t="n"/>
      <c r="OH17" s="6" t="n"/>
      <c r="OI17" s="20">
        <f>IFERROR(ROUND(AVERAGE(NO17,NQ17,NS17,NU17,NW17,NY17,OA17,OC17,OE17,OG17), 2), "")</f>
        <v/>
      </c>
      <c r="OJ17" s="6" t="n"/>
      <c r="OK17" s="6" t="n"/>
      <c r="OL17" s="6" t="n"/>
      <c r="OM17" s="6" t="n"/>
      <c r="ON17" s="6" t="n"/>
      <c r="OO17" s="6" t="n"/>
      <c r="OP17" s="6" t="n"/>
      <c r="OQ17" s="6" t="n"/>
      <c r="OR17" s="6" t="n"/>
      <c r="OS17" s="6" t="n"/>
      <c r="OT17" s="6" t="n"/>
      <c r="OU17" s="6" t="n"/>
      <c r="OV17" s="6" t="n"/>
      <c r="OW17" s="6" t="n"/>
      <c r="OX17" s="6" t="n"/>
      <c r="OY17" s="6" t="n"/>
      <c r="OZ17" s="6" t="n"/>
      <c r="PA17" s="6" t="n"/>
      <c r="PB17" s="6" t="n"/>
      <c r="PC17" s="6" t="n"/>
      <c r="PD17" s="6" t="n"/>
      <c r="PE17" s="6" t="n"/>
      <c r="PF17" s="6" t="n"/>
      <c r="PG17" s="6" t="n"/>
      <c r="PH17" s="6" t="n"/>
      <c r="PI17" s="6" t="n"/>
      <c r="PJ17" s="6" t="n"/>
      <c r="PK17" s="6" t="n"/>
      <c r="PL17" s="6" t="n"/>
      <c r="PM17" s="6" t="n"/>
      <c r="PN17" s="6">
        <f>IF(COUNTA(OJ17:PM17)=0, "", SUMPRODUCT(--ISNUMBER(SEARCH("m", OJ17:PM17))))</f>
        <v/>
      </c>
      <c r="PO17" s="6">
        <f>IF(COUNTA(OJ17:PM17)=0, "", COUNTA(OJ17:PM17) - SUMPRODUCT(--ISNUMBER(SEARCH("m", OJ17:PM17))))</f>
        <v/>
      </c>
      <c r="PP17" s="6" t="n"/>
      <c r="PQ17" s="6" t="n"/>
      <c r="PR17" s="6" t="n"/>
      <c r="PS17" s="6" t="n"/>
      <c r="PT17" s="6" t="n"/>
      <c r="PU17" s="6" t="n"/>
      <c r="PV17" s="6" t="n"/>
      <c r="PW17" s="6" t="n"/>
      <c r="PX17" s="6" t="n"/>
      <c r="PY17" s="6" t="n"/>
      <c r="PZ17" s="6" t="n"/>
      <c r="QA17" s="6" t="n"/>
      <c r="QB17" s="6" t="n"/>
      <c r="QC17" s="6" t="n"/>
      <c r="QD17" s="6" t="n"/>
      <c r="QE17" s="6" t="n"/>
      <c r="QF17" s="6" t="n"/>
      <c r="QG17" s="6" t="n"/>
      <c r="QH17" s="6" t="n"/>
      <c r="QI17" s="6" t="n"/>
      <c r="QJ17" s="20">
        <f>IFERROR(ROUND(AVERAGE(PP17,PR17,PT17,PV17,PX17,PZ17,QB17,QD17,QF17,QH17), 2), "")</f>
        <v/>
      </c>
      <c r="QK17" s="6" t="n"/>
      <c r="QL17" s="6" t="n"/>
      <c r="QM17" s="6" t="n"/>
      <c r="QN17" s="6" t="n"/>
      <c r="QO17" s="6" t="n"/>
      <c r="QP17" s="6" t="n"/>
      <c r="QQ17" s="6" t="n"/>
      <c r="QR17" s="6" t="n"/>
      <c r="QS17" s="6" t="n"/>
      <c r="QT17" s="6" t="n"/>
      <c r="QU17" s="6" t="n"/>
      <c r="QV17" s="6" t="n"/>
      <c r="QW17" s="6" t="n"/>
      <c r="QX17" s="6" t="n"/>
      <c r="QY17" s="6" t="n"/>
      <c r="QZ17" s="6" t="n"/>
      <c r="RA17" s="6" t="n"/>
      <c r="RB17" s="6" t="n"/>
      <c r="RC17" s="6" t="n"/>
      <c r="RD17" s="6" t="n"/>
      <c r="RE17" s="6" t="n"/>
      <c r="RF17" s="6" t="n"/>
      <c r="RG17" s="6" t="n"/>
      <c r="RH17" s="6" t="n"/>
      <c r="RI17" s="6" t="n"/>
      <c r="RJ17" s="6" t="n"/>
      <c r="RK17" s="6" t="n"/>
      <c r="RL17" s="6" t="n"/>
      <c r="RM17" s="6" t="n"/>
      <c r="RN17" s="6" t="n"/>
      <c r="RO17" s="6">
        <f>IF(COUNTA(QK17:RN17)=0, "", SUMPRODUCT(--ISNUMBER(SEARCH("m", QK17:RN17))))</f>
        <v/>
      </c>
      <c r="RP17" s="6">
        <f>IF(COUNTA(QK17:RN17)=0, "", COUNTA(QK17:RN17) - SUMPRODUCT(--ISNUMBER(SEARCH("m", QK17:RN17))))</f>
        <v/>
      </c>
      <c r="RQ17" s="6" t="n"/>
      <c r="RR17" s="6" t="n"/>
      <c r="RS17" s="6" t="n"/>
      <c r="RT17" s="6" t="n"/>
      <c r="RU17" s="6" t="n"/>
      <c r="RV17" s="6" t="n"/>
      <c r="RW17" s="6" t="n"/>
      <c r="RX17" s="6" t="n"/>
      <c r="RY17" s="6" t="n"/>
      <c r="RZ17" s="6" t="n"/>
      <c r="SA17" s="6" t="n"/>
      <c r="SB17" s="6" t="n"/>
      <c r="SC17" s="6" t="n"/>
      <c r="SD17" s="6" t="n"/>
      <c r="SE17" s="6" t="n"/>
      <c r="SF17" s="6" t="n"/>
      <c r="SG17" s="6" t="n"/>
      <c r="SH17" s="6" t="n"/>
      <c r="SI17" s="6" t="n"/>
      <c r="SJ17" s="6" t="n"/>
      <c r="SK17" s="20">
        <f>IFERROR(ROUND(AVERAGE(RQ17,RS17,RU17,RW17,RY17,SA17,SC17,SE17,SG17,SI17), 2), "")</f>
        <v/>
      </c>
      <c r="SL17" s="6" t="n"/>
      <c r="SM17" s="6" t="n"/>
      <c r="SN17" s="6" t="n"/>
      <c r="SO17" s="6" t="n"/>
      <c r="SP17" s="6" t="n"/>
      <c r="SQ17" s="6" t="n"/>
      <c r="SR17" s="6" t="n"/>
      <c r="SS17" s="6" t="n"/>
      <c r="ST17" s="6" t="n"/>
      <c r="SU17" s="6" t="n"/>
      <c r="SV17" s="6" t="n"/>
      <c r="SW17" s="6" t="n"/>
      <c r="SX17" s="6" t="n"/>
      <c r="SY17" s="6" t="n"/>
      <c r="SZ17" s="6" t="n"/>
      <c r="TA17" s="6" t="n"/>
      <c r="TB17" s="6" t="n"/>
      <c r="TC17" s="6" t="n"/>
      <c r="TD17" s="6" t="n"/>
      <c r="TE17" s="6" t="n"/>
      <c r="TF17" s="6" t="n"/>
      <c r="TG17" s="6" t="n"/>
      <c r="TH17" s="6" t="n"/>
      <c r="TI17" s="6" t="n"/>
      <c r="TJ17" s="6" t="n"/>
      <c r="TK17" s="6" t="n"/>
      <c r="TL17" s="6" t="n"/>
      <c r="TM17" s="6" t="n"/>
      <c r="TN17" s="6" t="n"/>
      <c r="TO17" s="6" t="n"/>
      <c r="TP17" s="6">
        <f>IF(COUNTA(SL17:TO17)=0, "", SUMPRODUCT(--ISNUMBER(SEARCH("m", SL17:TO17))))</f>
        <v/>
      </c>
      <c r="TQ17" s="6">
        <f>IF(COUNTA(SL17:TO17)=0, "", COUNTA(SL17:TO17) - SUMPRODUCT(--ISNUMBER(SEARCH("m", SL17:TO17))))</f>
        <v/>
      </c>
      <c r="TR17" s="6" t="n"/>
      <c r="TS17" s="6" t="n"/>
      <c r="TT17" s="6" t="n"/>
      <c r="TU17" s="6" t="n"/>
      <c r="TV17" s="6" t="n"/>
      <c r="TW17" s="6" t="n"/>
      <c r="TX17" s="6" t="n"/>
      <c r="TY17" s="6" t="n"/>
      <c r="TZ17" s="6" t="n"/>
      <c r="UA17" s="6" t="n"/>
      <c r="UB17" s="6" t="n"/>
      <c r="UC17" s="6" t="n"/>
      <c r="UD17" s="6" t="n"/>
      <c r="UE17" s="6" t="n"/>
      <c r="UF17" s="6" t="n"/>
      <c r="UG17" s="6" t="n"/>
      <c r="UH17" s="6" t="n"/>
      <c r="UI17" s="6" t="n"/>
      <c r="UJ17" s="6" t="n"/>
      <c r="UK17" s="6" t="n"/>
      <c r="UL17" s="20">
        <f>IFERROR(ROUND(AVERAGE(TR17,TT17,TV17,TX17,TZ17,UB17,UD17,UF17,UH17,UJ17), 2), "")</f>
        <v/>
      </c>
      <c r="UM17" s="6" t="n"/>
      <c r="UN17" s="6" t="n"/>
      <c r="UO17" s="6" t="n"/>
      <c r="UP17" s="6" t="n"/>
      <c r="UQ17" s="6" t="n"/>
      <c r="UR17" s="6" t="n"/>
      <c r="US17" s="6" t="n"/>
      <c r="UT17" s="6" t="n"/>
      <c r="UU17" s="6" t="n"/>
      <c r="UV17" s="6" t="n"/>
      <c r="UW17" s="6" t="n"/>
      <c r="UX17" s="6" t="n"/>
      <c r="UY17" s="6" t="n"/>
      <c r="UZ17" s="6" t="n"/>
      <c r="VA17" s="6" t="n"/>
      <c r="VB17" s="6" t="n"/>
      <c r="VC17" s="6" t="n"/>
      <c r="VD17" s="6" t="n"/>
      <c r="VE17" s="6" t="n"/>
      <c r="VF17" s="6" t="n"/>
      <c r="VG17" s="6" t="n"/>
      <c r="VH17" s="6" t="n"/>
      <c r="VI17" s="6" t="n"/>
      <c r="VJ17" s="6" t="n"/>
      <c r="VK17" s="6" t="n"/>
      <c r="VL17" s="6" t="n"/>
      <c r="VM17" s="6" t="n"/>
      <c r="VN17" s="6" t="n"/>
      <c r="VO17" s="6" t="n"/>
      <c r="VP17" s="6" t="n"/>
      <c r="VQ17" s="6">
        <f>IF(COUNTA(UM17:VP17)=0, "", SUMPRODUCT(--ISNUMBER(SEARCH("m", UM17:VP17))))</f>
        <v/>
      </c>
      <c r="VR17" s="6">
        <f>IF(COUNTA(UM17:VP17)=0, "", COUNTA(UM17:VP17) - SUMPRODUCT(--ISNUMBER(SEARCH("m", UM17:VP17))))</f>
        <v/>
      </c>
      <c r="VS17" s="6" t="n"/>
      <c r="VT17" s="6" t="n"/>
      <c r="VU17" s="6" t="n"/>
      <c r="VV17" s="6" t="n"/>
      <c r="VW17" s="6" t="n"/>
      <c r="VX17" s="6" t="n"/>
      <c r="VY17" s="6" t="n"/>
      <c r="VZ17" s="6" t="n"/>
      <c r="WA17" s="6" t="n"/>
      <c r="WB17" s="6" t="n"/>
      <c r="WC17" s="6" t="n"/>
      <c r="WD17" s="6" t="n"/>
      <c r="WE17" s="6" t="n"/>
      <c r="WF17" s="6" t="n"/>
      <c r="WG17" s="6" t="n"/>
      <c r="WH17" s="6" t="n"/>
      <c r="WI17" s="6" t="n"/>
      <c r="WJ17" s="6" t="n"/>
      <c r="WK17" s="6" t="n"/>
      <c r="WL17" s="6" t="n"/>
      <c r="WM17" s="20">
        <f>IFERROR(ROUND(AVERAGE(VS17,VU17,VW17,VY17,WA17,WC17,WE17,WG17,WI17,WK17), 2), "")</f>
        <v/>
      </c>
      <c r="WN17" s="6" t="n"/>
      <c r="WO17" s="6" t="n"/>
      <c r="WP17" s="6" t="n"/>
      <c r="WQ17" s="6" t="n"/>
      <c r="WR17" s="6" t="n"/>
      <c r="WS17" s="6" t="n"/>
      <c r="WT17" s="6" t="n"/>
      <c r="WU17" s="6" t="n"/>
      <c r="WV17" s="6" t="n"/>
      <c r="WW17" s="6" t="n"/>
      <c r="WX17" s="6" t="n"/>
      <c r="WY17" s="6" t="n"/>
      <c r="WZ17" s="6" t="n"/>
      <c r="XA17" s="6" t="n"/>
      <c r="XB17" s="6" t="n"/>
      <c r="XC17" s="6" t="n"/>
      <c r="XD17" s="6" t="n"/>
      <c r="XE17" s="6" t="n"/>
      <c r="XF17" s="6" t="n"/>
      <c r="XG17" s="6" t="n"/>
      <c r="XH17" s="6" t="n"/>
      <c r="XI17" s="6" t="n"/>
      <c r="XJ17" s="6" t="n"/>
      <c r="XK17" s="6" t="n"/>
      <c r="XL17" s="6" t="n"/>
      <c r="XM17" s="6" t="n"/>
      <c r="XN17" s="6" t="n"/>
      <c r="XO17" s="6" t="n"/>
      <c r="XP17" s="6" t="n"/>
      <c r="XQ17" s="6" t="n"/>
      <c r="XR17" s="6">
        <f>IF(COUNTA(WN17:XQ17)=0, "", SUMPRODUCT(--ISNUMBER(SEARCH("m", WN17:XQ17))))</f>
        <v/>
      </c>
      <c r="XS17" s="6">
        <f>IF(COUNTA(WN17:XQ17)=0, "", COUNTA(WN17:XQ17) - SUMPRODUCT(--ISNUMBER(SEARCH("m", WN17:XQ17))))</f>
        <v/>
      </c>
      <c r="XT17" s="6" t="n"/>
      <c r="XU17" s="6" t="n"/>
      <c r="XV17" s="6" t="n"/>
      <c r="XW17" s="6" t="n"/>
      <c r="XX17" s="6" t="n"/>
      <c r="XY17" s="6" t="n"/>
      <c r="XZ17" s="6" t="n"/>
      <c r="YA17" s="6" t="n"/>
      <c r="YB17" s="6" t="n"/>
      <c r="YC17" s="6" t="n"/>
      <c r="YD17" s="6" t="n"/>
      <c r="YE17" s="6" t="n"/>
      <c r="YF17" s="6" t="n"/>
      <c r="YG17" s="6" t="n"/>
      <c r="YH17" s="6" t="n"/>
      <c r="YI17" s="6" t="n"/>
      <c r="YJ17" s="6" t="n"/>
      <c r="YK17" s="6" t="n"/>
      <c r="YL17" s="6" t="n"/>
      <c r="YM17" s="6" t="n"/>
      <c r="YN17" s="20">
        <f>IFERROR(ROUND(AVERAGE(XT17,XV17,XX17,XZ17,YB17,YD17,YF17,YH17,YJ17,YL17), 2), "")</f>
        <v/>
      </c>
      <c r="YO17" s="6" t="n"/>
      <c r="YP17" s="6" t="n"/>
      <c r="YQ17" s="6" t="n"/>
      <c r="YR17" s="6" t="n"/>
      <c r="YS17" s="6" t="n"/>
      <c r="YT17" s="6" t="n"/>
      <c r="YU17" s="6" t="n"/>
      <c r="YV17" s="6" t="n"/>
      <c r="YW17" s="6" t="n"/>
      <c r="YX17" s="6" t="n"/>
      <c r="YY17" s="6" t="n"/>
      <c r="YZ17" s="6" t="n"/>
      <c r="ZA17" s="6" t="n"/>
      <c r="ZB17" s="6" t="n"/>
      <c r="ZC17" s="6" t="n"/>
      <c r="ZD17" s="6" t="n"/>
      <c r="ZE17" s="6" t="n"/>
      <c r="ZF17" s="6" t="n"/>
      <c r="ZG17" s="6" t="n"/>
      <c r="ZH17" s="6" t="n"/>
      <c r="ZI17" s="6" t="n"/>
      <c r="ZJ17" s="6" t="n"/>
      <c r="ZK17" s="6" t="n"/>
      <c r="ZL17" s="6" t="n"/>
      <c r="ZM17" s="6" t="n"/>
      <c r="ZN17" s="6" t="n"/>
      <c r="ZO17" s="6" t="n"/>
      <c r="ZP17" s="6" t="n"/>
      <c r="ZQ17" s="6" t="n"/>
      <c r="ZR17" s="6" t="n"/>
      <c r="ZS17" s="6">
        <f>IF(COUNTA(YO17:ZR17)=0, "", SUMPRODUCT(--ISNUMBER(SEARCH("m", YO17:ZR17))))</f>
        <v/>
      </c>
      <c r="ZT17" s="6">
        <f>IF(COUNTA(YO17:ZR17)=0, "", COUNTA(YO17:ZR17) - SUMPRODUCT(--ISNUMBER(SEARCH("m", YO17:ZR17))))</f>
        <v/>
      </c>
      <c r="ZU17" s="6" t="n"/>
      <c r="ZV17" s="6" t="n"/>
      <c r="ZW17" s="6" t="n"/>
      <c r="ZX17" s="6" t="n"/>
      <c r="ZY17" s="6" t="n"/>
      <c r="ZZ17" s="6" t="n"/>
      <c r="AAA17" s="6" t="n"/>
      <c r="AAB17" s="6" t="n"/>
      <c r="AAC17" s="6" t="n"/>
      <c r="AAD17" s="6" t="n"/>
      <c r="AAE17" s="6" t="n"/>
      <c r="AAF17" s="6" t="n"/>
      <c r="AAG17" s="6" t="n"/>
      <c r="AAH17" s="6" t="n"/>
      <c r="AAI17" s="6" t="n"/>
      <c r="AAJ17" s="6" t="n"/>
      <c r="AAK17" s="6" t="n"/>
      <c r="AAL17" s="6" t="n"/>
      <c r="AAM17" s="6" t="n"/>
      <c r="AAN17" s="6" t="n"/>
      <c r="AAO17" s="20">
        <f>IFERROR(ROUND(AVERAGE(ZU17,ZW17,ZY17,AAA17,AAC17,AAE17,AAG17,AAI17,AAK17,AAM17), 2), "")</f>
        <v/>
      </c>
      <c r="AAP17" s="6" t="n"/>
      <c r="AAQ17" s="6" t="n"/>
      <c r="AAR17" s="6" t="n"/>
      <c r="AAS17" s="6" t="n"/>
      <c r="AAT17" s="6" t="n"/>
      <c r="AAU17" s="6" t="n"/>
      <c r="AAV17" s="6" t="n"/>
      <c r="AAW17" s="6" t="n"/>
      <c r="AAX17" s="6" t="n"/>
      <c r="AAY17" s="6" t="n"/>
      <c r="AAZ17" s="6" t="n"/>
      <c r="ABA17" s="6" t="n"/>
      <c r="ABB17" s="6" t="n"/>
      <c r="ABC17" s="6" t="n"/>
      <c r="ABD17" s="6" t="n"/>
      <c r="ABE17" s="6" t="n"/>
      <c r="ABF17" s="6" t="n"/>
      <c r="ABG17" s="6" t="n"/>
      <c r="ABH17" s="6" t="n"/>
      <c r="ABI17" s="6" t="n"/>
      <c r="ABJ17" s="6" t="n"/>
      <c r="ABK17" s="6" t="n"/>
      <c r="ABL17" s="6" t="n"/>
      <c r="ABM17" s="6" t="n"/>
      <c r="ABN17" s="6" t="n"/>
      <c r="ABO17" s="6" t="n"/>
      <c r="ABP17" s="6" t="n"/>
      <c r="ABQ17" s="6" t="n"/>
      <c r="ABR17" s="6" t="n"/>
      <c r="ABS17" s="6" t="n"/>
      <c r="ABT17" s="6">
        <f>IF(COUNTA(AAP17:ABS17)=0, "", SUMPRODUCT(--ISNUMBER(SEARCH("m", AAP17:ABS17))))</f>
        <v/>
      </c>
      <c r="ABU17" s="6">
        <f>IF(COUNTA(AAP17:ABS17)=0, "", COUNTA(AAP17:ABS17) - SUMPRODUCT(--ISNUMBER(SEARCH("m", AAP17:ABS17))))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8">
        <f>IFERROR(ROUND(AVERAGE(AB18,CC18,ED18,GE18,IF18,KG18,MH18,OI18,QJ18,SK18,UL18,WM18,YN18,AAO18), 2), "")</f>
        <v/>
      </c>
      <c r="F18" s="14">
        <f>IF(SUM(BH18,DI18,FJ18,HK18,JL18,LM18,NN18,PO18,RP18,TQ18,VR18,XS18,ZT18,ABU18)=0, "", SUM(BH18,DI18,FJ18,HK18,JL18,LM18,NN18,PO18,RP18,TQ18,VR18,XS18,ZT18,ABU18))</f>
        <v/>
      </c>
      <c r="G18" s="8">
        <f>IF(SUM(BG18,DH18,FI18,HJ18,JK18,LL18,NM18,PN18,RO18,TP18,VQ18,XR18,ZS18,ABT18)=0, "", SUM(BG18,DH18,FI18,HJ18,JK18,LL18,NM18,PN18,RO18,TP18,VQ18,XR18,ZS18,ABT18))</f>
        <v/>
      </c>
      <c r="H18" s="6" t="n"/>
      <c r="I18" s="79" t="n"/>
      <c r="J18" s="6" t="n"/>
      <c r="K18" s="79" t="n"/>
      <c r="L18" s="6" t="n"/>
      <c r="M18" s="79" t="n"/>
      <c r="N18" s="6" t="n"/>
      <c r="O18" s="79" t="n"/>
      <c r="P18" s="6" t="n"/>
      <c r="Q18" s="79" t="n"/>
      <c r="R18" s="18" t="n"/>
      <c r="S18" s="79" t="n"/>
      <c r="T18" s="79" t="n"/>
      <c r="U18" s="79" t="n"/>
      <c r="V18" s="79" t="n"/>
      <c r="W18" s="79" t="n"/>
      <c r="X18" s="79" t="n"/>
      <c r="Y18" s="79" t="n"/>
      <c r="Z18" s="79" t="n"/>
      <c r="AA18" s="18" t="n"/>
      <c r="AB18" s="14">
        <f>IFERROR(ROUND(AVERAGE(H18,J18,L18,N18,P18,R18,T18,V18,X18,Z18), 2), "")</f>
        <v/>
      </c>
      <c r="AC18" s="6" t="n"/>
      <c r="AD18" s="79" t="n"/>
      <c r="AE18" s="6" t="n"/>
      <c r="AF18" s="79" t="n"/>
      <c r="AG18" s="6" t="n"/>
      <c r="AH18" s="79" t="n"/>
      <c r="AI18" s="6" t="n"/>
      <c r="AJ18" s="79" t="n"/>
      <c r="AK18" s="6" t="n"/>
      <c r="AL18" s="79" t="n"/>
      <c r="AM18" s="18" t="n"/>
      <c r="AN18" s="79" t="n"/>
      <c r="AO18" s="79" t="n"/>
      <c r="AP18" s="79" t="n"/>
      <c r="AQ18" s="79" t="n"/>
      <c r="AR18" s="79" t="n"/>
      <c r="AS18" s="79" t="n"/>
      <c r="AT18" s="79" t="n"/>
      <c r="AU18" s="79" t="n"/>
      <c r="AV18" s="18" t="n"/>
      <c r="AW18" s="19" t="n"/>
      <c r="AX18" s="6" t="n"/>
      <c r="AY18" s="79" t="n"/>
      <c r="AZ18" s="6" t="n"/>
      <c r="BA18" s="79" t="n"/>
      <c r="BB18" s="6" t="n"/>
      <c r="BC18" s="79" t="n"/>
      <c r="BD18" s="6" t="n"/>
      <c r="BE18" s="79" t="n"/>
      <c r="BF18" s="6" t="n"/>
      <c r="BG18" s="79">
        <f>IF(COUNTA(AC18:BF18)=0, "", SUMPRODUCT(--ISNUMBER(SEARCH("m", AC18:BF18))))</f>
        <v/>
      </c>
      <c r="BH18" s="18">
        <f>IF(COUNTA(AC18:BF18)=0, "", COUNTA(AC18:BF18) - SUMPRODUCT(--ISNUMBER(SEARCH("m", AC18:BF18))))</f>
        <v/>
      </c>
      <c r="BI18" s="79" t="n"/>
      <c r="BJ18" s="79" t="n"/>
      <c r="BK18" s="79" t="n"/>
      <c r="BL18" s="79" t="n"/>
      <c r="BM18" s="79" t="n"/>
      <c r="BN18" s="79" t="n"/>
      <c r="BO18" s="79" t="n"/>
      <c r="BP18" s="79" t="n"/>
      <c r="BQ18" s="18" t="n"/>
      <c r="BR18" s="19" t="n"/>
      <c r="BS18" s="6" t="n"/>
      <c r="BT18" s="79" t="n"/>
      <c r="BU18" s="6" t="n"/>
      <c r="BV18" s="79" t="n"/>
      <c r="BW18" s="6" t="n"/>
      <c r="BX18" s="79" t="n"/>
      <c r="BY18" s="6" t="n"/>
      <c r="BZ18" s="79" t="n"/>
      <c r="CA18" s="6" t="n"/>
      <c r="CB18" s="79" t="n"/>
      <c r="CC18" s="8">
        <f>IFERROR(ROUND(AVERAGE(BI18,BK18,BM18,BO18,BQ18,BS18,BU18,BW18,BY18,CA18), 2), "")</f>
        <v/>
      </c>
      <c r="CD18" s="79" t="n"/>
      <c r="CE18" s="79" t="n"/>
      <c r="CF18" s="79" t="n"/>
      <c r="CG18" s="79" t="n"/>
      <c r="CH18" s="79" t="n"/>
      <c r="CI18" s="79" t="n"/>
      <c r="CJ18" s="79" t="n"/>
      <c r="CK18" s="79" t="n"/>
      <c r="CL18" s="18" t="n"/>
      <c r="CM18" s="19" t="n"/>
      <c r="CN18" s="6" t="n"/>
      <c r="CO18" s="79" t="n"/>
      <c r="CP18" s="6" t="n"/>
      <c r="CQ18" s="79" t="n"/>
      <c r="CR18" s="6" t="n"/>
      <c r="CS18" s="79" t="n"/>
      <c r="CT18" s="6" t="n"/>
      <c r="CU18" s="79" t="n"/>
      <c r="CV18" s="6" t="n"/>
      <c r="CW18" s="79" t="n"/>
      <c r="CX18" s="18" t="n"/>
      <c r="CY18" s="79" t="n"/>
      <c r="CZ18" s="79" t="n"/>
      <c r="DA18" s="79" t="n"/>
      <c r="DB18" s="79" t="n"/>
      <c r="DC18" s="79" t="n"/>
      <c r="DD18" s="79" t="n"/>
      <c r="DE18" s="79" t="n"/>
      <c r="DF18" s="79" t="n"/>
      <c r="DG18" s="18" t="n"/>
      <c r="DH18" s="19">
        <f>IF(COUNTA(CD18:DG18)=0, "", SUMPRODUCT(--ISNUMBER(SEARCH("m", CD18:DG18))))</f>
        <v/>
      </c>
      <c r="DI18" s="6">
        <f>IF(COUNTA(CD18:DG18)=0, "", COUNTA(CD18:DG18) - SUMPRODUCT(--ISNUMBER(SEARCH("m", CD18:DG18))))</f>
        <v/>
      </c>
      <c r="DJ18" s="79" t="n"/>
      <c r="DK18" s="6" t="n"/>
      <c r="DL18" s="79" t="n"/>
      <c r="DM18" s="6" t="n"/>
      <c r="DN18" s="79" t="n"/>
      <c r="DO18" s="6" t="n"/>
      <c r="DP18" s="79" t="n"/>
      <c r="DQ18" s="6" t="n"/>
      <c r="DR18" s="79" t="n"/>
      <c r="DS18" s="18" t="n"/>
      <c r="DT18" s="79" t="n"/>
      <c r="DU18" s="79" t="n"/>
      <c r="DV18" s="79" t="n"/>
      <c r="DW18" s="79" t="n"/>
      <c r="DX18" s="79" t="n"/>
      <c r="DY18" s="79" t="n"/>
      <c r="DZ18" s="79" t="n"/>
      <c r="EA18" s="79" t="n"/>
      <c r="EB18" s="18" t="n"/>
      <c r="EC18" s="19" t="n"/>
      <c r="ED18" s="20">
        <f>IFERROR(ROUND(AVERAGE(DJ18,DL18,DN18,DP18,DR18,DT18,DV18,DX18,DZ18,EB18), 2), "")</f>
        <v/>
      </c>
      <c r="EE18" s="79" t="n"/>
      <c r="EF18" s="6" t="n"/>
      <c r="EG18" s="79" t="n"/>
      <c r="EH18" s="6" t="n"/>
      <c r="EI18" s="79" t="n"/>
      <c r="EJ18" s="6" t="n"/>
      <c r="EK18" s="79" t="n"/>
      <c r="EL18" s="6" t="n"/>
      <c r="EM18" s="79" t="n"/>
      <c r="EN18" s="18" t="n"/>
      <c r="EO18" s="79" t="n"/>
      <c r="EP18" s="79" t="n"/>
      <c r="EQ18" s="79" t="n"/>
      <c r="ER18" s="79" t="n"/>
      <c r="ES18" s="79" t="n"/>
      <c r="ET18" s="79" t="n"/>
      <c r="EU18" s="79" t="n"/>
      <c r="EV18" s="79" t="n"/>
      <c r="EW18" s="18" t="n"/>
      <c r="EX18" s="19" t="n"/>
      <c r="EY18" s="6" t="n"/>
      <c r="EZ18" s="79" t="n"/>
      <c r="FA18" s="6" t="n"/>
      <c r="FB18" s="79" t="n"/>
      <c r="FC18" s="6" t="n"/>
      <c r="FD18" s="79" t="n"/>
      <c r="FE18" s="6" t="n"/>
      <c r="FF18" s="79" t="n"/>
      <c r="FG18" s="6" t="n"/>
      <c r="FH18" s="79" t="n"/>
      <c r="FI18" s="18">
        <f>IF(COUNTA(EE18:FH18)=0, "", SUMPRODUCT(--ISNUMBER(SEARCH("m", EE18:FH18))))</f>
        <v/>
      </c>
      <c r="FJ18" s="79">
        <f>IF(COUNTA(EE18:FH18)=0, "", COUNTA(EE18:FH18) - SUMPRODUCT(--ISNUMBER(SEARCH("m", EE18:FH18))))</f>
        <v/>
      </c>
      <c r="FK18" s="79" t="n"/>
      <c r="FL18" s="79" t="n"/>
      <c r="FM18" s="79" t="n"/>
      <c r="FN18" s="79" t="n"/>
      <c r="FO18" s="79" t="n"/>
      <c r="FP18" s="79" t="n"/>
      <c r="FQ18" s="79" t="n"/>
      <c r="FR18" s="18" t="n"/>
      <c r="FS18" s="19" t="n"/>
      <c r="FT18" s="6" t="n"/>
      <c r="FU18" s="79" t="n"/>
      <c r="FV18" s="6" t="n"/>
      <c r="FW18" s="79" t="n"/>
      <c r="FX18" s="6" t="n"/>
      <c r="FY18" s="79" t="n"/>
      <c r="FZ18" s="6" t="n"/>
      <c r="GA18" s="79" t="n"/>
      <c r="GB18" s="6" t="n"/>
      <c r="GC18" s="79" t="n"/>
      <c r="GD18" s="18" t="n"/>
      <c r="GE18" s="80">
        <f>IFERROR(ROUND(AVERAGE(FK18,FM18,FO18,FQ18,FS18,FU18,FW18,FY18,GA18,GC18), 2), "")</f>
        <v/>
      </c>
      <c r="GF18" s="79" t="n"/>
      <c r="GG18" s="79" t="n"/>
      <c r="GH18" s="79" t="n"/>
      <c r="GI18" s="79" t="n"/>
      <c r="GJ18" s="79" t="n"/>
      <c r="GK18" s="79" t="n"/>
      <c r="GL18" s="79" t="n"/>
      <c r="GM18" s="18" t="n"/>
      <c r="GN18" s="19" t="n"/>
      <c r="GO18" s="6" t="n"/>
      <c r="GP18" s="79" t="n"/>
      <c r="GQ18" s="6" t="n"/>
      <c r="GR18" s="79" t="n"/>
      <c r="GS18" s="6" t="n"/>
      <c r="GT18" s="79" t="n"/>
      <c r="GU18" s="6" t="n"/>
      <c r="GV18" s="79" t="n"/>
      <c r="GW18" s="6" t="n"/>
      <c r="GX18" s="79" t="n"/>
      <c r="GY18" s="18" t="n"/>
      <c r="GZ18" s="79" t="n"/>
      <c r="HA18" s="79" t="n"/>
      <c r="HB18" s="79" t="n"/>
      <c r="HC18" s="79" t="n"/>
      <c r="HD18" s="79" t="n"/>
      <c r="HE18" s="79" t="n"/>
      <c r="HF18" s="79" t="n"/>
      <c r="HG18" s="79" t="n"/>
      <c r="HH18" s="18" t="n"/>
      <c r="HI18" s="19" t="n"/>
      <c r="HJ18" s="6">
        <f>IF(COUNTA(GF18:HI18)=0, "", SUMPRODUCT(--ISNUMBER(SEARCH("m", GF18:HI18))))</f>
        <v/>
      </c>
      <c r="HK18" s="79">
        <f>IF(COUNTA(GF18:HI18)=0, "", COUNTA(GF18:HI18) - SUMPRODUCT(--ISNUMBER(SEARCH("m", GF18:HI18))))</f>
        <v/>
      </c>
      <c r="HL18" s="6" t="n"/>
      <c r="HM18" s="79" t="n"/>
      <c r="HN18" s="6" t="n"/>
      <c r="HO18" s="79" t="n"/>
      <c r="HP18" s="6" t="n"/>
      <c r="HQ18" s="79" t="n"/>
      <c r="HR18" s="6" t="n"/>
      <c r="HS18" s="79" t="n"/>
      <c r="HT18" s="18" t="n"/>
      <c r="HU18" s="79" t="n"/>
      <c r="HV18" s="79" t="n"/>
      <c r="HW18" s="79" t="n"/>
      <c r="HX18" s="79" t="n"/>
      <c r="HY18" s="79" t="n"/>
      <c r="HZ18" s="79" t="n"/>
      <c r="IA18" s="79" t="n"/>
      <c r="IB18" s="79" t="n"/>
      <c r="IC18" s="18" t="n"/>
      <c r="ID18" s="19" t="n"/>
      <c r="IE18" s="6" t="n"/>
      <c r="IF18" s="80">
        <f>IFERROR(ROUND(AVERAGE(HL18,HN18,HP18,HR18,HT18,HV18,HX18,HZ18,IB18,ID18), 2), "")</f>
        <v/>
      </c>
      <c r="IG18" s="6" t="n"/>
      <c r="IH18" s="79" t="n"/>
      <c r="II18" s="6" t="n"/>
      <c r="IJ18" s="79" t="n"/>
      <c r="IK18" s="6" t="n"/>
      <c r="IL18" s="79" t="n"/>
      <c r="IM18" s="6" t="n"/>
      <c r="IN18" s="79" t="n"/>
      <c r="IO18" s="18" t="n"/>
      <c r="IP18" s="79" t="n"/>
      <c r="IQ18" s="79" t="n"/>
      <c r="IR18" s="79" t="n"/>
      <c r="IS18" s="79" t="n"/>
      <c r="IT18" s="79" t="n"/>
      <c r="IU18" s="79" t="n"/>
      <c r="IV18" s="79" t="n"/>
      <c r="IW18" s="79" t="n"/>
      <c r="IX18" s="18" t="n"/>
      <c r="IY18" s="19" t="n"/>
      <c r="IZ18" s="6" t="n"/>
      <c r="JA18" s="79" t="n"/>
      <c r="JB18" s="6" t="n"/>
      <c r="JC18" s="79" t="n"/>
      <c r="JD18" s="6" t="n"/>
      <c r="JE18" s="79" t="n"/>
      <c r="JF18" s="6" t="n"/>
      <c r="JG18" s="79" t="n"/>
      <c r="JH18" s="6" t="n"/>
      <c r="JI18" s="79" t="n"/>
      <c r="JJ18" s="18" t="n"/>
      <c r="JK18" s="79">
        <f>IF(COUNTA(IG18:JJ18)=0, "", SUMPRODUCT(--ISNUMBER(SEARCH("m", IG18:JJ18))))</f>
        <v/>
      </c>
      <c r="JL18" s="79">
        <f>IF(COUNTA(IG18:JJ18)=0, "", COUNTA(IG18:JJ18) - SUMPRODUCT(--ISNUMBER(SEARCH("m", IG18:JJ18))))</f>
        <v/>
      </c>
      <c r="JM18" s="79" t="n"/>
      <c r="JN18" s="79" t="n"/>
      <c r="JO18" s="79" t="n"/>
      <c r="JP18" s="79" t="n"/>
      <c r="JQ18" s="79" t="n"/>
      <c r="JR18" s="79" t="n"/>
      <c r="JS18" s="18" t="n"/>
      <c r="JT18" s="19" t="n"/>
      <c r="JU18" s="6" t="n"/>
      <c r="JV18" s="79" t="n"/>
      <c r="JW18" s="6" t="n"/>
      <c r="JX18" s="79" t="n"/>
      <c r="JY18" s="6" t="n"/>
      <c r="JZ18" s="79" t="n"/>
      <c r="KA18" s="6" t="n"/>
      <c r="KB18" s="79" t="n"/>
      <c r="KC18" s="6" t="n"/>
      <c r="KD18" s="79" t="n"/>
      <c r="KE18" s="18" t="n"/>
      <c r="KF18" s="79" t="n"/>
      <c r="KG18" s="80">
        <f>IFERROR(ROUND(AVERAGE(JM18,JO18,JQ18,JS18,JU18,JW18,JY18,KA18,KC18,KE18), 2), "")</f>
        <v/>
      </c>
      <c r="KH18" s="79" t="n"/>
      <c r="KI18" s="79" t="n"/>
      <c r="KJ18" s="79" t="n"/>
      <c r="KK18" s="79" t="n"/>
      <c r="KL18" s="79" t="n"/>
      <c r="KM18" s="79" t="n"/>
      <c r="KN18" s="18" t="n"/>
      <c r="KO18" s="19" t="n"/>
      <c r="KP18" s="6" t="n"/>
      <c r="KQ18" s="6" t="n"/>
      <c r="KR18" s="6" t="n"/>
      <c r="KS18" s="6" t="n"/>
      <c r="KT18" s="6" t="n"/>
      <c r="KU18" s="6" t="n"/>
      <c r="KV18" s="6" t="n"/>
      <c r="KW18" s="6" t="n"/>
      <c r="KX18" s="6" t="n"/>
      <c r="KY18" s="6" t="n"/>
      <c r="KZ18" s="6" t="n"/>
      <c r="LA18" s="6" t="n"/>
      <c r="LB18" s="6" t="n"/>
      <c r="LC18" s="6" t="n"/>
      <c r="LD18" s="6" t="n"/>
      <c r="LE18" s="6" t="n"/>
      <c r="LF18" s="6" t="n"/>
      <c r="LG18" s="6" t="n"/>
      <c r="LH18" s="6" t="n"/>
      <c r="LI18" s="6" t="n"/>
      <c r="LJ18" s="6" t="n"/>
      <c r="LK18" s="6" t="n"/>
      <c r="LL18" s="6">
        <f>IF(COUNTA(KH18:LK18)=0, "", SUMPRODUCT(--ISNUMBER(SEARCH("m", KH18:LK18))))</f>
        <v/>
      </c>
      <c r="LM18" s="6">
        <f>IF(COUNTA(KH18:LK18)=0, "", COUNTA(KH18:LK18) - SUMPRODUCT(--ISNUMBER(SEARCH("m", KH18:LK18))))</f>
        <v/>
      </c>
      <c r="LN18" s="6" t="n"/>
      <c r="LO18" s="6" t="n"/>
      <c r="LP18" s="6" t="n"/>
      <c r="LQ18" s="6" t="n"/>
      <c r="LR18" s="6" t="n"/>
      <c r="LS18" s="6" t="n"/>
      <c r="LT18" s="6" t="n"/>
      <c r="LU18" s="6" t="n"/>
      <c r="LV18" s="6" t="n"/>
      <c r="LW18" s="6" t="n"/>
      <c r="LX18" s="6" t="n"/>
      <c r="LY18" s="6" t="n"/>
      <c r="LZ18" s="6" t="n"/>
      <c r="MA18" s="6" t="n"/>
      <c r="MB18" s="6" t="n"/>
      <c r="MC18" s="6" t="n"/>
      <c r="MD18" s="6" t="n"/>
      <c r="ME18" s="6" t="n"/>
      <c r="MF18" s="6" t="n"/>
      <c r="MG18" s="6" t="n"/>
      <c r="MH18" s="20">
        <f>IFERROR(ROUND(AVERAGE(LN18,LP18,LR18,LT18,LV18,LX18,LZ18,MB18,MD18,MF18), 2), "")</f>
        <v/>
      </c>
      <c r="MI18" s="6" t="n"/>
      <c r="MJ18" s="6" t="n"/>
      <c r="MK18" s="6" t="n"/>
      <c r="ML18" s="6" t="n"/>
      <c r="MM18" s="6" t="n"/>
      <c r="MN18" s="6" t="n"/>
      <c r="MO18" s="6" t="n"/>
      <c r="MP18" s="6" t="n"/>
      <c r="MQ18" s="6" t="n"/>
      <c r="MR18" s="6" t="n"/>
      <c r="MS18" s="6" t="n"/>
      <c r="MT18" s="6" t="n"/>
      <c r="MU18" s="6" t="n"/>
      <c r="MV18" s="6" t="n"/>
      <c r="MW18" s="6" t="n"/>
      <c r="MX18" s="6" t="n"/>
      <c r="MY18" s="6" t="n"/>
      <c r="MZ18" s="6" t="n"/>
      <c r="NA18" s="6" t="n"/>
      <c r="NB18" s="6" t="n"/>
      <c r="NC18" s="6" t="n"/>
      <c r="ND18" s="6" t="n"/>
      <c r="NE18" s="6" t="n"/>
      <c r="NF18" s="6" t="n"/>
      <c r="NG18" s="6" t="n"/>
      <c r="NH18" s="6" t="n"/>
      <c r="NI18" s="6" t="n"/>
      <c r="NJ18" s="6" t="n"/>
      <c r="NK18" s="6" t="n"/>
      <c r="NL18" s="6" t="n"/>
      <c r="NM18" s="6">
        <f>IF(COUNTA(MI18:NL18)=0, "", SUMPRODUCT(--ISNUMBER(SEARCH("m", MI18:NL18))))</f>
        <v/>
      </c>
      <c r="NN18" s="6">
        <f>IF(COUNTA(MI18:NL18)=0, "", COUNTA(MI18:NL18) - SUMPRODUCT(--ISNUMBER(SEARCH("m", MI18:NL18))))</f>
        <v/>
      </c>
      <c r="NO18" s="6" t="n"/>
      <c r="NP18" s="6" t="n"/>
      <c r="NQ18" s="6" t="n"/>
      <c r="NR18" s="6" t="n"/>
      <c r="NS18" s="6" t="n"/>
      <c r="NT18" s="6" t="n"/>
      <c r="NU18" s="6" t="n"/>
      <c r="NV18" s="6" t="n"/>
      <c r="NW18" s="6" t="n"/>
      <c r="NX18" s="6" t="n"/>
      <c r="NY18" s="6" t="n"/>
      <c r="NZ18" s="6" t="n"/>
      <c r="OA18" s="6" t="n"/>
      <c r="OB18" s="6" t="n"/>
      <c r="OC18" s="6" t="n"/>
      <c r="OD18" s="6" t="n"/>
      <c r="OE18" s="6" t="n"/>
      <c r="OF18" s="6" t="n"/>
      <c r="OG18" s="6" t="n"/>
      <c r="OH18" s="6" t="n"/>
      <c r="OI18" s="20">
        <f>IFERROR(ROUND(AVERAGE(NO18,NQ18,NS18,NU18,NW18,NY18,OA18,OC18,OE18,OG18), 2), "")</f>
        <v/>
      </c>
      <c r="OJ18" s="6" t="n"/>
      <c r="OK18" s="6" t="n"/>
      <c r="OL18" s="6" t="n"/>
      <c r="OM18" s="6" t="n"/>
      <c r="ON18" s="6" t="n"/>
      <c r="OO18" s="6" t="n"/>
      <c r="OP18" s="6" t="n"/>
      <c r="OQ18" s="6" t="n"/>
      <c r="OR18" s="6" t="n"/>
      <c r="OS18" s="6" t="n"/>
      <c r="OT18" s="6" t="n"/>
      <c r="OU18" s="6" t="n"/>
      <c r="OV18" s="6" t="n"/>
      <c r="OW18" s="6" t="n"/>
      <c r="OX18" s="6" t="n"/>
      <c r="OY18" s="6" t="n"/>
      <c r="OZ18" s="6" t="n"/>
      <c r="PA18" s="6" t="n"/>
      <c r="PB18" s="6" t="n"/>
      <c r="PC18" s="6" t="n"/>
      <c r="PD18" s="6" t="n"/>
      <c r="PE18" s="6" t="n"/>
      <c r="PF18" s="6" t="n"/>
      <c r="PG18" s="6" t="n"/>
      <c r="PH18" s="6" t="n"/>
      <c r="PI18" s="6" t="n"/>
      <c r="PJ18" s="6" t="n"/>
      <c r="PK18" s="6" t="n"/>
      <c r="PL18" s="6" t="n"/>
      <c r="PM18" s="6" t="n"/>
      <c r="PN18" s="6">
        <f>IF(COUNTA(OJ18:PM18)=0, "", SUMPRODUCT(--ISNUMBER(SEARCH("m", OJ18:PM18))))</f>
        <v/>
      </c>
      <c r="PO18" s="6">
        <f>IF(COUNTA(OJ18:PM18)=0, "", COUNTA(OJ18:PM18) - SUMPRODUCT(--ISNUMBER(SEARCH("m", OJ18:PM18))))</f>
        <v/>
      </c>
      <c r="PP18" s="6" t="n"/>
      <c r="PQ18" s="6" t="n"/>
      <c r="PR18" s="6" t="n"/>
      <c r="PS18" s="6" t="n"/>
      <c r="PT18" s="6" t="n"/>
      <c r="PU18" s="6" t="n"/>
      <c r="PV18" s="6" t="n"/>
      <c r="PW18" s="6" t="n"/>
      <c r="PX18" s="6" t="n"/>
      <c r="PY18" s="6" t="n"/>
      <c r="PZ18" s="6" t="n"/>
      <c r="QA18" s="6" t="n"/>
      <c r="QB18" s="6" t="n"/>
      <c r="QC18" s="6" t="n"/>
      <c r="QD18" s="6" t="n"/>
      <c r="QE18" s="6" t="n"/>
      <c r="QF18" s="6" t="n"/>
      <c r="QG18" s="6" t="n"/>
      <c r="QH18" s="6" t="n"/>
      <c r="QI18" s="6" t="n"/>
      <c r="QJ18" s="20">
        <f>IFERROR(ROUND(AVERAGE(PP18,PR18,PT18,PV18,PX18,PZ18,QB18,QD18,QF18,QH18), 2), "")</f>
        <v/>
      </c>
      <c r="QK18" s="6" t="n"/>
      <c r="QL18" s="6" t="n"/>
      <c r="QM18" s="6" t="n"/>
      <c r="QN18" s="6" t="n"/>
      <c r="QO18" s="6" t="n"/>
      <c r="QP18" s="6" t="n"/>
      <c r="QQ18" s="6" t="n"/>
      <c r="QR18" s="6" t="n"/>
      <c r="QS18" s="6" t="n"/>
      <c r="QT18" s="6" t="n"/>
      <c r="QU18" s="6" t="n"/>
      <c r="QV18" s="6" t="n"/>
      <c r="QW18" s="6" t="n"/>
      <c r="QX18" s="6" t="n"/>
      <c r="QY18" s="6" t="n"/>
      <c r="QZ18" s="6" t="n"/>
      <c r="RA18" s="6" t="n"/>
      <c r="RB18" s="6" t="n"/>
      <c r="RC18" s="6" t="n"/>
      <c r="RD18" s="6" t="n"/>
      <c r="RE18" s="6" t="n"/>
      <c r="RF18" s="6" t="n"/>
      <c r="RG18" s="6" t="n"/>
      <c r="RH18" s="6" t="n"/>
      <c r="RI18" s="6" t="n"/>
      <c r="RJ18" s="6" t="n"/>
      <c r="RK18" s="6" t="n"/>
      <c r="RL18" s="6" t="n"/>
      <c r="RM18" s="6" t="n"/>
      <c r="RN18" s="6" t="n"/>
      <c r="RO18" s="6">
        <f>IF(COUNTA(QK18:RN18)=0, "", SUMPRODUCT(--ISNUMBER(SEARCH("m", QK18:RN18))))</f>
        <v/>
      </c>
      <c r="RP18" s="6">
        <f>IF(COUNTA(QK18:RN18)=0, "", COUNTA(QK18:RN18) - SUMPRODUCT(--ISNUMBER(SEARCH("m", QK18:RN18))))</f>
        <v/>
      </c>
      <c r="RQ18" s="6" t="n"/>
      <c r="RR18" s="6" t="n"/>
      <c r="RS18" s="6" t="n"/>
      <c r="RT18" s="6" t="n"/>
      <c r="RU18" s="6" t="n"/>
      <c r="RV18" s="6" t="n"/>
      <c r="RW18" s="6" t="n"/>
      <c r="RX18" s="6" t="n"/>
      <c r="RY18" s="6" t="n"/>
      <c r="RZ18" s="6" t="n"/>
      <c r="SA18" s="6" t="n"/>
      <c r="SB18" s="6" t="n"/>
      <c r="SC18" s="6" t="n"/>
      <c r="SD18" s="6" t="n"/>
      <c r="SE18" s="6" t="n"/>
      <c r="SF18" s="6" t="n"/>
      <c r="SG18" s="6" t="n"/>
      <c r="SH18" s="6" t="n"/>
      <c r="SI18" s="6" t="n"/>
      <c r="SJ18" s="6" t="n"/>
      <c r="SK18" s="20">
        <f>IFERROR(ROUND(AVERAGE(RQ18,RS18,RU18,RW18,RY18,SA18,SC18,SE18,SG18,SI18), 2), "")</f>
        <v/>
      </c>
      <c r="SL18" s="6" t="n"/>
      <c r="SM18" s="6" t="n"/>
      <c r="SN18" s="6" t="n"/>
      <c r="SO18" s="6" t="n"/>
      <c r="SP18" s="6" t="n"/>
      <c r="SQ18" s="6" t="n"/>
      <c r="SR18" s="6" t="n"/>
      <c r="SS18" s="6" t="n"/>
      <c r="ST18" s="6" t="n"/>
      <c r="SU18" s="6" t="n"/>
      <c r="SV18" s="6" t="n"/>
      <c r="SW18" s="6" t="n"/>
      <c r="SX18" s="6" t="n"/>
      <c r="SY18" s="6" t="n"/>
      <c r="SZ18" s="6" t="n"/>
      <c r="TA18" s="6" t="n"/>
      <c r="TB18" s="6" t="n"/>
      <c r="TC18" s="6" t="n"/>
      <c r="TD18" s="6" t="n"/>
      <c r="TE18" s="6" t="n"/>
      <c r="TF18" s="6" t="n"/>
      <c r="TG18" s="6" t="n"/>
      <c r="TH18" s="6" t="n"/>
      <c r="TI18" s="6" t="n"/>
      <c r="TJ18" s="6" t="n"/>
      <c r="TK18" s="6" t="n"/>
      <c r="TL18" s="6" t="n"/>
      <c r="TM18" s="6" t="n"/>
      <c r="TN18" s="6" t="n"/>
      <c r="TO18" s="6" t="n"/>
      <c r="TP18" s="6">
        <f>IF(COUNTA(SL18:TO18)=0, "", SUMPRODUCT(--ISNUMBER(SEARCH("m", SL18:TO18))))</f>
        <v/>
      </c>
      <c r="TQ18" s="6">
        <f>IF(COUNTA(SL18:TO18)=0, "", COUNTA(SL18:TO18) - SUMPRODUCT(--ISNUMBER(SEARCH("m", SL18:TO18))))</f>
        <v/>
      </c>
      <c r="TR18" s="6" t="n"/>
      <c r="TS18" s="6" t="n"/>
      <c r="TT18" s="6" t="n"/>
      <c r="TU18" s="6" t="n"/>
      <c r="TV18" s="6" t="n"/>
      <c r="TW18" s="6" t="n"/>
      <c r="TX18" s="6" t="n"/>
      <c r="TY18" s="6" t="n"/>
      <c r="TZ18" s="6" t="n"/>
      <c r="UA18" s="6" t="n"/>
      <c r="UB18" s="6" t="n"/>
      <c r="UC18" s="6" t="n"/>
      <c r="UD18" s="6" t="n"/>
      <c r="UE18" s="6" t="n"/>
      <c r="UF18" s="6" t="n"/>
      <c r="UG18" s="6" t="n"/>
      <c r="UH18" s="6" t="n"/>
      <c r="UI18" s="6" t="n"/>
      <c r="UJ18" s="6" t="n"/>
      <c r="UK18" s="6" t="n"/>
      <c r="UL18" s="20">
        <f>IFERROR(ROUND(AVERAGE(TR18,TT18,TV18,TX18,TZ18,UB18,UD18,UF18,UH18,UJ18), 2), "")</f>
        <v/>
      </c>
      <c r="UM18" s="6" t="n"/>
      <c r="UN18" s="6" t="n"/>
      <c r="UO18" s="6" t="n"/>
      <c r="UP18" s="6" t="n"/>
      <c r="UQ18" s="6" t="n"/>
      <c r="UR18" s="6" t="n"/>
      <c r="US18" s="6" t="n"/>
      <c r="UT18" s="6" t="n"/>
      <c r="UU18" s="6" t="n"/>
      <c r="UV18" s="6" t="n"/>
      <c r="UW18" s="6" t="n"/>
      <c r="UX18" s="6" t="n"/>
      <c r="UY18" s="6" t="n"/>
      <c r="UZ18" s="6" t="n"/>
      <c r="VA18" s="6" t="n"/>
      <c r="VB18" s="6" t="n"/>
      <c r="VC18" s="6" t="n"/>
      <c r="VD18" s="6" t="n"/>
      <c r="VE18" s="6" t="n"/>
      <c r="VF18" s="6" t="n"/>
      <c r="VG18" s="6" t="n"/>
      <c r="VH18" s="6" t="n"/>
      <c r="VI18" s="6" t="n"/>
      <c r="VJ18" s="6" t="n"/>
      <c r="VK18" s="6" t="n"/>
      <c r="VL18" s="6" t="n"/>
      <c r="VM18" s="6" t="n"/>
      <c r="VN18" s="6" t="n"/>
      <c r="VO18" s="6" t="n"/>
      <c r="VP18" s="6" t="n"/>
      <c r="VQ18" s="6">
        <f>IF(COUNTA(UM18:VP18)=0, "", SUMPRODUCT(--ISNUMBER(SEARCH("m", UM18:VP18))))</f>
        <v/>
      </c>
      <c r="VR18" s="6">
        <f>IF(COUNTA(UM18:VP18)=0, "", COUNTA(UM18:VP18) - SUMPRODUCT(--ISNUMBER(SEARCH("m", UM18:VP18))))</f>
        <v/>
      </c>
      <c r="VS18" s="6" t="n"/>
      <c r="VT18" s="6" t="n"/>
      <c r="VU18" s="6" t="n"/>
      <c r="VV18" s="6" t="n"/>
      <c r="VW18" s="6" t="n"/>
      <c r="VX18" s="6" t="n"/>
      <c r="VY18" s="6" t="n"/>
      <c r="VZ18" s="6" t="n"/>
      <c r="WA18" s="6" t="n"/>
      <c r="WB18" s="6" t="n"/>
      <c r="WC18" s="6" t="n"/>
      <c r="WD18" s="6" t="n"/>
      <c r="WE18" s="6" t="n"/>
      <c r="WF18" s="6" t="n"/>
      <c r="WG18" s="6" t="n"/>
      <c r="WH18" s="6" t="n"/>
      <c r="WI18" s="6" t="n"/>
      <c r="WJ18" s="6" t="n"/>
      <c r="WK18" s="6" t="n"/>
      <c r="WL18" s="6" t="n"/>
      <c r="WM18" s="20">
        <f>IFERROR(ROUND(AVERAGE(VS18,VU18,VW18,VY18,WA18,WC18,WE18,WG18,WI18,WK18), 2), "")</f>
        <v/>
      </c>
      <c r="WN18" s="6" t="n"/>
      <c r="WO18" s="6" t="n"/>
      <c r="WP18" s="6" t="n"/>
      <c r="WQ18" s="6" t="n"/>
      <c r="WR18" s="6" t="n"/>
      <c r="WS18" s="6" t="n"/>
      <c r="WT18" s="6" t="n"/>
      <c r="WU18" s="6" t="n"/>
      <c r="WV18" s="6" t="n"/>
      <c r="WW18" s="6" t="n"/>
      <c r="WX18" s="6" t="n"/>
      <c r="WY18" s="6" t="n"/>
      <c r="WZ18" s="6" t="n"/>
      <c r="XA18" s="6" t="n"/>
      <c r="XB18" s="6" t="n"/>
      <c r="XC18" s="6" t="n"/>
      <c r="XD18" s="6" t="n"/>
      <c r="XE18" s="6" t="n"/>
      <c r="XF18" s="6" t="n"/>
      <c r="XG18" s="6" t="n"/>
      <c r="XH18" s="6" t="n"/>
      <c r="XI18" s="6" t="n"/>
      <c r="XJ18" s="6" t="n"/>
      <c r="XK18" s="6" t="n"/>
      <c r="XL18" s="6" t="n"/>
      <c r="XM18" s="6" t="n"/>
      <c r="XN18" s="6" t="n"/>
      <c r="XO18" s="6" t="n"/>
      <c r="XP18" s="6" t="n"/>
      <c r="XQ18" s="6" t="n"/>
      <c r="XR18" s="6">
        <f>IF(COUNTA(WN18:XQ18)=0, "", SUMPRODUCT(--ISNUMBER(SEARCH("m", WN18:XQ18))))</f>
        <v/>
      </c>
      <c r="XS18" s="6">
        <f>IF(COUNTA(WN18:XQ18)=0, "", COUNTA(WN18:XQ18) - SUMPRODUCT(--ISNUMBER(SEARCH("m", WN18:XQ18))))</f>
        <v/>
      </c>
      <c r="XT18" s="6" t="n"/>
      <c r="XU18" s="6" t="n"/>
      <c r="XV18" s="6" t="n"/>
      <c r="XW18" s="6" t="n"/>
      <c r="XX18" s="6" t="n"/>
      <c r="XY18" s="6" t="n"/>
      <c r="XZ18" s="6" t="n"/>
      <c r="YA18" s="6" t="n"/>
      <c r="YB18" s="6" t="n"/>
      <c r="YC18" s="6" t="n"/>
      <c r="YD18" s="6" t="n"/>
      <c r="YE18" s="6" t="n"/>
      <c r="YF18" s="6" t="n"/>
      <c r="YG18" s="6" t="n"/>
      <c r="YH18" s="6" t="n"/>
      <c r="YI18" s="6" t="n"/>
      <c r="YJ18" s="6" t="n"/>
      <c r="YK18" s="6" t="n"/>
      <c r="YL18" s="6" t="n"/>
      <c r="YM18" s="6" t="n"/>
      <c r="YN18" s="20">
        <f>IFERROR(ROUND(AVERAGE(XT18,XV18,XX18,XZ18,YB18,YD18,YF18,YH18,YJ18,YL18), 2), "")</f>
        <v/>
      </c>
      <c r="YO18" s="6" t="n"/>
      <c r="YP18" s="6" t="n"/>
      <c r="YQ18" s="6" t="n"/>
      <c r="YR18" s="6" t="n"/>
      <c r="YS18" s="6" t="n"/>
      <c r="YT18" s="6" t="n"/>
      <c r="YU18" s="6" t="n"/>
      <c r="YV18" s="6" t="n"/>
      <c r="YW18" s="6" t="n"/>
      <c r="YX18" s="6" t="n"/>
      <c r="YY18" s="6" t="n"/>
      <c r="YZ18" s="6" t="n"/>
      <c r="ZA18" s="6" t="n"/>
      <c r="ZB18" s="6" t="n"/>
      <c r="ZC18" s="6" t="n"/>
      <c r="ZD18" s="6" t="n"/>
      <c r="ZE18" s="6" t="n"/>
      <c r="ZF18" s="6" t="n"/>
      <c r="ZG18" s="6" t="n"/>
      <c r="ZH18" s="6" t="n"/>
      <c r="ZI18" s="6" t="n"/>
      <c r="ZJ18" s="6" t="n"/>
      <c r="ZK18" s="6" t="n"/>
      <c r="ZL18" s="6" t="n"/>
      <c r="ZM18" s="6" t="n"/>
      <c r="ZN18" s="6" t="n"/>
      <c r="ZO18" s="6" t="n"/>
      <c r="ZP18" s="6" t="n"/>
      <c r="ZQ18" s="6" t="n"/>
      <c r="ZR18" s="6" t="n"/>
      <c r="ZS18" s="6">
        <f>IF(COUNTA(YO18:ZR18)=0, "", SUMPRODUCT(--ISNUMBER(SEARCH("m", YO18:ZR18))))</f>
        <v/>
      </c>
      <c r="ZT18" s="6">
        <f>IF(COUNTA(YO18:ZR18)=0, "", COUNTA(YO18:ZR18) - SUMPRODUCT(--ISNUMBER(SEARCH("m", YO18:ZR18))))</f>
        <v/>
      </c>
      <c r="ZU18" s="6" t="n"/>
      <c r="ZV18" s="6" t="n"/>
      <c r="ZW18" s="6" t="n"/>
      <c r="ZX18" s="6" t="n"/>
      <c r="ZY18" s="6" t="n"/>
      <c r="ZZ18" s="6" t="n"/>
      <c r="AAA18" s="6" t="n"/>
      <c r="AAB18" s="6" t="n"/>
      <c r="AAC18" s="6" t="n"/>
      <c r="AAD18" s="6" t="n"/>
      <c r="AAE18" s="6" t="n"/>
      <c r="AAF18" s="6" t="n"/>
      <c r="AAG18" s="6" t="n"/>
      <c r="AAH18" s="6" t="n"/>
      <c r="AAI18" s="6" t="n"/>
      <c r="AAJ18" s="6" t="n"/>
      <c r="AAK18" s="6" t="n"/>
      <c r="AAL18" s="6" t="n"/>
      <c r="AAM18" s="6" t="n"/>
      <c r="AAN18" s="6" t="n"/>
      <c r="AAO18" s="20">
        <f>IFERROR(ROUND(AVERAGE(ZU18,ZW18,ZY18,AAA18,AAC18,AAE18,AAG18,AAI18,AAK18,AAM18), 2), "")</f>
        <v/>
      </c>
      <c r="AAP18" s="6" t="n"/>
      <c r="AAQ18" s="6" t="n"/>
      <c r="AAR18" s="6" t="n"/>
      <c r="AAS18" s="6" t="n"/>
      <c r="AAT18" s="6" t="n"/>
      <c r="AAU18" s="6" t="n"/>
      <c r="AAV18" s="6" t="n"/>
      <c r="AAW18" s="6" t="n"/>
      <c r="AAX18" s="6" t="n"/>
      <c r="AAY18" s="6" t="n"/>
      <c r="AAZ18" s="6" t="n"/>
      <c r="ABA18" s="6" t="n"/>
      <c r="ABB18" s="6" t="n"/>
      <c r="ABC18" s="6" t="n"/>
      <c r="ABD18" s="6" t="n"/>
      <c r="ABE18" s="6" t="n"/>
      <c r="ABF18" s="6" t="n"/>
      <c r="ABG18" s="6" t="n"/>
      <c r="ABH18" s="6" t="n"/>
      <c r="ABI18" s="6" t="n"/>
      <c r="ABJ18" s="6" t="n"/>
      <c r="ABK18" s="6" t="n"/>
      <c r="ABL18" s="6" t="n"/>
      <c r="ABM18" s="6" t="n"/>
      <c r="ABN18" s="6" t="n"/>
      <c r="ABO18" s="6" t="n"/>
      <c r="ABP18" s="6" t="n"/>
      <c r="ABQ18" s="6" t="n"/>
      <c r="ABR18" s="6" t="n"/>
      <c r="ABS18" s="6" t="n"/>
      <c r="ABT18" s="6">
        <f>IF(COUNTA(AAP18:ABS18)=0, "", SUMPRODUCT(--ISNUMBER(SEARCH("m", AAP18:ABS18))))</f>
        <v/>
      </c>
      <c r="ABU18" s="6">
        <f>IF(COUNTA(AAP18:ABS18)=0, "", COUNTA(AAP18:ABS18) - SUMPRODUCT(--ISNUMBER(SEARCH("m", AAP18:ABS18))))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8">
        <f>IFERROR(ROUND(AVERAGE(AB19,CC19,ED19,GE19,IF19,KG19,MH19,OI19,QJ19,SK19,UL19,WM19,YN19,AAO19), 2), "")</f>
        <v/>
      </c>
      <c r="F19" s="14">
        <f>IF(SUM(BH19,DI19,FJ19,HK19,JL19,LM19,NN19,PO19,RP19,TQ19,VR19,XS19,ZT19,ABU19)=0, "", SUM(BH19,DI19,FJ19,HK19,JL19,LM19,NN19,PO19,RP19,TQ19,VR19,XS19,ZT19,ABU19))</f>
        <v/>
      </c>
      <c r="G19" s="8">
        <f>IF(SUM(BG19,DH19,FI19,HJ19,JK19,LL19,NM19,PN19,RO19,TP19,VQ19,XR19,ZS19,ABT19)=0, "", SUM(BG19,DH19,FI19,HJ19,JK19,LL19,NM19,PN19,RO19,TP19,VQ19,XR19,ZS19,ABT19))</f>
        <v/>
      </c>
      <c r="H19" s="6" t="n"/>
      <c r="I19" s="79" t="n"/>
      <c r="J19" s="6" t="n"/>
      <c r="K19" s="79" t="n"/>
      <c r="L19" s="6" t="n"/>
      <c r="M19" s="79" t="n"/>
      <c r="N19" s="6" t="n"/>
      <c r="O19" s="79" t="n"/>
      <c r="P19" s="6" t="n"/>
      <c r="Q19" s="79" t="n"/>
      <c r="R19" s="18" t="n"/>
      <c r="S19" s="79" t="n"/>
      <c r="T19" s="79" t="n"/>
      <c r="U19" s="79" t="n"/>
      <c r="V19" s="79" t="n"/>
      <c r="W19" s="79" t="n"/>
      <c r="X19" s="79" t="n"/>
      <c r="Y19" s="79" t="n"/>
      <c r="Z19" s="79" t="n"/>
      <c r="AA19" s="18" t="n"/>
      <c r="AB19" s="14">
        <f>IFERROR(ROUND(AVERAGE(H19,J19,L19,N19,P19,R19,T19,V19,X19,Z19), 2), "")</f>
        <v/>
      </c>
      <c r="AC19" s="6" t="n"/>
      <c r="AD19" s="79" t="n"/>
      <c r="AE19" s="6" t="n"/>
      <c r="AF19" s="79" t="n"/>
      <c r="AG19" s="6" t="n"/>
      <c r="AH19" s="79" t="n"/>
      <c r="AI19" s="6" t="n"/>
      <c r="AJ19" s="79" t="n"/>
      <c r="AK19" s="6" t="n"/>
      <c r="AL19" s="79" t="n"/>
      <c r="AM19" s="18" t="n"/>
      <c r="AN19" s="79" t="n"/>
      <c r="AO19" s="79" t="n"/>
      <c r="AP19" s="79" t="n"/>
      <c r="AQ19" s="79" t="n"/>
      <c r="AR19" s="79" t="n"/>
      <c r="AS19" s="79" t="n"/>
      <c r="AT19" s="79" t="n"/>
      <c r="AU19" s="79" t="n"/>
      <c r="AV19" s="18" t="n"/>
      <c r="AW19" s="19" t="n"/>
      <c r="AX19" s="6" t="n"/>
      <c r="AY19" s="79" t="n"/>
      <c r="AZ19" s="6" t="n"/>
      <c r="BA19" s="79" t="n"/>
      <c r="BB19" s="6" t="n"/>
      <c r="BC19" s="79" t="n"/>
      <c r="BD19" s="6" t="n"/>
      <c r="BE19" s="79" t="n"/>
      <c r="BF19" s="6" t="n"/>
      <c r="BG19" s="79">
        <f>IF(COUNTA(AC19:BF19)=0, "", SUMPRODUCT(--ISNUMBER(SEARCH("m", AC19:BF19))))</f>
        <v/>
      </c>
      <c r="BH19" s="18">
        <f>IF(COUNTA(AC19:BF19)=0, "", COUNTA(AC19:BF19) - SUMPRODUCT(--ISNUMBER(SEARCH("m", AC19:BF19))))</f>
        <v/>
      </c>
      <c r="BI19" s="79" t="n"/>
      <c r="BJ19" s="79" t="n"/>
      <c r="BK19" s="79" t="n"/>
      <c r="BL19" s="79" t="n"/>
      <c r="BM19" s="79" t="n"/>
      <c r="BN19" s="79" t="n"/>
      <c r="BO19" s="79" t="n"/>
      <c r="BP19" s="79" t="n"/>
      <c r="BQ19" s="18" t="n"/>
      <c r="BR19" s="19" t="n"/>
      <c r="BS19" s="6" t="n"/>
      <c r="BT19" s="79" t="n"/>
      <c r="BU19" s="6" t="n"/>
      <c r="BV19" s="79" t="n"/>
      <c r="BW19" s="6" t="n"/>
      <c r="BX19" s="79" t="n"/>
      <c r="BY19" s="6" t="n"/>
      <c r="BZ19" s="79" t="n"/>
      <c r="CA19" s="6" t="n"/>
      <c r="CB19" s="79" t="n"/>
      <c r="CC19" s="8">
        <f>IFERROR(ROUND(AVERAGE(BI19,BK19,BM19,BO19,BQ19,BS19,BU19,BW19,BY19,CA19), 2), "")</f>
        <v/>
      </c>
      <c r="CD19" s="79" t="n"/>
      <c r="CE19" s="79" t="n"/>
      <c r="CF19" s="79" t="n"/>
      <c r="CG19" s="79" t="n"/>
      <c r="CH19" s="79" t="n"/>
      <c r="CI19" s="79" t="n"/>
      <c r="CJ19" s="79" t="n"/>
      <c r="CK19" s="79" t="n"/>
      <c r="CL19" s="18" t="n"/>
      <c r="CM19" s="19" t="n"/>
      <c r="CN19" s="6" t="n"/>
      <c r="CO19" s="79" t="n"/>
      <c r="CP19" s="6" t="n"/>
      <c r="CQ19" s="79" t="n"/>
      <c r="CR19" s="6" t="n"/>
      <c r="CS19" s="79" t="n"/>
      <c r="CT19" s="6" t="n"/>
      <c r="CU19" s="79" t="n"/>
      <c r="CV19" s="6" t="n"/>
      <c r="CW19" s="79" t="n"/>
      <c r="CX19" s="18" t="n"/>
      <c r="CY19" s="79" t="n"/>
      <c r="CZ19" s="79" t="n"/>
      <c r="DA19" s="79" t="n"/>
      <c r="DB19" s="79" t="n"/>
      <c r="DC19" s="79" t="n"/>
      <c r="DD19" s="79" t="n"/>
      <c r="DE19" s="79" t="n"/>
      <c r="DF19" s="79" t="n"/>
      <c r="DG19" s="18" t="n"/>
      <c r="DH19" s="19">
        <f>IF(COUNTA(CD19:DG19)=0, "", SUMPRODUCT(--ISNUMBER(SEARCH("m", CD19:DG19))))</f>
        <v/>
      </c>
      <c r="DI19" s="6">
        <f>IF(COUNTA(CD19:DG19)=0, "", COUNTA(CD19:DG19) - SUMPRODUCT(--ISNUMBER(SEARCH("m", CD19:DG19))))</f>
        <v/>
      </c>
      <c r="DJ19" s="79" t="n"/>
      <c r="DK19" s="6" t="n"/>
      <c r="DL19" s="79" t="n"/>
      <c r="DM19" s="6" t="n"/>
      <c r="DN19" s="79" t="n"/>
      <c r="DO19" s="6" t="n"/>
      <c r="DP19" s="79" t="n"/>
      <c r="DQ19" s="6" t="n"/>
      <c r="DR19" s="79" t="n"/>
      <c r="DS19" s="18" t="n"/>
      <c r="DT19" s="79" t="n"/>
      <c r="DU19" s="79" t="n"/>
      <c r="DV19" s="79" t="n"/>
      <c r="DW19" s="79" t="n"/>
      <c r="DX19" s="79" t="n"/>
      <c r="DY19" s="79" t="n"/>
      <c r="DZ19" s="79" t="n"/>
      <c r="EA19" s="79" t="n"/>
      <c r="EB19" s="18" t="n"/>
      <c r="EC19" s="19" t="n"/>
      <c r="ED19" s="20">
        <f>IFERROR(ROUND(AVERAGE(DJ19,DL19,DN19,DP19,DR19,DT19,DV19,DX19,DZ19,EB19), 2), "")</f>
        <v/>
      </c>
      <c r="EE19" s="79" t="n"/>
      <c r="EF19" s="6" t="n"/>
      <c r="EG19" s="79" t="n"/>
      <c r="EH19" s="6" t="n"/>
      <c r="EI19" s="79" t="n"/>
      <c r="EJ19" s="6" t="n"/>
      <c r="EK19" s="79" t="n"/>
      <c r="EL19" s="6" t="n"/>
      <c r="EM19" s="79" t="n"/>
      <c r="EN19" s="18" t="n"/>
      <c r="EO19" s="79" t="n"/>
      <c r="EP19" s="79" t="n"/>
      <c r="EQ19" s="79" t="n"/>
      <c r="ER19" s="79" t="n"/>
      <c r="ES19" s="79" t="n"/>
      <c r="ET19" s="79" t="n"/>
      <c r="EU19" s="79" t="n"/>
      <c r="EV19" s="79" t="n"/>
      <c r="EW19" s="18" t="n"/>
      <c r="EX19" s="19" t="n"/>
      <c r="EY19" s="6" t="n"/>
      <c r="EZ19" s="79" t="n"/>
      <c r="FA19" s="6" t="n"/>
      <c r="FB19" s="79" t="n"/>
      <c r="FC19" s="6" t="n"/>
      <c r="FD19" s="79" t="n"/>
      <c r="FE19" s="6" t="n"/>
      <c r="FF19" s="79" t="n"/>
      <c r="FG19" s="6" t="n"/>
      <c r="FH19" s="79" t="n"/>
      <c r="FI19" s="18">
        <f>IF(COUNTA(EE19:FH19)=0, "", SUMPRODUCT(--ISNUMBER(SEARCH("m", EE19:FH19))))</f>
        <v/>
      </c>
      <c r="FJ19" s="79">
        <f>IF(COUNTA(EE19:FH19)=0, "", COUNTA(EE19:FH19) - SUMPRODUCT(--ISNUMBER(SEARCH("m", EE19:FH19))))</f>
        <v/>
      </c>
      <c r="FK19" s="79" t="n"/>
      <c r="FL19" s="79" t="n"/>
      <c r="FM19" s="79" t="n"/>
      <c r="FN19" s="79" t="n"/>
      <c r="FO19" s="79" t="n"/>
      <c r="FP19" s="79" t="n"/>
      <c r="FQ19" s="79" t="n"/>
      <c r="FR19" s="18" t="n"/>
      <c r="FS19" s="19" t="n"/>
      <c r="FT19" s="6" t="n"/>
      <c r="FU19" s="79" t="n"/>
      <c r="FV19" s="6" t="n"/>
      <c r="FW19" s="79" t="n"/>
      <c r="FX19" s="6" t="n"/>
      <c r="FY19" s="79" t="n"/>
      <c r="FZ19" s="6" t="n"/>
      <c r="GA19" s="79" t="n"/>
      <c r="GB19" s="6" t="n"/>
      <c r="GC19" s="79" t="n"/>
      <c r="GD19" s="18" t="n"/>
      <c r="GE19" s="80">
        <f>IFERROR(ROUND(AVERAGE(FK19,FM19,FO19,FQ19,FS19,FU19,FW19,FY19,GA19,GC19), 2), "")</f>
        <v/>
      </c>
      <c r="GF19" s="79" t="n"/>
      <c r="GG19" s="79" t="n"/>
      <c r="GH19" s="79" t="n"/>
      <c r="GI19" s="79" t="n"/>
      <c r="GJ19" s="79" t="n"/>
      <c r="GK19" s="79" t="n"/>
      <c r="GL19" s="79" t="n"/>
      <c r="GM19" s="18" t="n"/>
      <c r="GN19" s="19" t="n"/>
      <c r="GO19" s="6" t="n"/>
      <c r="GP19" s="79" t="n"/>
      <c r="GQ19" s="6" t="n"/>
      <c r="GR19" s="79" t="n"/>
      <c r="GS19" s="6" t="n"/>
      <c r="GT19" s="79" t="n"/>
      <c r="GU19" s="6" t="n"/>
      <c r="GV19" s="79" t="n"/>
      <c r="GW19" s="6" t="n"/>
      <c r="GX19" s="79" t="n"/>
      <c r="GY19" s="18" t="n"/>
      <c r="GZ19" s="79" t="n"/>
      <c r="HA19" s="79" t="n"/>
      <c r="HB19" s="79" t="n"/>
      <c r="HC19" s="79" t="n"/>
      <c r="HD19" s="79" t="n"/>
      <c r="HE19" s="79" t="n"/>
      <c r="HF19" s="79" t="n"/>
      <c r="HG19" s="79" t="n"/>
      <c r="HH19" s="18" t="n"/>
      <c r="HI19" s="19" t="n"/>
      <c r="HJ19" s="6">
        <f>IF(COUNTA(GF19:HI19)=0, "", SUMPRODUCT(--ISNUMBER(SEARCH("m", GF19:HI19))))</f>
        <v/>
      </c>
      <c r="HK19" s="79">
        <f>IF(COUNTA(GF19:HI19)=0, "", COUNTA(GF19:HI19) - SUMPRODUCT(--ISNUMBER(SEARCH("m", GF19:HI19))))</f>
        <v/>
      </c>
      <c r="HL19" s="6" t="n"/>
      <c r="HM19" s="79" t="n"/>
      <c r="HN19" s="6" t="n"/>
      <c r="HO19" s="79" t="n"/>
      <c r="HP19" s="6" t="n"/>
      <c r="HQ19" s="79" t="n"/>
      <c r="HR19" s="6" t="n"/>
      <c r="HS19" s="79" t="n"/>
      <c r="HT19" s="18" t="n"/>
      <c r="HU19" s="79" t="n"/>
      <c r="HV19" s="79" t="n"/>
      <c r="HW19" s="79" t="n"/>
      <c r="HX19" s="79" t="n"/>
      <c r="HY19" s="79" t="n"/>
      <c r="HZ19" s="79" t="n"/>
      <c r="IA19" s="79" t="n"/>
      <c r="IB19" s="79" t="n"/>
      <c r="IC19" s="18" t="n"/>
      <c r="ID19" s="19" t="n"/>
      <c r="IE19" s="6" t="n"/>
      <c r="IF19" s="80">
        <f>IFERROR(ROUND(AVERAGE(HL19,HN19,HP19,HR19,HT19,HV19,HX19,HZ19,IB19,ID19), 2), "")</f>
        <v/>
      </c>
      <c r="IG19" s="6" t="n"/>
      <c r="IH19" s="79" t="n"/>
      <c r="II19" s="6" t="n"/>
      <c r="IJ19" s="79" t="n"/>
      <c r="IK19" s="6" t="n"/>
      <c r="IL19" s="79" t="n"/>
      <c r="IM19" s="6" t="n"/>
      <c r="IN19" s="79" t="n"/>
      <c r="IO19" s="18" t="n"/>
      <c r="IP19" s="79" t="n"/>
      <c r="IQ19" s="79" t="n"/>
      <c r="IR19" s="79" t="n"/>
      <c r="IS19" s="79" t="n"/>
      <c r="IT19" s="79" t="n"/>
      <c r="IU19" s="79" t="n"/>
      <c r="IV19" s="79" t="n"/>
      <c r="IW19" s="79" t="n"/>
      <c r="IX19" s="18" t="n"/>
      <c r="IY19" s="19" t="n"/>
      <c r="IZ19" s="6" t="n"/>
      <c r="JA19" s="79" t="n"/>
      <c r="JB19" s="6" t="n"/>
      <c r="JC19" s="79" t="n"/>
      <c r="JD19" s="6" t="n"/>
      <c r="JE19" s="79" t="n"/>
      <c r="JF19" s="6" t="n"/>
      <c r="JG19" s="79" t="n"/>
      <c r="JH19" s="6" t="n"/>
      <c r="JI19" s="79" t="n"/>
      <c r="JJ19" s="18" t="n"/>
      <c r="JK19" s="79">
        <f>IF(COUNTA(IG19:JJ19)=0, "", SUMPRODUCT(--ISNUMBER(SEARCH("m", IG19:JJ19))))</f>
        <v/>
      </c>
      <c r="JL19" s="79">
        <f>IF(COUNTA(IG19:JJ19)=0, "", COUNTA(IG19:JJ19) - SUMPRODUCT(--ISNUMBER(SEARCH("m", IG19:JJ19))))</f>
        <v/>
      </c>
      <c r="JM19" s="79" t="n"/>
      <c r="JN19" s="79" t="n"/>
      <c r="JO19" s="79" t="n"/>
      <c r="JP19" s="79" t="n"/>
      <c r="JQ19" s="79" t="n"/>
      <c r="JR19" s="79" t="n"/>
      <c r="JS19" s="18" t="n"/>
      <c r="JT19" s="19" t="n"/>
      <c r="JU19" s="6" t="n"/>
      <c r="JV19" s="79" t="n"/>
      <c r="JW19" s="6" t="n"/>
      <c r="JX19" s="79" t="n"/>
      <c r="JY19" s="6" t="n"/>
      <c r="JZ19" s="79" t="n"/>
      <c r="KA19" s="6" t="n"/>
      <c r="KB19" s="79" t="n"/>
      <c r="KC19" s="6" t="n"/>
      <c r="KD19" s="79" t="n"/>
      <c r="KE19" s="18" t="n"/>
      <c r="KF19" s="79" t="n"/>
      <c r="KG19" s="80">
        <f>IFERROR(ROUND(AVERAGE(JM19,JO19,JQ19,JS19,JU19,JW19,JY19,KA19,KC19,KE19), 2), "")</f>
        <v/>
      </c>
      <c r="KH19" s="79" t="n"/>
      <c r="KI19" s="79" t="n"/>
      <c r="KJ19" s="79" t="n"/>
      <c r="KK19" s="79" t="n"/>
      <c r="KL19" s="79" t="n"/>
      <c r="KM19" s="79" t="n"/>
      <c r="KN19" s="18" t="n"/>
      <c r="KO19" s="19" t="n"/>
      <c r="KP19" s="6" t="n"/>
      <c r="KQ19" s="6" t="n"/>
      <c r="KR19" s="6" t="n"/>
      <c r="KS19" s="6" t="n"/>
      <c r="KT19" s="6" t="n"/>
      <c r="KU19" s="6" t="n"/>
      <c r="KV19" s="6" t="n"/>
      <c r="KW19" s="6" t="n"/>
      <c r="KX19" s="6" t="n"/>
      <c r="KY19" s="6" t="n"/>
      <c r="KZ19" s="6" t="n"/>
      <c r="LA19" s="6" t="n"/>
      <c r="LB19" s="6" t="n"/>
      <c r="LC19" s="6" t="n"/>
      <c r="LD19" s="6" t="n"/>
      <c r="LE19" s="6" t="n"/>
      <c r="LF19" s="6" t="n"/>
      <c r="LG19" s="6" t="n"/>
      <c r="LH19" s="6" t="n"/>
      <c r="LI19" s="6" t="n"/>
      <c r="LJ19" s="6" t="n"/>
      <c r="LK19" s="6" t="n"/>
      <c r="LL19" s="6">
        <f>IF(COUNTA(KH19:LK19)=0, "", SUMPRODUCT(--ISNUMBER(SEARCH("m", KH19:LK19))))</f>
        <v/>
      </c>
      <c r="LM19" s="6">
        <f>IF(COUNTA(KH19:LK19)=0, "", COUNTA(KH19:LK19) - SUMPRODUCT(--ISNUMBER(SEARCH("m", KH19:LK19))))</f>
        <v/>
      </c>
      <c r="LN19" s="6" t="n"/>
      <c r="LO19" s="6" t="n"/>
      <c r="LP19" s="6" t="n"/>
      <c r="LQ19" s="6" t="n"/>
      <c r="LR19" s="6" t="n"/>
      <c r="LS19" s="6" t="n"/>
      <c r="LT19" s="6" t="n"/>
      <c r="LU19" s="6" t="n"/>
      <c r="LV19" s="6" t="n"/>
      <c r="LW19" s="6" t="n"/>
      <c r="LX19" s="6" t="n"/>
      <c r="LY19" s="6" t="n"/>
      <c r="LZ19" s="6" t="n"/>
      <c r="MA19" s="6" t="n"/>
      <c r="MB19" s="6" t="n"/>
      <c r="MC19" s="6" t="n"/>
      <c r="MD19" s="6" t="n"/>
      <c r="ME19" s="6" t="n"/>
      <c r="MF19" s="6" t="n"/>
      <c r="MG19" s="6" t="n"/>
      <c r="MH19" s="20">
        <f>IFERROR(ROUND(AVERAGE(LN19,LP19,LR19,LT19,LV19,LX19,LZ19,MB19,MD19,MF19), 2), "")</f>
        <v/>
      </c>
      <c r="MI19" s="6" t="n"/>
      <c r="MJ19" s="6" t="n"/>
      <c r="MK19" s="6" t="n"/>
      <c r="ML19" s="6" t="n"/>
      <c r="MM19" s="6" t="n"/>
      <c r="MN19" s="6" t="n"/>
      <c r="MO19" s="6" t="n"/>
      <c r="MP19" s="6" t="n"/>
      <c r="MQ19" s="6" t="n"/>
      <c r="MR19" s="6" t="n"/>
      <c r="MS19" s="6" t="n"/>
      <c r="MT19" s="6" t="n"/>
      <c r="MU19" s="6" t="n"/>
      <c r="MV19" s="6" t="n"/>
      <c r="MW19" s="6" t="n"/>
      <c r="MX19" s="6" t="n"/>
      <c r="MY19" s="6" t="n"/>
      <c r="MZ19" s="6" t="n"/>
      <c r="NA19" s="6" t="n"/>
      <c r="NB19" s="6" t="n"/>
      <c r="NC19" s="6" t="n"/>
      <c r="ND19" s="6" t="n"/>
      <c r="NE19" s="6" t="n"/>
      <c r="NF19" s="6" t="n"/>
      <c r="NG19" s="6" t="n"/>
      <c r="NH19" s="6" t="n"/>
      <c r="NI19" s="6" t="n"/>
      <c r="NJ19" s="6" t="n"/>
      <c r="NK19" s="6" t="n"/>
      <c r="NL19" s="6" t="n"/>
      <c r="NM19" s="6">
        <f>IF(COUNTA(MI19:NL19)=0, "", SUMPRODUCT(--ISNUMBER(SEARCH("m", MI19:NL19))))</f>
        <v/>
      </c>
      <c r="NN19" s="6">
        <f>IF(COUNTA(MI19:NL19)=0, "", COUNTA(MI19:NL19) - SUMPRODUCT(--ISNUMBER(SEARCH("m", MI19:NL19))))</f>
        <v/>
      </c>
      <c r="NO19" s="6" t="n"/>
      <c r="NP19" s="6" t="n"/>
      <c r="NQ19" s="6" t="n"/>
      <c r="NR19" s="6" t="n"/>
      <c r="NS19" s="6" t="n"/>
      <c r="NT19" s="6" t="n"/>
      <c r="NU19" s="6" t="n"/>
      <c r="NV19" s="6" t="n"/>
      <c r="NW19" s="6" t="n"/>
      <c r="NX19" s="6" t="n"/>
      <c r="NY19" s="6" t="n"/>
      <c r="NZ19" s="6" t="n"/>
      <c r="OA19" s="6" t="n"/>
      <c r="OB19" s="6" t="n"/>
      <c r="OC19" s="6" t="n"/>
      <c r="OD19" s="6" t="n"/>
      <c r="OE19" s="6" t="n"/>
      <c r="OF19" s="6" t="n"/>
      <c r="OG19" s="6" t="n"/>
      <c r="OH19" s="6" t="n"/>
      <c r="OI19" s="20">
        <f>IFERROR(ROUND(AVERAGE(NO19,NQ19,NS19,NU19,NW19,NY19,OA19,OC19,OE19,OG19), 2), "")</f>
        <v/>
      </c>
      <c r="OJ19" s="6" t="n"/>
      <c r="OK19" s="6" t="n"/>
      <c r="OL19" s="6" t="n"/>
      <c r="OM19" s="6" t="n"/>
      <c r="ON19" s="6" t="n"/>
      <c r="OO19" s="6" t="n"/>
      <c r="OP19" s="6" t="n"/>
      <c r="OQ19" s="6" t="n"/>
      <c r="OR19" s="6" t="n"/>
      <c r="OS19" s="6" t="n"/>
      <c r="OT19" s="6" t="n"/>
      <c r="OU19" s="6" t="n"/>
      <c r="OV19" s="6" t="n"/>
      <c r="OW19" s="6" t="n"/>
      <c r="OX19" s="6" t="n"/>
      <c r="OY19" s="6" t="n"/>
      <c r="OZ19" s="6" t="n"/>
      <c r="PA19" s="6" t="n"/>
      <c r="PB19" s="6" t="n"/>
      <c r="PC19" s="6" t="n"/>
      <c r="PD19" s="6" t="n"/>
      <c r="PE19" s="6" t="n"/>
      <c r="PF19" s="6" t="n"/>
      <c r="PG19" s="6" t="n"/>
      <c r="PH19" s="6" t="n"/>
      <c r="PI19" s="6" t="n"/>
      <c r="PJ19" s="6" t="n"/>
      <c r="PK19" s="6" t="n"/>
      <c r="PL19" s="6" t="n"/>
      <c r="PM19" s="6" t="n"/>
      <c r="PN19" s="6">
        <f>IF(COUNTA(OJ19:PM19)=0, "", SUMPRODUCT(--ISNUMBER(SEARCH("m", OJ19:PM19))))</f>
        <v/>
      </c>
      <c r="PO19" s="6">
        <f>IF(COUNTA(OJ19:PM19)=0, "", COUNTA(OJ19:PM19) - SUMPRODUCT(--ISNUMBER(SEARCH("m", OJ19:PM19))))</f>
        <v/>
      </c>
      <c r="PP19" s="6" t="n"/>
      <c r="PQ19" s="6" t="n"/>
      <c r="PR19" s="6" t="n"/>
      <c r="PS19" s="6" t="n"/>
      <c r="PT19" s="6" t="n"/>
      <c r="PU19" s="6" t="n"/>
      <c r="PV19" s="6" t="n"/>
      <c r="PW19" s="6" t="n"/>
      <c r="PX19" s="6" t="n"/>
      <c r="PY19" s="6" t="n"/>
      <c r="PZ19" s="6" t="n"/>
      <c r="QA19" s="6" t="n"/>
      <c r="QB19" s="6" t="n"/>
      <c r="QC19" s="6" t="n"/>
      <c r="QD19" s="6" t="n"/>
      <c r="QE19" s="6" t="n"/>
      <c r="QF19" s="6" t="n"/>
      <c r="QG19" s="6" t="n"/>
      <c r="QH19" s="6" t="n"/>
      <c r="QI19" s="6" t="n"/>
      <c r="QJ19" s="20">
        <f>IFERROR(ROUND(AVERAGE(PP19,PR19,PT19,PV19,PX19,PZ19,QB19,QD19,QF19,QH19), 2), "")</f>
        <v/>
      </c>
      <c r="QK19" s="6" t="n"/>
      <c r="QL19" s="6" t="n"/>
      <c r="QM19" s="6" t="n"/>
      <c r="QN19" s="6" t="n"/>
      <c r="QO19" s="6" t="n"/>
      <c r="QP19" s="6" t="n"/>
      <c r="QQ19" s="6" t="n"/>
      <c r="QR19" s="6" t="n"/>
      <c r="QS19" s="6" t="n"/>
      <c r="QT19" s="6" t="n"/>
      <c r="QU19" s="6" t="n"/>
      <c r="QV19" s="6" t="n"/>
      <c r="QW19" s="6" t="n"/>
      <c r="QX19" s="6" t="n"/>
      <c r="QY19" s="6" t="n"/>
      <c r="QZ19" s="6" t="n"/>
      <c r="RA19" s="6" t="n"/>
      <c r="RB19" s="6" t="n"/>
      <c r="RC19" s="6" t="n"/>
      <c r="RD19" s="6" t="n"/>
      <c r="RE19" s="6" t="n"/>
      <c r="RF19" s="6" t="n"/>
      <c r="RG19" s="6" t="n"/>
      <c r="RH19" s="6" t="n"/>
      <c r="RI19" s="6" t="n"/>
      <c r="RJ19" s="6" t="n"/>
      <c r="RK19" s="6" t="n"/>
      <c r="RL19" s="6" t="n"/>
      <c r="RM19" s="6" t="n"/>
      <c r="RN19" s="6" t="n"/>
      <c r="RO19" s="6">
        <f>IF(COUNTA(QK19:RN19)=0, "", SUMPRODUCT(--ISNUMBER(SEARCH("m", QK19:RN19))))</f>
        <v/>
      </c>
      <c r="RP19" s="6">
        <f>IF(COUNTA(QK19:RN19)=0, "", COUNTA(QK19:RN19) - SUMPRODUCT(--ISNUMBER(SEARCH("m", QK19:RN19))))</f>
        <v/>
      </c>
      <c r="RQ19" s="6" t="n"/>
      <c r="RR19" s="6" t="n"/>
      <c r="RS19" s="6" t="n"/>
      <c r="RT19" s="6" t="n"/>
      <c r="RU19" s="6" t="n"/>
      <c r="RV19" s="6" t="n"/>
      <c r="RW19" s="6" t="n"/>
      <c r="RX19" s="6" t="n"/>
      <c r="RY19" s="6" t="n"/>
      <c r="RZ19" s="6" t="n"/>
      <c r="SA19" s="6" t="n"/>
      <c r="SB19" s="6" t="n"/>
      <c r="SC19" s="6" t="n"/>
      <c r="SD19" s="6" t="n"/>
      <c r="SE19" s="6" t="n"/>
      <c r="SF19" s="6" t="n"/>
      <c r="SG19" s="6" t="n"/>
      <c r="SH19" s="6" t="n"/>
      <c r="SI19" s="6" t="n"/>
      <c r="SJ19" s="6" t="n"/>
      <c r="SK19" s="20">
        <f>IFERROR(ROUND(AVERAGE(RQ19,RS19,RU19,RW19,RY19,SA19,SC19,SE19,SG19,SI19), 2), "")</f>
        <v/>
      </c>
      <c r="SL19" s="6" t="n"/>
      <c r="SM19" s="6" t="n"/>
      <c r="SN19" s="6" t="n"/>
      <c r="SO19" s="6" t="n"/>
      <c r="SP19" s="6" t="n"/>
      <c r="SQ19" s="6" t="n"/>
      <c r="SR19" s="6" t="n"/>
      <c r="SS19" s="6" t="n"/>
      <c r="ST19" s="6" t="n"/>
      <c r="SU19" s="6" t="n"/>
      <c r="SV19" s="6" t="n"/>
      <c r="SW19" s="6" t="n"/>
      <c r="SX19" s="6" t="n"/>
      <c r="SY19" s="6" t="n"/>
      <c r="SZ19" s="6" t="n"/>
      <c r="TA19" s="6" t="n"/>
      <c r="TB19" s="6" t="n"/>
      <c r="TC19" s="6" t="n"/>
      <c r="TD19" s="6" t="n"/>
      <c r="TE19" s="6" t="n"/>
      <c r="TF19" s="6" t="n"/>
      <c r="TG19" s="6" t="n"/>
      <c r="TH19" s="6" t="n"/>
      <c r="TI19" s="6" t="n"/>
      <c r="TJ19" s="6" t="n"/>
      <c r="TK19" s="6" t="n"/>
      <c r="TL19" s="6" t="n"/>
      <c r="TM19" s="6" t="n"/>
      <c r="TN19" s="6" t="n"/>
      <c r="TO19" s="6" t="n"/>
      <c r="TP19" s="6">
        <f>IF(COUNTA(SL19:TO19)=0, "", SUMPRODUCT(--ISNUMBER(SEARCH("m", SL19:TO19))))</f>
        <v/>
      </c>
      <c r="TQ19" s="6">
        <f>IF(COUNTA(SL19:TO19)=0, "", COUNTA(SL19:TO19) - SUMPRODUCT(--ISNUMBER(SEARCH("m", SL19:TO19))))</f>
        <v/>
      </c>
      <c r="TR19" s="6" t="n"/>
      <c r="TS19" s="6" t="n"/>
      <c r="TT19" s="6" t="n"/>
      <c r="TU19" s="6" t="n"/>
      <c r="TV19" s="6" t="n"/>
      <c r="TW19" s="6" t="n"/>
      <c r="TX19" s="6" t="n"/>
      <c r="TY19" s="6" t="n"/>
      <c r="TZ19" s="6" t="n"/>
      <c r="UA19" s="6" t="n"/>
      <c r="UB19" s="6" t="n"/>
      <c r="UC19" s="6" t="n"/>
      <c r="UD19" s="6" t="n"/>
      <c r="UE19" s="6" t="n"/>
      <c r="UF19" s="6" t="n"/>
      <c r="UG19" s="6" t="n"/>
      <c r="UH19" s="6" t="n"/>
      <c r="UI19" s="6" t="n"/>
      <c r="UJ19" s="6" t="n"/>
      <c r="UK19" s="6" t="n"/>
      <c r="UL19" s="20">
        <f>IFERROR(ROUND(AVERAGE(TR19,TT19,TV19,TX19,TZ19,UB19,UD19,UF19,UH19,UJ19), 2), "")</f>
        <v/>
      </c>
      <c r="UM19" s="6" t="n"/>
      <c r="UN19" s="6" t="n"/>
      <c r="UO19" s="6" t="n"/>
      <c r="UP19" s="6" t="n"/>
      <c r="UQ19" s="6" t="n"/>
      <c r="UR19" s="6" t="n"/>
      <c r="US19" s="6" t="n"/>
      <c r="UT19" s="6" t="n"/>
      <c r="UU19" s="6" t="n"/>
      <c r="UV19" s="6" t="n"/>
      <c r="UW19" s="6" t="n"/>
      <c r="UX19" s="6" t="n"/>
      <c r="UY19" s="6" t="n"/>
      <c r="UZ19" s="6" t="n"/>
      <c r="VA19" s="6" t="n"/>
      <c r="VB19" s="6" t="n"/>
      <c r="VC19" s="6" t="n"/>
      <c r="VD19" s="6" t="n"/>
      <c r="VE19" s="6" t="n"/>
      <c r="VF19" s="6" t="n"/>
      <c r="VG19" s="6" t="n"/>
      <c r="VH19" s="6" t="n"/>
      <c r="VI19" s="6" t="n"/>
      <c r="VJ19" s="6" t="n"/>
      <c r="VK19" s="6" t="n"/>
      <c r="VL19" s="6" t="n"/>
      <c r="VM19" s="6" t="n"/>
      <c r="VN19" s="6" t="n"/>
      <c r="VO19" s="6" t="n"/>
      <c r="VP19" s="6" t="n"/>
      <c r="VQ19" s="6">
        <f>IF(COUNTA(UM19:VP19)=0, "", SUMPRODUCT(--ISNUMBER(SEARCH("m", UM19:VP19))))</f>
        <v/>
      </c>
      <c r="VR19" s="6">
        <f>IF(COUNTA(UM19:VP19)=0, "", COUNTA(UM19:VP19) - SUMPRODUCT(--ISNUMBER(SEARCH("m", UM19:VP19))))</f>
        <v/>
      </c>
      <c r="VS19" s="6" t="n"/>
      <c r="VT19" s="6" t="n"/>
      <c r="VU19" s="6" t="n"/>
      <c r="VV19" s="6" t="n"/>
      <c r="VW19" s="6" t="n"/>
      <c r="VX19" s="6" t="n"/>
      <c r="VY19" s="6" t="n"/>
      <c r="VZ19" s="6" t="n"/>
      <c r="WA19" s="6" t="n"/>
      <c r="WB19" s="6" t="n"/>
      <c r="WC19" s="6" t="n"/>
      <c r="WD19" s="6" t="n"/>
      <c r="WE19" s="6" t="n"/>
      <c r="WF19" s="6" t="n"/>
      <c r="WG19" s="6" t="n"/>
      <c r="WH19" s="6" t="n"/>
      <c r="WI19" s="6" t="n"/>
      <c r="WJ19" s="6" t="n"/>
      <c r="WK19" s="6" t="n"/>
      <c r="WL19" s="6" t="n"/>
      <c r="WM19" s="20">
        <f>IFERROR(ROUND(AVERAGE(VS19,VU19,VW19,VY19,WA19,WC19,WE19,WG19,WI19,WK19), 2), "")</f>
        <v/>
      </c>
      <c r="WN19" s="6" t="n"/>
      <c r="WO19" s="6" t="n"/>
      <c r="WP19" s="6" t="n"/>
      <c r="WQ19" s="6" t="n"/>
      <c r="WR19" s="6" t="n"/>
      <c r="WS19" s="6" t="n"/>
      <c r="WT19" s="6" t="n"/>
      <c r="WU19" s="6" t="n"/>
      <c r="WV19" s="6" t="n"/>
      <c r="WW19" s="6" t="n"/>
      <c r="WX19" s="6" t="n"/>
      <c r="WY19" s="6" t="n"/>
      <c r="WZ19" s="6" t="n"/>
      <c r="XA19" s="6" t="n"/>
      <c r="XB19" s="6" t="n"/>
      <c r="XC19" s="6" t="n"/>
      <c r="XD19" s="6" t="n"/>
      <c r="XE19" s="6" t="n"/>
      <c r="XF19" s="6" t="n"/>
      <c r="XG19" s="6" t="n"/>
      <c r="XH19" s="6" t="n"/>
      <c r="XI19" s="6" t="n"/>
      <c r="XJ19" s="6" t="n"/>
      <c r="XK19" s="6" t="n"/>
      <c r="XL19" s="6" t="n"/>
      <c r="XM19" s="6" t="n"/>
      <c r="XN19" s="6" t="n"/>
      <c r="XO19" s="6" t="n"/>
      <c r="XP19" s="6" t="n"/>
      <c r="XQ19" s="6" t="n"/>
      <c r="XR19" s="6">
        <f>IF(COUNTA(WN19:XQ19)=0, "", SUMPRODUCT(--ISNUMBER(SEARCH("m", WN19:XQ19))))</f>
        <v/>
      </c>
      <c r="XS19" s="6">
        <f>IF(COUNTA(WN19:XQ19)=0, "", COUNTA(WN19:XQ19) - SUMPRODUCT(--ISNUMBER(SEARCH("m", WN19:XQ19))))</f>
        <v/>
      </c>
      <c r="XT19" s="6" t="n"/>
      <c r="XU19" s="6" t="n"/>
      <c r="XV19" s="6" t="n"/>
      <c r="XW19" s="6" t="n"/>
      <c r="XX19" s="6" t="n"/>
      <c r="XY19" s="6" t="n"/>
      <c r="XZ19" s="6" t="n"/>
      <c r="YA19" s="6" t="n"/>
      <c r="YB19" s="6" t="n"/>
      <c r="YC19" s="6" t="n"/>
      <c r="YD19" s="6" t="n"/>
      <c r="YE19" s="6" t="n"/>
      <c r="YF19" s="6" t="n"/>
      <c r="YG19" s="6" t="n"/>
      <c r="YH19" s="6" t="n"/>
      <c r="YI19" s="6" t="n"/>
      <c r="YJ19" s="6" t="n"/>
      <c r="YK19" s="6" t="n"/>
      <c r="YL19" s="6" t="n"/>
      <c r="YM19" s="6" t="n"/>
      <c r="YN19" s="20">
        <f>IFERROR(ROUND(AVERAGE(XT19,XV19,XX19,XZ19,YB19,YD19,YF19,YH19,YJ19,YL19), 2), "")</f>
        <v/>
      </c>
      <c r="YO19" s="6" t="n"/>
      <c r="YP19" s="6" t="n"/>
      <c r="YQ19" s="6" t="n"/>
      <c r="YR19" s="6" t="n"/>
      <c r="YS19" s="6" t="n"/>
      <c r="YT19" s="6" t="n"/>
      <c r="YU19" s="6" t="n"/>
      <c r="YV19" s="6" t="n"/>
      <c r="YW19" s="6" t="n"/>
      <c r="YX19" s="6" t="n"/>
      <c r="YY19" s="6" t="n"/>
      <c r="YZ19" s="6" t="n"/>
      <c r="ZA19" s="6" t="n"/>
      <c r="ZB19" s="6" t="n"/>
      <c r="ZC19" s="6" t="n"/>
      <c r="ZD19" s="6" t="n"/>
      <c r="ZE19" s="6" t="n"/>
      <c r="ZF19" s="6" t="n"/>
      <c r="ZG19" s="6" t="n"/>
      <c r="ZH19" s="6" t="n"/>
      <c r="ZI19" s="6" t="n"/>
      <c r="ZJ19" s="6" t="n"/>
      <c r="ZK19" s="6" t="n"/>
      <c r="ZL19" s="6" t="n"/>
      <c r="ZM19" s="6" t="n"/>
      <c r="ZN19" s="6" t="n"/>
      <c r="ZO19" s="6" t="n"/>
      <c r="ZP19" s="6" t="n"/>
      <c r="ZQ19" s="6" t="n"/>
      <c r="ZR19" s="6" t="n"/>
      <c r="ZS19" s="6">
        <f>IF(COUNTA(YO19:ZR19)=0, "", SUMPRODUCT(--ISNUMBER(SEARCH("m", YO19:ZR19))))</f>
        <v/>
      </c>
      <c r="ZT19" s="6">
        <f>IF(COUNTA(YO19:ZR19)=0, "", COUNTA(YO19:ZR19) - SUMPRODUCT(--ISNUMBER(SEARCH("m", YO19:ZR19))))</f>
        <v/>
      </c>
      <c r="ZU19" s="6" t="n"/>
      <c r="ZV19" s="6" t="n"/>
      <c r="ZW19" s="6" t="n"/>
      <c r="ZX19" s="6" t="n"/>
      <c r="ZY19" s="6" t="n"/>
      <c r="ZZ19" s="6" t="n"/>
      <c r="AAA19" s="6" t="n"/>
      <c r="AAB19" s="6" t="n"/>
      <c r="AAC19" s="6" t="n"/>
      <c r="AAD19" s="6" t="n"/>
      <c r="AAE19" s="6" t="n"/>
      <c r="AAF19" s="6" t="n"/>
      <c r="AAG19" s="6" t="n"/>
      <c r="AAH19" s="6" t="n"/>
      <c r="AAI19" s="6" t="n"/>
      <c r="AAJ19" s="6" t="n"/>
      <c r="AAK19" s="6" t="n"/>
      <c r="AAL19" s="6" t="n"/>
      <c r="AAM19" s="6" t="n"/>
      <c r="AAN19" s="6" t="n"/>
      <c r="AAO19" s="20">
        <f>IFERROR(ROUND(AVERAGE(ZU19,ZW19,ZY19,AAA19,AAC19,AAE19,AAG19,AAI19,AAK19,AAM19), 2), "")</f>
        <v/>
      </c>
      <c r="AAP19" s="6" t="n"/>
      <c r="AAQ19" s="6" t="n"/>
      <c r="AAR19" s="6" t="n"/>
      <c r="AAS19" s="6" t="n"/>
      <c r="AAT19" s="6" t="n"/>
      <c r="AAU19" s="6" t="n"/>
      <c r="AAV19" s="6" t="n"/>
      <c r="AAW19" s="6" t="n"/>
      <c r="AAX19" s="6" t="n"/>
      <c r="AAY19" s="6" t="n"/>
      <c r="AAZ19" s="6" t="n"/>
      <c r="ABA19" s="6" t="n"/>
      <c r="ABB19" s="6" t="n"/>
      <c r="ABC19" s="6" t="n"/>
      <c r="ABD19" s="6" t="n"/>
      <c r="ABE19" s="6" t="n"/>
      <c r="ABF19" s="6" t="n"/>
      <c r="ABG19" s="6" t="n"/>
      <c r="ABH19" s="6" t="n"/>
      <c r="ABI19" s="6" t="n"/>
      <c r="ABJ19" s="6" t="n"/>
      <c r="ABK19" s="6" t="n"/>
      <c r="ABL19" s="6" t="n"/>
      <c r="ABM19" s="6" t="n"/>
      <c r="ABN19" s="6" t="n"/>
      <c r="ABO19" s="6" t="n"/>
      <c r="ABP19" s="6" t="n"/>
      <c r="ABQ19" s="6" t="n"/>
      <c r="ABR19" s="6" t="n"/>
      <c r="ABS19" s="6" t="n"/>
      <c r="ABT19" s="6">
        <f>IF(COUNTA(AAP19:ABS19)=0, "", SUMPRODUCT(--ISNUMBER(SEARCH("m", AAP19:ABS19))))</f>
        <v/>
      </c>
      <c r="ABU19" s="6">
        <f>IF(COUNTA(AAP19:ABS19)=0, "", COUNTA(AAP19:ABS19) - SUMPRODUCT(--ISNUMBER(SEARCH("m", AAP19:ABS19))))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8">
        <f>IFERROR(ROUND(AVERAGE(AB20,CC20,ED20,GE20,IF20,KG20,MH20,OI20,QJ20,SK20,UL20,WM20,YN20,AAO20), 2), "")</f>
        <v/>
      </c>
      <c r="F20" s="14">
        <f>IF(SUM(BH20,DI20,FJ20,HK20,JL20,LM20,NN20,PO20,RP20,TQ20,VR20,XS20,ZT20,ABU20)=0, "", SUM(BH20,DI20,FJ20,HK20,JL20,LM20,NN20,PO20,RP20,TQ20,VR20,XS20,ZT20,ABU20))</f>
        <v/>
      </c>
      <c r="G20" s="8">
        <f>IF(SUM(BG20,DH20,FI20,HJ20,JK20,LL20,NM20,PN20,RO20,TP20,VQ20,XR20,ZS20,ABT20)=0, "", SUM(BG20,DH20,FI20,HJ20,JK20,LL20,NM20,PN20,RO20,TP20,VQ20,XR20,ZS20,ABT20))</f>
        <v/>
      </c>
      <c r="H20" s="6" t="n"/>
      <c r="I20" s="79" t="n"/>
      <c r="J20" s="6" t="n"/>
      <c r="K20" s="79" t="n"/>
      <c r="L20" s="6" t="n"/>
      <c r="M20" s="79" t="n"/>
      <c r="N20" s="6" t="n"/>
      <c r="O20" s="79" t="n"/>
      <c r="P20" s="6" t="n"/>
      <c r="Q20" s="79" t="n"/>
      <c r="R20" s="18" t="n"/>
      <c r="S20" s="79" t="n"/>
      <c r="T20" s="79" t="n"/>
      <c r="U20" s="79" t="n"/>
      <c r="V20" s="79" t="n"/>
      <c r="W20" s="79" t="n"/>
      <c r="X20" s="79" t="n"/>
      <c r="Y20" s="79" t="n"/>
      <c r="Z20" s="79" t="n"/>
      <c r="AA20" s="18" t="n"/>
      <c r="AB20" s="14">
        <f>IFERROR(ROUND(AVERAGE(H20,J20,L20,N20,P20,R20,T20,V20,X20,Z20), 2), "")</f>
        <v/>
      </c>
      <c r="AC20" s="6" t="n"/>
      <c r="AD20" s="79" t="n"/>
      <c r="AE20" s="6" t="n"/>
      <c r="AF20" s="79" t="n"/>
      <c r="AG20" s="6" t="n"/>
      <c r="AH20" s="79" t="n"/>
      <c r="AI20" s="6" t="n"/>
      <c r="AJ20" s="79" t="n"/>
      <c r="AK20" s="6" t="n"/>
      <c r="AL20" s="79" t="n"/>
      <c r="AM20" s="18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18" t="n"/>
      <c r="AW20" s="19" t="n"/>
      <c r="AX20" s="6" t="n"/>
      <c r="AY20" s="79" t="n"/>
      <c r="AZ20" s="6" t="n"/>
      <c r="BA20" s="79" t="n"/>
      <c r="BB20" s="6" t="n"/>
      <c r="BC20" s="79" t="n"/>
      <c r="BD20" s="6" t="n"/>
      <c r="BE20" s="79" t="n"/>
      <c r="BF20" s="6" t="n"/>
      <c r="BG20" s="79">
        <f>IF(COUNTA(AC20:BF20)=0, "", SUMPRODUCT(--ISNUMBER(SEARCH("m", AC20:BF20))))</f>
        <v/>
      </c>
      <c r="BH20" s="18">
        <f>IF(COUNTA(AC20:BF20)=0, "", COUNTA(AC20:BF20) - SUMPRODUCT(--ISNUMBER(SEARCH("m", AC20:BF20))))</f>
        <v/>
      </c>
      <c r="BI20" s="79" t="n"/>
      <c r="BJ20" s="79" t="n"/>
      <c r="BK20" s="79" t="n"/>
      <c r="BL20" s="79" t="n"/>
      <c r="BM20" s="79" t="n"/>
      <c r="BN20" s="79" t="n"/>
      <c r="BO20" s="79" t="n"/>
      <c r="BP20" s="79" t="n"/>
      <c r="BQ20" s="18" t="n"/>
      <c r="BR20" s="19" t="n"/>
      <c r="BS20" s="6" t="n"/>
      <c r="BT20" s="79" t="n"/>
      <c r="BU20" s="6" t="n"/>
      <c r="BV20" s="79" t="n"/>
      <c r="BW20" s="6" t="n"/>
      <c r="BX20" s="79" t="n"/>
      <c r="BY20" s="6" t="n"/>
      <c r="BZ20" s="79" t="n"/>
      <c r="CA20" s="6" t="n"/>
      <c r="CB20" s="79" t="n"/>
      <c r="CC20" s="8">
        <f>IFERROR(ROUND(AVERAGE(BI20,BK20,BM20,BO20,BQ20,BS20,BU20,BW20,BY20,CA20), 2), "")</f>
        <v/>
      </c>
      <c r="CD20" s="79" t="n"/>
      <c r="CE20" s="79" t="n"/>
      <c r="CF20" s="79" t="n"/>
      <c r="CG20" s="79" t="n"/>
      <c r="CH20" s="79" t="n"/>
      <c r="CI20" s="79" t="n"/>
      <c r="CJ20" s="79" t="n"/>
      <c r="CK20" s="79" t="n"/>
      <c r="CL20" s="18" t="n"/>
      <c r="CM20" s="19" t="n"/>
      <c r="CN20" s="6" t="n"/>
      <c r="CO20" s="79" t="n"/>
      <c r="CP20" s="6" t="n"/>
      <c r="CQ20" s="79" t="n"/>
      <c r="CR20" s="6" t="n"/>
      <c r="CS20" s="79" t="n"/>
      <c r="CT20" s="6" t="n"/>
      <c r="CU20" s="79" t="n"/>
      <c r="CV20" s="6" t="n"/>
      <c r="CW20" s="79" t="n"/>
      <c r="CX20" s="18" t="n"/>
      <c r="CY20" s="79" t="n"/>
      <c r="CZ20" s="79" t="n"/>
      <c r="DA20" s="79" t="n"/>
      <c r="DB20" s="79" t="n"/>
      <c r="DC20" s="79" t="n"/>
      <c r="DD20" s="79" t="n"/>
      <c r="DE20" s="79" t="n"/>
      <c r="DF20" s="79" t="n"/>
      <c r="DG20" s="18" t="n"/>
      <c r="DH20" s="19">
        <f>IF(COUNTA(CD20:DG20)=0, "", SUMPRODUCT(--ISNUMBER(SEARCH("m", CD20:DG20))))</f>
        <v/>
      </c>
      <c r="DI20" s="6">
        <f>IF(COUNTA(CD20:DG20)=0, "", COUNTA(CD20:DG20) - SUMPRODUCT(--ISNUMBER(SEARCH("m", CD20:DG20))))</f>
        <v/>
      </c>
      <c r="DJ20" s="79" t="n"/>
      <c r="DK20" s="6" t="n"/>
      <c r="DL20" s="79" t="n"/>
      <c r="DM20" s="6" t="n"/>
      <c r="DN20" s="79" t="n"/>
      <c r="DO20" s="6" t="n"/>
      <c r="DP20" s="79" t="n"/>
      <c r="DQ20" s="6" t="n"/>
      <c r="DR20" s="79" t="n"/>
      <c r="DS20" s="18" t="n"/>
      <c r="DT20" s="79" t="n"/>
      <c r="DU20" s="79" t="n"/>
      <c r="DV20" s="79" t="n"/>
      <c r="DW20" s="79" t="n"/>
      <c r="DX20" s="79" t="n"/>
      <c r="DY20" s="79" t="n"/>
      <c r="DZ20" s="79" t="n"/>
      <c r="EA20" s="79" t="n"/>
      <c r="EB20" s="18" t="n"/>
      <c r="EC20" s="19" t="n"/>
      <c r="ED20" s="20">
        <f>IFERROR(ROUND(AVERAGE(DJ20,DL20,DN20,DP20,DR20,DT20,DV20,DX20,DZ20,EB20), 2), "")</f>
        <v/>
      </c>
      <c r="EE20" s="79" t="n"/>
      <c r="EF20" s="6" t="n"/>
      <c r="EG20" s="79" t="n"/>
      <c r="EH20" s="6" t="n"/>
      <c r="EI20" s="79" t="n"/>
      <c r="EJ20" s="6" t="n"/>
      <c r="EK20" s="79" t="n"/>
      <c r="EL20" s="6" t="n"/>
      <c r="EM20" s="79" t="n"/>
      <c r="EN20" s="18" t="n"/>
      <c r="EO20" s="79" t="n"/>
      <c r="EP20" s="79" t="n"/>
      <c r="EQ20" s="79" t="n"/>
      <c r="ER20" s="79" t="n"/>
      <c r="ES20" s="79" t="n"/>
      <c r="ET20" s="79" t="n"/>
      <c r="EU20" s="79" t="n"/>
      <c r="EV20" s="79" t="n"/>
      <c r="EW20" s="18" t="n"/>
      <c r="EX20" s="19" t="n"/>
      <c r="EY20" s="6" t="n"/>
      <c r="EZ20" s="79" t="n"/>
      <c r="FA20" s="6" t="n"/>
      <c r="FB20" s="79" t="n"/>
      <c r="FC20" s="6" t="n"/>
      <c r="FD20" s="79" t="n"/>
      <c r="FE20" s="6" t="n"/>
      <c r="FF20" s="79" t="n"/>
      <c r="FG20" s="6" t="n"/>
      <c r="FH20" s="79" t="n"/>
      <c r="FI20" s="18">
        <f>IF(COUNTA(EE20:FH20)=0, "", SUMPRODUCT(--ISNUMBER(SEARCH("m", EE20:FH20))))</f>
        <v/>
      </c>
      <c r="FJ20" s="79">
        <f>IF(COUNTA(EE20:FH20)=0, "", COUNTA(EE20:FH20) - SUMPRODUCT(--ISNUMBER(SEARCH("m", EE20:FH20))))</f>
        <v/>
      </c>
      <c r="FK20" s="79" t="n"/>
      <c r="FL20" s="79" t="n"/>
      <c r="FM20" s="79" t="n"/>
      <c r="FN20" s="79" t="n"/>
      <c r="FO20" s="79" t="n"/>
      <c r="FP20" s="79" t="n"/>
      <c r="FQ20" s="79" t="n"/>
      <c r="FR20" s="18" t="n"/>
      <c r="FS20" s="19" t="n"/>
      <c r="FT20" s="6" t="n"/>
      <c r="FU20" s="79" t="n"/>
      <c r="FV20" s="6" t="n"/>
      <c r="FW20" s="79" t="n"/>
      <c r="FX20" s="6" t="n"/>
      <c r="FY20" s="79" t="n"/>
      <c r="FZ20" s="6" t="n"/>
      <c r="GA20" s="79" t="n"/>
      <c r="GB20" s="6" t="n"/>
      <c r="GC20" s="79" t="n"/>
      <c r="GD20" s="18" t="n"/>
      <c r="GE20" s="80">
        <f>IFERROR(ROUND(AVERAGE(FK20,FM20,FO20,FQ20,FS20,FU20,FW20,FY20,GA20,GC20), 2), "")</f>
        <v/>
      </c>
      <c r="GF20" s="79" t="n"/>
      <c r="GG20" s="79" t="n"/>
      <c r="GH20" s="79" t="n"/>
      <c r="GI20" s="79" t="n"/>
      <c r="GJ20" s="79" t="n"/>
      <c r="GK20" s="79" t="n"/>
      <c r="GL20" s="79" t="n"/>
      <c r="GM20" s="18" t="n"/>
      <c r="GN20" s="19" t="n"/>
      <c r="GO20" s="6" t="n"/>
      <c r="GP20" s="79" t="n"/>
      <c r="GQ20" s="6" t="n"/>
      <c r="GR20" s="79" t="n"/>
      <c r="GS20" s="6" t="n"/>
      <c r="GT20" s="79" t="n"/>
      <c r="GU20" s="6" t="n"/>
      <c r="GV20" s="79" t="n"/>
      <c r="GW20" s="6" t="n"/>
      <c r="GX20" s="79" t="n"/>
      <c r="GY20" s="18" t="n"/>
      <c r="GZ20" s="79" t="n"/>
      <c r="HA20" s="79" t="n"/>
      <c r="HB20" s="79" t="n"/>
      <c r="HC20" s="79" t="n"/>
      <c r="HD20" s="79" t="n"/>
      <c r="HE20" s="79" t="n"/>
      <c r="HF20" s="79" t="n"/>
      <c r="HG20" s="79" t="n"/>
      <c r="HH20" s="18" t="n"/>
      <c r="HI20" s="19" t="n"/>
      <c r="HJ20" s="6">
        <f>IF(COUNTA(GF20:HI20)=0, "", SUMPRODUCT(--ISNUMBER(SEARCH("m", GF20:HI20))))</f>
        <v/>
      </c>
      <c r="HK20" s="79">
        <f>IF(COUNTA(GF20:HI20)=0, "", COUNTA(GF20:HI20) - SUMPRODUCT(--ISNUMBER(SEARCH("m", GF20:HI20))))</f>
        <v/>
      </c>
      <c r="HL20" s="6" t="n"/>
      <c r="HM20" s="79" t="n"/>
      <c r="HN20" s="6" t="n"/>
      <c r="HO20" s="79" t="n"/>
      <c r="HP20" s="6" t="n"/>
      <c r="HQ20" s="79" t="n"/>
      <c r="HR20" s="6" t="n"/>
      <c r="HS20" s="79" t="n"/>
      <c r="HT20" s="18" t="n"/>
      <c r="HU20" s="79" t="n"/>
      <c r="HV20" s="79" t="n"/>
      <c r="HW20" s="79" t="n"/>
      <c r="HX20" s="79" t="n"/>
      <c r="HY20" s="79" t="n"/>
      <c r="HZ20" s="79" t="n"/>
      <c r="IA20" s="79" t="n"/>
      <c r="IB20" s="79" t="n"/>
      <c r="IC20" s="18" t="n"/>
      <c r="ID20" s="19" t="n"/>
      <c r="IE20" s="6" t="n"/>
      <c r="IF20" s="80">
        <f>IFERROR(ROUND(AVERAGE(HL20,HN20,HP20,HR20,HT20,HV20,HX20,HZ20,IB20,ID20), 2), "")</f>
        <v/>
      </c>
      <c r="IG20" s="6" t="n"/>
      <c r="IH20" s="79" t="n"/>
      <c r="II20" s="6" t="n"/>
      <c r="IJ20" s="79" t="n"/>
      <c r="IK20" s="6" t="n"/>
      <c r="IL20" s="79" t="n"/>
      <c r="IM20" s="6" t="n"/>
      <c r="IN20" s="79" t="n"/>
      <c r="IO20" s="18" t="n"/>
      <c r="IP20" s="79" t="n"/>
      <c r="IQ20" s="79" t="n"/>
      <c r="IR20" s="79" t="n"/>
      <c r="IS20" s="79" t="n"/>
      <c r="IT20" s="79" t="n"/>
      <c r="IU20" s="79" t="n"/>
      <c r="IV20" s="79" t="n"/>
      <c r="IW20" s="79" t="n"/>
      <c r="IX20" s="18" t="n"/>
      <c r="IY20" s="19" t="n"/>
      <c r="IZ20" s="6" t="n"/>
      <c r="JA20" s="79" t="n"/>
      <c r="JB20" s="6" t="n"/>
      <c r="JC20" s="79" t="n"/>
      <c r="JD20" s="6" t="n"/>
      <c r="JE20" s="79" t="n"/>
      <c r="JF20" s="6" t="n"/>
      <c r="JG20" s="79" t="n"/>
      <c r="JH20" s="6" t="n"/>
      <c r="JI20" s="79" t="n"/>
      <c r="JJ20" s="18" t="n"/>
      <c r="JK20" s="79">
        <f>IF(COUNTA(IG20:JJ20)=0, "", SUMPRODUCT(--ISNUMBER(SEARCH("m", IG20:JJ20))))</f>
        <v/>
      </c>
      <c r="JL20" s="79">
        <f>IF(COUNTA(IG20:JJ20)=0, "", COUNTA(IG20:JJ20) - SUMPRODUCT(--ISNUMBER(SEARCH("m", IG20:JJ20))))</f>
        <v/>
      </c>
      <c r="JM20" s="79" t="n"/>
      <c r="JN20" s="79" t="n"/>
      <c r="JO20" s="79" t="n"/>
      <c r="JP20" s="79" t="n"/>
      <c r="JQ20" s="79" t="n"/>
      <c r="JR20" s="79" t="n"/>
      <c r="JS20" s="18" t="n"/>
      <c r="JT20" s="19" t="n"/>
      <c r="JU20" s="6" t="n"/>
      <c r="JV20" s="79" t="n"/>
      <c r="JW20" s="6" t="n"/>
      <c r="JX20" s="79" t="n"/>
      <c r="JY20" s="6" t="n"/>
      <c r="JZ20" s="79" t="n"/>
      <c r="KA20" s="6" t="n"/>
      <c r="KB20" s="79" t="n"/>
      <c r="KC20" s="6" t="n"/>
      <c r="KD20" s="79" t="n"/>
      <c r="KE20" s="18" t="n"/>
      <c r="KF20" s="79" t="n"/>
      <c r="KG20" s="80">
        <f>IFERROR(ROUND(AVERAGE(JM20,JO20,JQ20,JS20,JU20,JW20,JY20,KA20,KC20,KE20), 2), "")</f>
        <v/>
      </c>
      <c r="KH20" s="79" t="n"/>
      <c r="KI20" s="79" t="n"/>
      <c r="KJ20" s="79" t="n"/>
      <c r="KK20" s="79" t="n"/>
      <c r="KL20" s="79" t="n"/>
      <c r="KM20" s="79" t="n"/>
      <c r="KN20" s="18" t="n"/>
      <c r="KO20" s="19" t="n"/>
      <c r="KP20" s="6" t="n"/>
      <c r="KQ20" s="6" t="n"/>
      <c r="KR20" s="6" t="n"/>
      <c r="KS20" s="6" t="n"/>
      <c r="KT20" s="6" t="n"/>
      <c r="KU20" s="6" t="n"/>
      <c r="KV20" s="6" t="n"/>
      <c r="KW20" s="6" t="n"/>
      <c r="KX20" s="6" t="n"/>
      <c r="KY20" s="6" t="n"/>
      <c r="KZ20" s="6" t="n"/>
      <c r="LA20" s="6" t="n"/>
      <c r="LB20" s="6" t="n"/>
      <c r="LC20" s="6" t="n"/>
      <c r="LD20" s="6" t="n"/>
      <c r="LE20" s="6" t="n"/>
      <c r="LF20" s="6" t="n"/>
      <c r="LG20" s="6" t="n"/>
      <c r="LH20" s="6" t="n"/>
      <c r="LI20" s="6" t="n"/>
      <c r="LJ20" s="6" t="n"/>
      <c r="LK20" s="6" t="n"/>
      <c r="LL20" s="6">
        <f>IF(COUNTA(KH20:LK20)=0, "", SUMPRODUCT(--ISNUMBER(SEARCH("m", KH20:LK20))))</f>
        <v/>
      </c>
      <c r="LM20" s="6">
        <f>IF(COUNTA(KH20:LK20)=0, "", COUNTA(KH20:LK20) - SUMPRODUCT(--ISNUMBER(SEARCH("m", KH20:LK20))))</f>
        <v/>
      </c>
      <c r="LN20" s="6" t="n"/>
      <c r="LO20" s="6" t="n"/>
      <c r="LP20" s="6" t="n"/>
      <c r="LQ20" s="6" t="n"/>
      <c r="LR20" s="6" t="n"/>
      <c r="LS20" s="6" t="n"/>
      <c r="LT20" s="6" t="n"/>
      <c r="LU20" s="6" t="n"/>
      <c r="LV20" s="6" t="n"/>
      <c r="LW20" s="6" t="n"/>
      <c r="LX20" s="6" t="n"/>
      <c r="LY20" s="6" t="n"/>
      <c r="LZ20" s="6" t="n"/>
      <c r="MA20" s="6" t="n"/>
      <c r="MB20" s="6" t="n"/>
      <c r="MC20" s="6" t="n"/>
      <c r="MD20" s="6" t="n"/>
      <c r="ME20" s="6" t="n"/>
      <c r="MF20" s="6" t="n"/>
      <c r="MG20" s="6" t="n"/>
      <c r="MH20" s="20">
        <f>IFERROR(ROUND(AVERAGE(LN20,LP20,LR20,LT20,LV20,LX20,LZ20,MB20,MD20,MF20), 2), "")</f>
        <v/>
      </c>
      <c r="MI20" s="6" t="n"/>
      <c r="MJ20" s="6" t="n"/>
      <c r="MK20" s="6" t="n"/>
      <c r="ML20" s="6" t="n"/>
      <c r="MM20" s="6" t="n"/>
      <c r="MN20" s="6" t="n"/>
      <c r="MO20" s="6" t="n"/>
      <c r="MP20" s="6" t="n"/>
      <c r="MQ20" s="6" t="n"/>
      <c r="MR20" s="6" t="n"/>
      <c r="MS20" s="6" t="n"/>
      <c r="MT20" s="6" t="n"/>
      <c r="MU20" s="6" t="n"/>
      <c r="MV20" s="6" t="n"/>
      <c r="MW20" s="6" t="n"/>
      <c r="MX20" s="6" t="n"/>
      <c r="MY20" s="6" t="n"/>
      <c r="MZ20" s="6" t="n"/>
      <c r="NA20" s="6" t="n"/>
      <c r="NB20" s="6" t="n"/>
      <c r="NC20" s="6" t="n"/>
      <c r="ND20" s="6" t="n"/>
      <c r="NE20" s="6" t="n"/>
      <c r="NF20" s="6" t="n"/>
      <c r="NG20" s="6" t="n"/>
      <c r="NH20" s="6" t="n"/>
      <c r="NI20" s="6" t="n"/>
      <c r="NJ20" s="6" t="n"/>
      <c r="NK20" s="6" t="n"/>
      <c r="NL20" s="6" t="n"/>
      <c r="NM20" s="6">
        <f>IF(COUNTA(MI20:NL20)=0, "", SUMPRODUCT(--ISNUMBER(SEARCH("m", MI20:NL20))))</f>
        <v/>
      </c>
      <c r="NN20" s="6">
        <f>IF(COUNTA(MI20:NL20)=0, "", COUNTA(MI20:NL20) - SUMPRODUCT(--ISNUMBER(SEARCH("m", MI20:NL20))))</f>
        <v/>
      </c>
      <c r="NO20" s="6" t="n"/>
      <c r="NP20" s="6" t="n"/>
      <c r="NQ20" s="6" t="n"/>
      <c r="NR20" s="6" t="n"/>
      <c r="NS20" s="6" t="n"/>
      <c r="NT20" s="6" t="n"/>
      <c r="NU20" s="6" t="n"/>
      <c r="NV20" s="6" t="n"/>
      <c r="NW20" s="6" t="n"/>
      <c r="NX20" s="6" t="n"/>
      <c r="NY20" s="6" t="n"/>
      <c r="NZ20" s="6" t="n"/>
      <c r="OA20" s="6" t="n"/>
      <c r="OB20" s="6" t="n"/>
      <c r="OC20" s="6" t="n"/>
      <c r="OD20" s="6" t="n"/>
      <c r="OE20" s="6" t="n"/>
      <c r="OF20" s="6" t="n"/>
      <c r="OG20" s="6" t="n"/>
      <c r="OH20" s="6" t="n"/>
      <c r="OI20" s="20">
        <f>IFERROR(ROUND(AVERAGE(NO20,NQ20,NS20,NU20,NW20,NY20,OA20,OC20,OE20,OG20), 2), "")</f>
        <v/>
      </c>
      <c r="OJ20" s="6" t="n"/>
      <c r="OK20" s="6" t="n"/>
      <c r="OL20" s="6" t="n"/>
      <c r="OM20" s="6" t="n"/>
      <c r="ON20" s="6" t="n"/>
      <c r="OO20" s="6" t="n"/>
      <c r="OP20" s="6" t="n"/>
      <c r="OQ20" s="6" t="n"/>
      <c r="OR20" s="6" t="n"/>
      <c r="OS20" s="6" t="n"/>
      <c r="OT20" s="6" t="n"/>
      <c r="OU20" s="6" t="n"/>
      <c r="OV20" s="6" t="n"/>
      <c r="OW20" s="6" t="n"/>
      <c r="OX20" s="6" t="n"/>
      <c r="OY20" s="6" t="n"/>
      <c r="OZ20" s="6" t="n"/>
      <c r="PA20" s="6" t="n"/>
      <c r="PB20" s="6" t="n"/>
      <c r="PC20" s="6" t="n"/>
      <c r="PD20" s="6" t="n"/>
      <c r="PE20" s="6" t="n"/>
      <c r="PF20" s="6" t="n"/>
      <c r="PG20" s="6" t="n"/>
      <c r="PH20" s="6" t="n"/>
      <c r="PI20" s="6" t="n"/>
      <c r="PJ20" s="6" t="n"/>
      <c r="PK20" s="6" t="n"/>
      <c r="PL20" s="6" t="n"/>
      <c r="PM20" s="6" t="n"/>
      <c r="PN20" s="6">
        <f>IF(COUNTA(OJ20:PM20)=0, "", SUMPRODUCT(--ISNUMBER(SEARCH("m", OJ20:PM20))))</f>
        <v/>
      </c>
      <c r="PO20" s="6">
        <f>IF(COUNTA(OJ20:PM20)=0, "", COUNTA(OJ20:PM20) - SUMPRODUCT(--ISNUMBER(SEARCH("m", OJ20:PM20))))</f>
        <v/>
      </c>
      <c r="PP20" s="6" t="n"/>
      <c r="PQ20" s="6" t="n"/>
      <c r="PR20" s="6" t="n"/>
      <c r="PS20" s="6" t="n"/>
      <c r="PT20" s="6" t="n"/>
      <c r="PU20" s="6" t="n"/>
      <c r="PV20" s="6" t="n"/>
      <c r="PW20" s="6" t="n"/>
      <c r="PX20" s="6" t="n"/>
      <c r="PY20" s="6" t="n"/>
      <c r="PZ20" s="6" t="n"/>
      <c r="QA20" s="6" t="n"/>
      <c r="QB20" s="6" t="n"/>
      <c r="QC20" s="6" t="n"/>
      <c r="QD20" s="6" t="n"/>
      <c r="QE20" s="6" t="n"/>
      <c r="QF20" s="6" t="n"/>
      <c r="QG20" s="6" t="n"/>
      <c r="QH20" s="6" t="n"/>
      <c r="QI20" s="6" t="n"/>
      <c r="QJ20" s="20">
        <f>IFERROR(ROUND(AVERAGE(PP20,PR20,PT20,PV20,PX20,PZ20,QB20,QD20,QF20,QH20), 2), "")</f>
        <v/>
      </c>
      <c r="QK20" s="6" t="n"/>
      <c r="QL20" s="6" t="n"/>
      <c r="QM20" s="6" t="n"/>
      <c r="QN20" s="6" t="n"/>
      <c r="QO20" s="6" t="n"/>
      <c r="QP20" s="6" t="n"/>
      <c r="QQ20" s="6" t="n"/>
      <c r="QR20" s="6" t="n"/>
      <c r="QS20" s="6" t="n"/>
      <c r="QT20" s="6" t="n"/>
      <c r="QU20" s="6" t="n"/>
      <c r="QV20" s="6" t="n"/>
      <c r="QW20" s="6" t="n"/>
      <c r="QX20" s="6" t="n"/>
      <c r="QY20" s="6" t="n"/>
      <c r="QZ20" s="6" t="n"/>
      <c r="RA20" s="6" t="n"/>
      <c r="RB20" s="6" t="n"/>
      <c r="RC20" s="6" t="n"/>
      <c r="RD20" s="6" t="n"/>
      <c r="RE20" s="6" t="n"/>
      <c r="RF20" s="6" t="n"/>
      <c r="RG20" s="6" t="n"/>
      <c r="RH20" s="6" t="n"/>
      <c r="RI20" s="6" t="n"/>
      <c r="RJ20" s="6" t="n"/>
      <c r="RK20" s="6" t="n"/>
      <c r="RL20" s="6" t="n"/>
      <c r="RM20" s="6" t="n"/>
      <c r="RN20" s="6" t="n"/>
      <c r="RO20" s="6">
        <f>IF(COUNTA(QK20:RN20)=0, "", SUMPRODUCT(--ISNUMBER(SEARCH("m", QK20:RN20))))</f>
        <v/>
      </c>
      <c r="RP20" s="6">
        <f>IF(COUNTA(QK20:RN20)=0, "", COUNTA(QK20:RN20) - SUMPRODUCT(--ISNUMBER(SEARCH("m", QK20:RN20))))</f>
        <v/>
      </c>
      <c r="RQ20" s="6" t="n"/>
      <c r="RR20" s="6" t="n"/>
      <c r="RS20" s="6" t="n"/>
      <c r="RT20" s="6" t="n"/>
      <c r="RU20" s="6" t="n"/>
      <c r="RV20" s="6" t="n"/>
      <c r="RW20" s="6" t="n"/>
      <c r="RX20" s="6" t="n"/>
      <c r="RY20" s="6" t="n"/>
      <c r="RZ20" s="6" t="n"/>
      <c r="SA20" s="6" t="n"/>
      <c r="SB20" s="6" t="n"/>
      <c r="SC20" s="6" t="n"/>
      <c r="SD20" s="6" t="n"/>
      <c r="SE20" s="6" t="n"/>
      <c r="SF20" s="6" t="n"/>
      <c r="SG20" s="6" t="n"/>
      <c r="SH20" s="6" t="n"/>
      <c r="SI20" s="6" t="n"/>
      <c r="SJ20" s="6" t="n"/>
      <c r="SK20" s="20">
        <f>IFERROR(ROUND(AVERAGE(RQ20,RS20,RU20,RW20,RY20,SA20,SC20,SE20,SG20,SI20), 2), "")</f>
        <v/>
      </c>
      <c r="SL20" s="6" t="n"/>
      <c r="SM20" s="6" t="n"/>
      <c r="SN20" s="6" t="n"/>
      <c r="SO20" s="6" t="n"/>
      <c r="SP20" s="6" t="n"/>
      <c r="SQ20" s="6" t="n"/>
      <c r="SR20" s="6" t="n"/>
      <c r="SS20" s="6" t="n"/>
      <c r="ST20" s="6" t="n"/>
      <c r="SU20" s="6" t="n"/>
      <c r="SV20" s="6" t="n"/>
      <c r="SW20" s="6" t="n"/>
      <c r="SX20" s="6" t="n"/>
      <c r="SY20" s="6" t="n"/>
      <c r="SZ20" s="6" t="n"/>
      <c r="TA20" s="6" t="n"/>
      <c r="TB20" s="6" t="n"/>
      <c r="TC20" s="6" t="n"/>
      <c r="TD20" s="6" t="n"/>
      <c r="TE20" s="6" t="n"/>
      <c r="TF20" s="6" t="n"/>
      <c r="TG20" s="6" t="n"/>
      <c r="TH20" s="6" t="n"/>
      <c r="TI20" s="6" t="n"/>
      <c r="TJ20" s="6" t="n"/>
      <c r="TK20" s="6" t="n"/>
      <c r="TL20" s="6" t="n"/>
      <c r="TM20" s="6" t="n"/>
      <c r="TN20" s="6" t="n"/>
      <c r="TO20" s="6" t="n"/>
      <c r="TP20" s="6">
        <f>IF(COUNTA(SL20:TO20)=0, "", SUMPRODUCT(--ISNUMBER(SEARCH("m", SL20:TO20))))</f>
        <v/>
      </c>
      <c r="TQ20" s="6">
        <f>IF(COUNTA(SL20:TO20)=0, "", COUNTA(SL20:TO20) - SUMPRODUCT(--ISNUMBER(SEARCH("m", SL20:TO20))))</f>
        <v/>
      </c>
      <c r="TR20" s="6" t="n"/>
      <c r="TS20" s="6" t="n"/>
      <c r="TT20" s="6" t="n"/>
      <c r="TU20" s="6" t="n"/>
      <c r="TV20" s="6" t="n"/>
      <c r="TW20" s="6" t="n"/>
      <c r="TX20" s="6" t="n"/>
      <c r="TY20" s="6" t="n"/>
      <c r="TZ20" s="6" t="n"/>
      <c r="UA20" s="6" t="n"/>
      <c r="UB20" s="6" t="n"/>
      <c r="UC20" s="6" t="n"/>
      <c r="UD20" s="6" t="n"/>
      <c r="UE20" s="6" t="n"/>
      <c r="UF20" s="6" t="n"/>
      <c r="UG20" s="6" t="n"/>
      <c r="UH20" s="6" t="n"/>
      <c r="UI20" s="6" t="n"/>
      <c r="UJ20" s="6" t="n"/>
      <c r="UK20" s="6" t="n"/>
      <c r="UL20" s="20">
        <f>IFERROR(ROUND(AVERAGE(TR20,TT20,TV20,TX20,TZ20,UB20,UD20,UF20,UH20,UJ20), 2), "")</f>
        <v/>
      </c>
      <c r="UM20" s="6" t="n"/>
      <c r="UN20" s="6" t="n"/>
      <c r="UO20" s="6" t="n"/>
      <c r="UP20" s="6" t="n"/>
      <c r="UQ20" s="6" t="n"/>
      <c r="UR20" s="6" t="n"/>
      <c r="US20" s="6" t="n"/>
      <c r="UT20" s="6" t="n"/>
      <c r="UU20" s="6" t="n"/>
      <c r="UV20" s="6" t="n"/>
      <c r="UW20" s="6" t="n"/>
      <c r="UX20" s="6" t="n"/>
      <c r="UY20" s="6" t="n"/>
      <c r="UZ20" s="6" t="n"/>
      <c r="VA20" s="6" t="n"/>
      <c r="VB20" s="6" t="n"/>
      <c r="VC20" s="6" t="n"/>
      <c r="VD20" s="6" t="n"/>
      <c r="VE20" s="6" t="n"/>
      <c r="VF20" s="6" t="n"/>
      <c r="VG20" s="6" t="n"/>
      <c r="VH20" s="6" t="n"/>
      <c r="VI20" s="6" t="n"/>
      <c r="VJ20" s="6" t="n"/>
      <c r="VK20" s="6" t="n"/>
      <c r="VL20" s="6" t="n"/>
      <c r="VM20" s="6" t="n"/>
      <c r="VN20" s="6" t="n"/>
      <c r="VO20" s="6" t="n"/>
      <c r="VP20" s="6" t="n"/>
      <c r="VQ20" s="6">
        <f>IF(COUNTA(UM20:VP20)=0, "", SUMPRODUCT(--ISNUMBER(SEARCH("m", UM20:VP20))))</f>
        <v/>
      </c>
      <c r="VR20" s="6">
        <f>IF(COUNTA(UM20:VP20)=0, "", COUNTA(UM20:VP20) - SUMPRODUCT(--ISNUMBER(SEARCH("m", UM20:VP20))))</f>
        <v/>
      </c>
      <c r="VS20" s="6" t="n"/>
      <c r="VT20" s="6" t="n"/>
      <c r="VU20" s="6" t="n"/>
      <c r="VV20" s="6" t="n"/>
      <c r="VW20" s="6" t="n"/>
      <c r="VX20" s="6" t="n"/>
      <c r="VY20" s="6" t="n"/>
      <c r="VZ20" s="6" t="n"/>
      <c r="WA20" s="6" t="n"/>
      <c r="WB20" s="6" t="n"/>
      <c r="WC20" s="6" t="n"/>
      <c r="WD20" s="6" t="n"/>
      <c r="WE20" s="6" t="n"/>
      <c r="WF20" s="6" t="n"/>
      <c r="WG20" s="6" t="n"/>
      <c r="WH20" s="6" t="n"/>
      <c r="WI20" s="6" t="n"/>
      <c r="WJ20" s="6" t="n"/>
      <c r="WK20" s="6" t="n"/>
      <c r="WL20" s="6" t="n"/>
      <c r="WM20" s="20">
        <f>IFERROR(ROUND(AVERAGE(VS20,VU20,VW20,VY20,WA20,WC20,WE20,WG20,WI20,WK20), 2), "")</f>
        <v/>
      </c>
      <c r="WN20" s="6" t="n"/>
      <c r="WO20" s="6" t="n"/>
      <c r="WP20" s="6" t="n"/>
      <c r="WQ20" s="6" t="n"/>
      <c r="WR20" s="6" t="n"/>
      <c r="WS20" s="6" t="n"/>
      <c r="WT20" s="6" t="n"/>
      <c r="WU20" s="6" t="n"/>
      <c r="WV20" s="6" t="n"/>
      <c r="WW20" s="6" t="n"/>
      <c r="WX20" s="6" t="n"/>
      <c r="WY20" s="6" t="n"/>
      <c r="WZ20" s="6" t="n"/>
      <c r="XA20" s="6" t="n"/>
      <c r="XB20" s="6" t="n"/>
      <c r="XC20" s="6" t="n"/>
      <c r="XD20" s="6" t="n"/>
      <c r="XE20" s="6" t="n"/>
      <c r="XF20" s="6" t="n"/>
      <c r="XG20" s="6" t="n"/>
      <c r="XH20" s="6" t="n"/>
      <c r="XI20" s="6" t="n"/>
      <c r="XJ20" s="6" t="n"/>
      <c r="XK20" s="6" t="n"/>
      <c r="XL20" s="6" t="n"/>
      <c r="XM20" s="6" t="n"/>
      <c r="XN20" s="6" t="n"/>
      <c r="XO20" s="6" t="n"/>
      <c r="XP20" s="6" t="n"/>
      <c r="XQ20" s="6" t="n"/>
      <c r="XR20" s="6">
        <f>IF(COUNTA(WN20:XQ20)=0, "", SUMPRODUCT(--ISNUMBER(SEARCH("m", WN20:XQ20))))</f>
        <v/>
      </c>
      <c r="XS20" s="6">
        <f>IF(COUNTA(WN20:XQ20)=0, "", COUNTA(WN20:XQ20) - SUMPRODUCT(--ISNUMBER(SEARCH("m", WN20:XQ20))))</f>
        <v/>
      </c>
      <c r="XT20" s="6" t="n"/>
      <c r="XU20" s="6" t="n"/>
      <c r="XV20" s="6" t="n"/>
      <c r="XW20" s="6" t="n"/>
      <c r="XX20" s="6" t="n"/>
      <c r="XY20" s="6" t="n"/>
      <c r="XZ20" s="6" t="n"/>
      <c r="YA20" s="6" t="n"/>
      <c r="YB20" s="6" t="n"/>
      <c r="YC20" s="6" t="n"/>
      <c r="YD20" s="6" t="n"/>
      <c r="YE20" s="6" t="n"/>
      <c r="YF20" s="6" t="n"/>
      <c r="YG20" s="6" t="n"/>
      <c r="YH20" s="6" t="n"/>
      <c r="YI20" s="6" t="n"/>
      <c r="YJ20" s="6" t="n"/>
      <c r="YK20" s="6" t="n"/>
      <c r="YL20" s="6" t="n"/>
      <c r="YM20" s="6" t="n"/>
      <c r="YN20" s="20">
        <f>IFERROR(ROUND(AVERAGE(XT20,XV20,XX20,XZ20,YB20,YD20,YF20,YH20,YJ20,YL20), 2), "")</f>
        <v/>
      </c>
      <c r="YO20" s="6" t="n"/>
      <c r="YP20" s="6" t="n"/>
      <c r="YQ20" s="6" t="n"/>
      <c r="YR20" s="6" t="n"/>
      <c r="YS20" s="6" t="n"/>
      <c r="YT20" s="6" t="n"/>
      <c r="YU20" s="6" t="n"/>
      <c r="YV20" s="6" t="n"/>
      <c r="YW20" s="6" t="n"/>
      <c r="YX20" s="6" t="n"/>
      <c r="YY20" s="6" t="n"/>
      <c r="YZ20" s="6" t="n"/>
      <c r="ZA20" s="6" t="n"/>
      <c r="ZB20" s="6" t="n"/>
      <c r="ZC20" s="6" t="n"/>
      <c r="ZD20" s="6" t="n"/>
      <c r="ZE20" s="6" t="n"/>
      <c r="ZF20" s="6" t="n"/>
      <c r="ZG20" s="6" t="n"/>
      <c r="ZH20" s="6" t="n"/>
      <c r="ZI20" s="6" t="n"/>
      <c r="ZJ20" s="6" t="n"/>
      <c r="ZK20" s="6" t="n"/>
      <c r="ZL20" s="6" t="n"/>
      <c r="ZM20" s="6" t="n"/>
      <c r="ZN20" s="6" t="n"/>
      <c r="ZO20" s="6" t="n"/>
      <c r="ZP20" s="6" t="n"/>
      <c r="ZQ20" s="6" t="n"/>
      <c r="ZR20" s="6" t="n"/>
      <c r="ZS20" s="6">
        <f>IF(COUNTA(YO20:ZR20)=0, "", SUMPRODUCT(--ISNUMBER(SEARCH("m", YO20:ZR20))))</f>
        <v/>
      </c>
      <c r="ZT20" s="6">
        <f>IF(COUNTA(YO20:ZR20)=0, "", COUNTA(YO20:ZR20) - SUMPRODUCT(--ISNUMBER(SEARCH("m", YO20:ZR20))))</f>
        <v/>
      </c>
      <c r="ZU20" s="6" t="n"/>
      <c r="ZV20" s="6" t="n"/>
      <c r="ZW20" s="6" t="n"/>
      <c r="ZX20" s="6" t="n"/>
      <c r="ZY20" s="6" t="n"/>
      <c r="ZZ20" s="6" t="n"/>
      <c r="AAA20" s="6" t="n"/>
      <c r="AAB20" s="6" t="n"/>
      <c r="AAC20" s="6" t="n"/>
      <c r="AAD20" s="6" t="n"/>
      <c r="AAE20" s="6" t="n"/>
      <c r="AAF20" s="6" t="n"/>
      <c r="AAG20" s="6" t="n"/>
      <c r="AAH20" s="6" t="n"/>
      <c r="AAI20" s="6" t="n"/>
      <c r="AAJ20" s="6" t="n"/>
      <c r="AAK20" s="6" t="n"/>
      <c r="AAL20" s="6" t="n"/>
      <c r="AAM20" s="6" t="n"/>
      <c r="AAN20" s="6" t="n"/>
      <c r="AAO20" s="20">
        <f>IFERROR(ROUND(AVERAGE(ZU20,ZW20,ZY20,AAA20,AAC20,AAE20,AAG20,AAI20,AAK20,AAM20), 2), "")</f>
        <v/>
      </c>
      <c r="AAP20" s="6" t="n"/>
      <c r="AAQ20" s="6" t="n"/>
      <c r="AAR20" s="6" t="n"/>
      <c r="AAS20" s="6" t="n"/>
      <c r="AAT20" s="6" t="n"/>
      <c r="AAU20" s="6" t="n"/>
      <c r="AAV20" s="6" t="n"/>
      <c r="AAW20" s="6" t="n"/>
      <c r="AAX20" s="6" t="n"/>
      <c r="AAY20" s="6" t="n"/>
      <c r="AAZ20" s="6" t="n"/>
      <c r="ABA20" s="6" t="n"/>
      <c r="ABB20" s="6" t="n"/>
      <c r="ABC20" s="6" t="n"/>
      <c r="ABD20" s="6" t="n"/>
      <c r="ABE20" s="6" t="n"/>
      <c r="ABF20" s="6" t="n"/>
      <c r="ABG20" s="6" t="n"/>
      <c r="ABH20" s="6" t="n"/>
      <c r="ABI20" s="6" t="n"/>
      <c r="ABJ20" s="6" t="n"/>
      <c r="ABK20" s="6" t="n"/>
      <c r="ABL20" s="6" t="n"/>
      <c r="ABM20" s="6" t="n"/>
      <c r="ABN20" s="6" t="n"/>
      <c r="ABO20" s="6" t="n"/>
      <c r="ABP20" s="6" t="n"/>
      <c r="ABQ20" s="6" t="n"/>
      <c r="ABR20" s="6" t="n"/>
      <c r="ABS20" s="6" t="n"/>
      <c r="ABT20" s="6">
        <f>IF(COUNTA(AAP20:ABS20)=0, "", SUMPRODUCT(--ISNUMBER(SEARCH("m", AAP20:ABS20))))</f>
        <v/>
      </c>
      <c r="ABU20" s="6">
        <f>IF(COUNTA(AAP20:ABS20)=0, "", COUNTA(AAP20:ABS20) - SUMPRODUCT(--ISNUMBER(SEARCH("m", AAP20:ABS20))))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8">
        <f>IFERROR(ROUND(AVERAGE(AB21,CC21,ED21,GE21,IF21,KG21,MH21,OI21,QJ21,SK21,UL21,WM21,YN21,AAO21), 2), "")</f>
        <v/>
      </c>
      <c r="F21" s="14">
        <f>IF(SUM(BH21,DI21,FJ21,HK21,JL21,LM21,NN21,PO21,RP21,TQ21,VR21,XS21,ZT21,ABU21)=0, "", SUM(BH21,DI21,FJ21,HK21,JL21,LM21,NN21,PO21,RP21,TQ21,VR21,XS21,ZT21,ABU21))</f>
        <v/>
      </c>
      <c r="G21" s="8">
        <f>IF(SUM(BG21,DH21,FI21,HJ21,JK21,LL21,NM21,PN21,RO21,TP21,VQ21,XR21,ZS21,ABT21)=0, "", SUM(BG21,DH21,FI21,HJ21,JK21,LL21,NM21,PN21,RO21,TP21,VQ21,XR21,ZS21,ABT21))</f>
        <v/>
      </c>
      <c r="H21" s="6" t="n"/>
      <c r="I21" s="79" t="n"/>
      <c r="J21" s="6" t="n"/>
      <c r="K21" s="79" t="n"/>
      <c r="L21" s="6" t="n"/>
      <c r="M21" s="79" t="n"/>
      <c r="N21" s="6" t="n"/>
      <c r="O21" s="79" t="n"/>
      <c r="P21" s="6" t="n"/>
      <c r="Q21" s="79" t="n"/>
      <c r="R21" s="18" t="n"/>
      <c r="S21" s="79" t="n"/>
      <c r="T21" s="79" t="n"/>
      <c r="U21" s="79" t="n"/>
      <c r="V21" s="79" t="n"/>
      <c r="W21" s="79" t="n"/>
      <c r="X21" s="79" t="n"/>
      <c r="Y21" s="79" t="n"/>
      <c r="Z21" s="79" t="n"/>
      <c r="AA21" s="18" t="n"/>
      <c r="AB21" s="14">
        <f>IFERROR(ROUND(AVERAGE(H21,J21,L21,N21,P21,R21,T21,V21,X21,Z21), 2), "")</f>
        <v/>
      </c>
      <c r="AC21" s="6" t="n"/>
      <c r="AD21" s="79" t="n"/>
      <c r="AE21" s="6" t="n"/>
      <c r="AF21" s="79" t="n"/>
      <c r="AG21" s="6" t="n"/>
      <c r="AH21" s="79" t="n"/>
      <c r="AI21" s="6" t="n"/>
      <c r="AJ21" s="79" t="n"/>
      <c r="AK21" s="6" t="n"/>
      <c r="AL21" s="79" t="n"/>
      <c r="AM21" s="18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18" t="n"/>
      <c r="AW21" s="19" t="n"/>
      <c r="AX21" s="6" t="n"/>
      <c r="AY21" s="79" t="n"/>
      <c r="AZ21" s="6" t="n"/>
      <c r="BA21" s="79" t="n"/>
      <c r="BB21" s="6" t="n"/>
      <c r="BC21" s="79" t="n"/>
      <c r="BD21" s="6" t="n"/>
      <c r="BE21" s="79" t="n"/>
      <c r="BF21" s="6" t="n"/>
      <c r="BG21" s="79">
        <f>IF(COUNTA(AC21:BF21)=0, "", SUMPRODUCT(--ISNUMBER(SEARCH("m", AC21:BF21))))</f>
        <v/>
      </c>
      <c r="BH21" s="18">
        <f>IF(COUNTA(AC21:BF21)=0, "", COUNTA(AC21:BF21) - SUMPRODUCT(--ISNUMBER(SEARCH("m", AC21:BF21))))</f>
        <v/>
      </c>
      <c r="BI21" s="79" t="n"/>
      <c r="BJ21" s="79" t="n"/>
      <c r="BK21" s="79" t="n"/>
      <c r="BL21" s="79" t="n"/>
      <c r="BM21" s="79" t="n"/>
      <c r="BN21" s="79" t="n"/>
      <c r="BO21" s="79" t="n"/>
      <c r="BP21" s="79" t="n"/>
      <c r="BQ21" s="18" t="n"/>
      <c r="BR21" s="19" t="n"/>
      <c r="BS21" s="6" t="n"/>
      <c r="BT21" s="79" t="n"/>
      <c r="BU21" s="6" t="n"/>
      <c r="BV21" s="79" t="n"/>
      <c r="BW21" s="6" t="n"/>
      <c r="BX21" s="79" t="n"/>
      <c r="BY21" s="6" t="n"/>
      <c r="BZ21" s="79" t="n"/>
      <c r="CA21" s="6" t="n"/>
      <c r="CB21" s="79" t="n"/>
      <c r="CC21" s="8">
        <f>IFERROR(ROUND(AVERAGE(BI21,BK21,BM21,BO21,BQ21,BS21,BU21,BW21,BY21,CA21), 2), "")</f>
        <v/>
      </c>
      <c r="CD21" s="79" t="n"/>
      <c r="CE21" s="79" t="n"/>
      <c r="CF21" s="79" t="n"/>
      <c r="CG21" s="79" t="n"/>
      <c r="CH21" s="79" t="n"/>
      <c r="CI21" s="79" t="n"/>
      <c r="CJ21" s="79" t="n"/>
      <c r="CK21" s="79" t="n"/>
      <c r="CL21" s="18" t="n"/>
      <c r="CM21" s="19" t="n"/>
      <c r="CN21" s="6" t="n"/>
      <c r="CO21" s="79" t="n"/>
      <c r="CP21" s="6" t="n"/>
      <c r="CQ21" s="79" t="n"/>
      <c r="CR21" s="6" t="n"/>
      <c r="CS21" s="79" t="n"/>
      <c r="CT21" s="6" t="n"/>
      <c r="CU21" s="79" t="n"/>
      <c r="CV21" s="6" t="n"/>
      <c r="CW21" s="79" t="n"/>
      <c r="CX21" s="18" t="n"/>
      <c r="CY21" s="79" t="n"/>
      <c r="CZ21" s="79" t="n"/>
      <c r="DA21" s="79" t="n"/>
      <c r="DB21" s="79" t="n"/>
      <c r="DC21" s="79" t="n"/>
      <c r="DD21" s="79" t="n"/>
      <c r="DE21" s="79" t="n"/>
      <c r="DF21" s="79" t="n"/>
      <c r="DG21" s="18" t="n"/>
      <c r="DH21" s="19">
        <f>IF(COUNTA(CD21:DG21)=0, "", SUMPRODUCT(--ISNUMBER(SEARCH("m", CD21:DG21))))</f>
        <v/>
      </c>
      <c r="DI21" s="6">
        <f>IF(COUNTA(CD21:DG21)=0, "", COUNTA(CD21:DG21) - SUMPRODUCT(--ISNUMBER(SEARCH("m", CD21:DG21))))</f>
        <v/>
      </c>
      <c r="DJ21" s="79" t="n"/>
      <c r="DK21" s="6" t="n"/>
      <c r="DL21" s="79" t="n"/>
      <c r="DM21" s="6" t="n"/>
      <c r="DN21" s="79" t="n"/>
      <c r="DO21" s="6" t="n"/>
      <c r="DP21" s="79" t="n"/>
      <c r="DQ21" s="6" t="n"/>
      <c r="DR21" s="79" t="n"/>
      <c r="DS21" s="18" t="n"/>
      <c r="DT21" s="79" t="n"/>
      <c r="DU21" s="79" t="n"/>
      <c r="DV21" s="79" t="n"/>
      <c r="DW21" s="79" t="n"/>
      <c r="DX21" s="79" t="n"/>
      <c r="DY21" s="79" t="n"/>
      <c r="DZ21" s="79" t="n"/>
      <c r="EA21" s="79" t="n"/>
      <c r="EB21" s="18" t="n"/>
      <c r="EC21" s="19" t="n"/>
      <c r="ED21" s="20">
        <f>IFERROR(ROUND(AVERAGE(DJ21,DL21,DN21,DP21,DR21,DT21,DV21,DX21,DZ21,EB21), 2), "")</f>
        <v/>
      </c>
      <c r="EE21" s="79" t="n"/>
      <c r="EF21" s="6" t="n"/>
      <c r="EG21" s="79" t="n"/>
      <c r="EH21" s="6" t="n"/>
      <c r="EI21" s="79" t="n"/>
      <c r="EJ21" s="6" t="n"/>
      <c r="EK21" s="79" t="n"/>
      <c r="EL21" s="6" t="n"/>
      <c r="EM21" s="79" t="n"/>
      <c r="EN21" s="18" t="n"/>
      <c r="EO21" s="79" t="n"/>
      <c r="EP21" s="79" t="n"/>
      <c r="EQ21" s="79" t="n"/>
      <c r="ER21" s="79" t="n"/>
      <c r="ES21" s="79" t="n"/>
      <c r="ET21" s="79" t="n"/>
      <c r="EU21" s="79" t="n"/>
      <c r="EV21" s="79" t="n"/>
      <c r="EW21" s="18" t="n"/>
      <c r="EX21" s="19" t="n"/>
      <c r="EY21" s="6" t="n"/>
      <c r="EZ21" s="79" t="n"/>
      <c r="FA21" s="6" t="n"/>
      <c r="FB21" s="79" t="n"/>
      <c r="FC21" s="6" t="n"/>
      <c r="FD21" s="79" t="n"/>
      <c r="FE21" s="6" t="n"/>
      <c r="FF21" s="79" t="n"/>
      <c r="FG21" s="6" t="n"/>
      <c r="FH21" s="79" t="n"/>
      <c r="FI21" s="18">
        <f>IF(COUNTA(EE21:FH21)=0, "", SUMPRODUCT(--ISNUMBER(SEARCH("m", EE21:FH21))))</f>
        <v/>
      </c>
      <c r="FJ21" s="79">
        <f>IF(COUNTA(EE21:FH21)=0, "", COUNTA(EE21:FH21) - SUMPRODUCT(--ISNUMBER(SEARCH("m", EE21:FH21))))</f>
        <v/>
      </c>
      <c r="FK21" s="79" t="n"/>
      <c r="FL21" s="79" t="n"/>
      <c r="FM21" s="79" t="n"/>
      <c r="FN21" s="79" t="n"/>
      <c r="FO21" s="79" t="n"/>
      <c r="FP21" s="79" t="n"/>
      <c r="FQ21" s="79" t="n"/>
      <c r="FR21" s="18" t="n"/>
      <c r="FS21" s="19" t="n"/>
      <c r="FT21" s="6" t="n"/>
      <c r="FU21" s="79" t="n"/>
      <c r="FV21" s="6" t="n"/>
      <c r="FW21" s="79" t="n"/>
      <c r="FX21" s="6" t="n"/>
      <c r="FY21" s="79" t="n"/>
      <c r="FZ21" s="6" t="n"/>
      <c r="GA21" s="79" t="n"/>
      <c r="GB21" s="6" t="n"/>
      <c r="GC21" s="79" t="n"/>
      <c r="GD21" s="18" t="n"/>
      <c r="GE21" s="80">
        <f>IFERROR(ROUND(AVERAGE(FK21,FM21,FO21,FQ21,FS21,FU21,FW21,FY21,GA21,GC21), 2), "")</f>
        <v/>
      </c>
      <c r="GF21" s="79" t="n"/>
      <c r="GG21" s="79" t="n"/>
      <c r="GH21" s="79" t="n"/>
      <c r="GI21" s="79" t="n"/>
      <c r="GJ21" s="79" t="n"/>
      <c r="GK21" s="79" t="n"/>
      <c r="GL21" s="79" t="n"/>
      <c r="GM21" s="18" t="n"/>
      <c r="GN21" s="19" t="n"/>
      <c r="GO21" s="6" t="n"/>
      <c r="GP21" s="79" t="n"/>
      <c r="GQ21" s="6" t="n"/>
      <c r="GR21" s="79" t="n"/>
      <c r="GS21" s="6" t="n"/>
      <c r="GT21" s="79" t="n"/>
      <c r="GU21" s="6" t="n"/>
      <c r="GV21" s="79" t="n"/>
      <c r="GW21" s="6" t="n"/>
      <c r="GX21" s="79" t="n"/>
      <c r="GY21" s="18" t="n"/>
      <c r="GZ21" s="79" t="n"/>
      <c r="HA21" s="79" t="n"/>
      <c r="HB21" s="79" t="n"/>
      <c r="HC21" s="79" t="n"/>
      <c r="HD21" s="79" t="n"/>
      <c r="HE21" s="79" t="n"/>
      <c r="HF21" s="79" t="n"/>
      <c r="HG21" s="79" t="n"/>
      <c r="HH21" s="18" t="n"/>
      <c r="HI21" s="19" t="n"/>
      <c r="HJ21" s="6">
        <f>IF(COUNTA(GF21:HI21)=0, "", SUMPRODUCT(--ISNUMBER(SEARCH("m", GF21:HI21))))</f>
        <v/>
      </c>
      <c r="HK21" s="79">
        <f>IF(COUNTA(GF21:HI21)=0, "", COUNTA(GF21:HI21) - SUMPRODUCT(--ISNUMBER(SEARCH("m", GF21:HI21))))</f>
        <v/>
      </c>
      <c r="HL21" s="6" t="n"/>
      <c r="HM21" s="79" t="n"/>
      <c r="HN21" s="6" t="n"/>
      <c r="HO21" s="79" t="n"/>
      <c r="HP21" s="6" t="n"/>
      <c r="HQ21" s="79" t="n"/>
      <c r="HR21" s="6" t="n"/>
      <c r="HS21" s="79" t="n"/>
      <c r="HT21" s="18" t="n"/>
      <c r="HU21" s="79" t="n"/>
      <c r="HV21" s="79" t="n"/>
      <c r="HW21" s="79" t="n"/>
      <c r="HX21" s="79" t="n"/>
      <c r="HY21" s="79" t="n"/>
      <c r="HZ21" s="79" t="n"/>
      <c r="IA21" s="79" t="n"/>
      <c r="IB21" s="79" t="n"/>
      <c r="IC21" s="18" t="n"/>
      <c r="ID21" s="19" t="n"/>
      <c r="IE21" s="6" t="n"/>
      <c r="IF21" s="80">
        <f>IFERROR(ROUND(AVERAGE(HL21,HN21,HP21,HR21,HT21,HV21,HX21,HZ21,IB21,ID21), 2), "")</f>
        <v/>
      </c>
      <c r="IG21" s="6" t="n"/>
      <c r="IH21" s="79" t="n"/>
      <c r="II21" s="6" t="n"/>
      <c r="IJ21" s="79" t="n"/>
      <c r="IK21" s="6" t="n"/>
      <c r="IL21" s="79" t="n"/>
      <c r="IM21" s="6" t="n"/>
      <c r="IN21" s="79" t="n"/>
      <c r="IO21" s="18" t="n"/>
      <c r="IP21" s="79" t="n"/>
      <c r="IQ21" s="79" t="n"/>
      <c r="IR21" s="79" t="n"/>
      <c r="IS21" s="79" t="n"/>
      <c r="IT21" s="79" t="n"/>
      <c r="IU21" s="79" t="n"/>
      <c r="IV21" s="79" t="n"/>
      <c r="IW21" s="79" t="n"/>
      <c r="IX21" s="18" t="n"/>
      <c r="IY21" s="19" t="n"/>
      <c r="IZ21" s="6" t="n"/>
      <c r="JA21" s="79" t="n"/>
      <c r="JB21" s="6" t="n"/>
      <c r="JC21" s="79" t="n"/>
      <c r="JD21" s="6" t="n"/>
      <c r="JE21" s="79" t="n"/>
      <c r="JF21" s="6" t="n"/>
      <c r="JG21" s="79" t="n"/>
      <c r="JH21" s="6" t="n"/>
      <c r="JI21" s="79" t="n"/>
      <c r="JJ21" s="18" t="n"/>
      <c r="JK21" s="79">
        <f>IF(COUNTA(IG21:JJ21)=0, "", SUMPRODUCT(--ISNUMBER(SEARCH("m", IG21:JJ21))))</f>
        <v/>
      </c>
      <c r="JL21" s="79">
        <f>IF(COUNTA(IG21:JJ21)=0, "", COUNTA(IG21:JJ21) - SUMPRODUCT(--ISNUMBER(SEARCH("m", IG21:JJ21))))</f>
        <v/>
      </c>
      <c r="JM21" s="79" t="n"/>
      <c r="JN21" s="79" t="n"/>
      <c r="JO21" s="79" t="n"/>
      <c r="JP21" s="79" t="n"/>
      <c r="JQ21" s="79" t="n"/>
      <c r="JR21" s="79" t="n"/>
      <c r="JS21" s="18" t="n"/>
      <c r="JT21" s="19" t="n"/>
      <c r="JU21" s="6" t="n"/>
      <c r="JV21" s="79" t="n"/>
      <c r="JW21" s="6" t="n"/>
      <c r="JX21" s="79" t="n"/>
      <c r="JY21" s="6" t="n"/>
      <c r="JZ21" s="79" t="n"/>
      <c r="KA21" s="6" t="n"/>
      <c r="KB21" s="79" t="n"/>
      <c r="KC21" s="6" t="n"/>
      <c r="KD21" s="79" t="n"/>
      <c r="KE21" s="18" t="n"/>
      <c r="KF21" s="79" t="n"/>
      <c r="KG21" s="80">
        <f>IFERROR(ROUND(AVERAGE(JM21,JO21,JQ21,JS21,JU21,JW21,JY21,KA21,KC21,KE21), 2), "")</f>
        <v/>
      </c>
      <c r="KH21" s="79" t="n"/>
      <c r="KI21" s="79" t="n"/>
      <c r="KJ21" s="79" t="n"/>
      <c r="KK21" s="79" t="n"/>
      <c r="KL21" s="79" t="n"/>
      <c r="KM21" s="79" t="n"/>
      <c r="KN21" s="18" t="n"/>
      <c r="KO21" s="19" t="n"/>
      <c r="KP21" s="6" t="n"/>
      <c r="KQ21" s="6" t="n"/>
      <c r="KR21" s="6" t="n"/>
      <c r="KS21" s="6" t="n"/>
      <c r="KT21" s="6" t="n"/>
      <c r="KU21" s="6" t="n"/>
      <c r="KV21" s="6" t="n"/>
      <c r="KW21" s="6" t="n"/>
      <c r="KX21" s="6" t="n"/>
      <c r="KY21" s="6" t="n"/>
      <c r="KZ21" s="6" t="n"/>
      <c r="LA21" s="6" t="n"/>
      <c r="LB21" s="6" t="n"/>
      <c r="LC21" s="6" t="n"/>
      <c r="LD21" s="6" t="n"/>
      <c r="LE21" s="6" t="n"/>
      <c r="LF21" s="6" t="n"/>
      <c r="LG21" s="6" t="n"/>
      <c r="LH21" s="6" t="n"/>
      <c r="LI21" s="6" t="n"/>
      <c r="LJ21" s="6" t="n"/>
      <c r="LK21" s="6" t="n"/>
      <c r="LL21" s="6">
        <f>IF(COUNTA(KH21:LK21)=0, "", SUMPRODUCT(--ISNUMBER(SEARCH("m", KH21:LK21))))</f>
        <v/>
      </c>
      <c r="LM21" s="6">
        <f>IF(COUNTA(KH21:LK21)=0, "", COUNTA(KH21:LK21) - SUMPRODUCT(--ISNUMBER(SEARCH("m", KH21:LK21))))</f>
        <v/>
      </c>
      <c r="LN21" s="6" t="n"/>
      <c r="LO21" s="6" t="n"/>
      <c r="LP21" s="6" t="n"/>
      <c r="LQ21" s="6" t="n"/>
      <c r="LR21" s="6" t="n"/>
      <c r="LS21" s="6" t="n"/>
      <c r="LT21" s="6" t="n"/>
      <c r="LU21" s="6" t="n"/>
      <c r="LV21" s="6" t="n"/>
      <c r="LW21" s="6" t="n"/>
      <c r="LX21" s="6" t="n"/>
      <c r="LY21" s="6" t="n"/>
      <c r="LZ21" s="6" t="n"/>
      <c r="MA21" s="6" t="n"/>
      <c r="MB21" s="6" t="n"/>
      <c r="MC21" s="6" t="n"/>
      <c r="MD21" s="6" t="n"/>
      <c r="ME21" s="6" t="n"/>
      <c r="MF21" s="6" t="n"/>
      <c r="MG21" s="6" t="n"/>
      <c r="MH21" s="20">
        <f>IFERROR(ROUND(AVERAGE(LN21,LP21,LR21,LT21,LV21,LX21,LZ21,MB21,MD21,MF21), 2), "")</f>
        <v/>
      </c>
      <c r="MI21" s="6" t="n"/>
      <c r="MJ21" s="6" t="n"/>
      <c r="MK21" s="6" t="n"/>
      <c r="ML21" s="6" t="n"/>
      <c r="MM21" s="6" t="n"/>
      <c r="MN21" s="6" t="n"/>
      <c r="MO21" s="6" t="n"/>
      <c r="MP21" s="6" t="n"/>
      <c r="MQ21" s="6" t="n"/>
      <c r="MR21" s="6" t="n"/>
      <c r="MS21" s="6" t="n"/>
      <c r="MT21" s="6" t="n"/>
      <c r="MU21" s="6" t="n"/>
      <c r="MV21" s="6" t="n"/>
      <c r="MW21" s="6" t="n"/>
      <c r="MX21" s="6" t="n"/>
      <c r="MY21" s="6" t="n"/>
      <c r="MZ21" s="6" t="n"/>
      <c r="NA21" s="6" t="n"/>
      <c r="NB21" s="6" t="n"/>
      <c r="NC21" s="6" t="n"/>
      <c r="ND21" s="6" t="n"/>
      <c r="NE21" s="6" t="n"/>
      <c r="NF21" s="6" t="n"/>
      <c r="NG21" s="6" t="n"/>
      <c r="NH21" s="6" t="n"/>
      <c r="NI21" s="6" t="n"/>
      <c r="NJ21" s="6" t="n"/>
      <c r="NK21" s="6" t="n"/>
      <c r="NL21" s="6" t="n"/>
      <c r="NM21" s="6">
        <f>IF(COUNTA(MI21:NL21)=0, "", SUMPRODUCT(--ISNUMBER(SEARCH("m", MI21:NL21))))</f>
        <v/>
      </c>
      <c r="NN21" s="6">
        <f>IF(COUNTA(MI21:NL21)=0, "", COUNTA(MI21:NL21) - SUMPRODUCT(--ISNUMBER(SEARCH("m", MI21:NL21))))</f>
        <v/>
      </c>
      <c r="NO21" s="6" t="n"/>
      <c r="NP21" s="6" t="n"/>
      <c r="NQ21" s="6" t="n"/>
      <c r="NR21" s="6" t="n"/>
      <c r="NS21" s="6" t="n"/>
      <c r="NT21" s="6" t="n"/>
      <c r="NU21" s="6" t="n"/>
      <c r="NV21" s="6" t="n"/>
      <c r="NW21" s="6" t="n"/>
      <c r="NX21" s="6" t="n"/>
      <c r="NY21" s="6" t="n"/>
      <c r="NZ21" s="6" t="n"/>
      <c r="OA21" s="6" t="n"/>
      <c r="OB21" s="6" t="n"/>
      <c r="OC21" s="6" t="n"/>
      <c r="OD21" s="6" t="n"/>
      <c r="OE21" s="6" t="n"/>
      <c r="OF21" s="6" t="n"/>
      <c r="OG21" s="6" t="n"/>
      <c r="OH21" s="6" t="n"/>
      <c r="OI21" s="20">
        <f>IFERROR(ROUND(AVERAGE(NO21,NQ21,NS21,NU21,NW21,NY21,OA21,OC21,OE21,OG21), 2), "")</f>
        <v/>
      </c>
      <c r="OJ21" s="6" t="n"/>
      <c r="OK21" s="6" t="n"/>
      <c r="OL21" s="6" t="n"/>
      <c r="OM21" s="6" t="n"/>
      <c r="ON21" s="6" t="n"/>
      <c r="OO21" s="6" t="n"/>
      <c r="OP21" s="6" t="n"/>
      <c r="OQ21" s="6" t="n"/>
      <c r="OR21" s="6" t="n"/>
      <c r="OS21" s="6" t="n"/>
      <c r="OT21" s="6" t="n"/>
      <c r="OU21" s="6" t="n"/>
      <c r="OV21" s="6" t="n"/>
      <c r="OW21" s="6" t="n"/>
      <c r="OX21" s="6" t="n"/>
      <c r="OY21" s="6" t="n"/>
      <c r="OZ21" s="6" t="n"/>
      <c r="PA21" s="6" t="n"/>
      <c r="PB21" s="6" t="n"/>
      <c r="PC21" s="6" t="n"/>
      <c r="PD21" s="6" t="n"/>
      <c r="PE21" s="6" t="n"/>
      <c r="PF21" s="6" t="n"/>
      <c r="PG21" s="6" t="n"/>
      <c r="PH21" s="6" t="n"/>
      <c r="PI21" s="6" t="n"/>
      <c r="PJ21" s="6" t="n"/>
      <c r="PK21" s="6" t="n"/>
      <c r="PL21" s="6" t="n"/>
      <c r="PM21" s="6" t="n"/>
      <c r="PN21" s="6">
        <f>IF(COUNTA(OJ21:PM21)=0, "", SUMPRODUCT(--ISNUMBER(SEARCH("m", OJ21:PM21))))</f>
        <v/>
      </c>
      <c r="PO21" s="6">
        <f>IF(COUNTA(OJ21:PM21)=0, "", COUNTA(OJ21:PM21) - SUMPRODUCT(--ISNUMBER(SEARCH("m", OJ21:PM21))))</f>
        <v/>
      </c>
      <c r="PP21" s="6" t="n"/>
      <c r="PQ21" s="6" t="n"/>
      <c r="PR21" s="6" t="n"/>
      <c r="PS21" s="6" t="n"/>
      <c r="PT21" s="6" t="n"/>
      <c r="PU21" s="6" t="n"/>
      <c r="PV21" s="6" t="n"/>
      <c r="PW21" s="6" t="n"/>
      <c r="PX21" s="6" t="n"/>
      <c r="PY21" s="6" t="n"/>
      <c r="PZ21" s="6" t="n"/>
      <c r="QA21" s="6" t="n"/>
      <c r="QB21" s="6" t="n"/>
      <c r="QC21" s="6" t="n"/>
      <c r="QD21" s="6" t="n"/>
      <c r="QE21" s="6" t="n"/>
      <c r="QF21" s="6" t="n"/>
      <c r="QG21" s="6" t="n"/>
      <c r="QH21" s="6" t="n"/>
      <c r="QI21" s="6" t="n"/>
      <c r="QJ21" s="20">
        <f>IFERROR(ROUND(AVERAGE(PP21,PR21,PT21,PV21,PX21,PZ21,QB21,QD21,QF21,QH21), 2), "")</f>
        <v/>
      </c>
      <c r="QK21" s="6" t="n"/>
      <c r="QL21" s="6" t="n"/>
      <c r="QM21" s="6" t="n"/>
      <c r="QN21" s="6" t="n"/>
      <c r="QO21" s="6" t="n"/>
      <c r="QP21" s="6" t="n"/>
      <c r="QQ21" s="6" t="n"/>
      <c r="QR21" s="6" t="n"/>
      <c r="QS21" s="6" t="n"/>
      <c r="QT21" s="6" t="n"/>
      <c r="QU21" s="6" t="n"/>
      <c r="QV21" s="6" t="n"/>
      <c r="QW21" s="6" t="n"/>
      <c r="QX21" s="6" t="n"/>
      <c r="QY21" s="6" t="n"/>
      <c r="QZ21" s="6" t="n"/>
      <c r="RA21" s="6" t="n"/>
      <c r="RB21" s="6" t="n"/>
      <c r="RC21" s="6" t="n"/>
      <c r="RD21" s="6" t="n"/>
      <c r="RE21" s="6" t="n"/>
      <c r="RF21" s="6" t="n"/>
      <c r="RG21" s="6" t="n"/>
      <c r="RH21" s="6" t="n"/>
      <c r="RI21" s="6" t="n"/>
      <c r="RJ21" s="6" t="n"/>
      <c r="RK21" s="6" t="n"/>
      <c r="RL21" s="6" t="n"/>
      <c r="RM21" s="6" t="n"/>
      <c r="RN21" s="6" t="n"/>
      <c r="RO21" s="6">
        <f>IF(COUNTA(QK21:RN21)=0, "", SUMPRODUCT(--ISNUMBER(SEARCH("m", QK21:RN21))))</f>
        <v/>
      </c>
      <c r="RP21" s="6">
        <f>IF(COUNTA(QK21:RN21)=0, "", COUNTA(QK21:RN21) - SUMPRODUCT(--ISNUMBER(SEARCH("m", QK21:RN21))))</f>
        <v/>
      </c>
      <c r="RQ21" s="6" t="n"/>
      <c r="RR21" s="6" t="n"/>
      <c r="RS21" s="6" t="n"/>
      <c r="RT21" s="6" t="n"/>
      <c r="RU21" s="6" t="n"/>
      <c r="RV21" s="6" t="n"/>
      <c r="RW21" s="6" t="n"/>
      <c r="RX21" s="6" t="n"/>
      <c r="RY21" s="6" t="n"/>
      <c r="RZ21" s="6" t="n"/>
      <c r="SA21" s="6" t="n"/>
      <c r="SB21" s="6" t="n"/>
      <c r="SC21" s="6" t="n"/>
      <c r="SD21" s="6" t="n"/>
      <c r="SE21" s="6" t="n"/>
      <c r="SF21" s="6" t="n"/>
      <c r="SG21" s="6" t="n"/>
      <c r="SH21" s="6" t="n"/>
      <c r="SI21" s="6" t="n"/>
      <c r="SJ21" s="6" t="n"/>
      <c r="SK21" s="20">
        <f>IFERROR(ROUND(AVERAGE(RQ21,RS21,RU21,RW21,RY21,SA21,SC21,SE21,SG21,SI21), 2), "")</f>
        <v/>
      </c>
      <c r="SL21" s="6" t="n"/>
      <c r="SM21" s="6" t="n"/>
      <c r="SN21" s="6" t="n"/>
      <c r="SO21" s="6" t="n"/>
      <c r="SP21" s="6" t="n"/>
      <c r="SQ21" s="6" t="n"/>
      <c r="SR21" s="6" t="n"/>
      <c r="SS21" s="6" t="n"/>
      <c r="ST21" s="6" t="n"/>
      <c r="SU21" s="6" t="n"/>
      <c r="SV21" s="6" t="n"/>
      <c r="SW21" s="6" t="n"/>
      <c r="SX21" s="6" t="n"/>
      <c r="SY21" s="6" t="n"/>
      <c r="SZ21" s="6" t="n"/>
      <c r="TA21" s="6" t="n"/>
      <c r="TB21" s="6" t="n"/>
      <c r="TC21" s="6" t="n"/>
      <c r="TD21" s="6" t="n"/>
      <c r="TE21" s="6" t="n"/>
      <c r="TF21" s="6" t="n"/>
      <c r="TG21" s="6" t="n"/>
      <c r="TH21" s="6" t="n"/>
      <c r="TI21" s="6" t="n"/>
      <c r="TJ21" s="6" t="n"/>
      <c r="TK21" s="6" t="n"/>
      <c r="TL21" s="6" t="n"/>
      <c r="TM21" s="6" t="n"/>
      <c r="TN21" s="6" t="n"/>
      <c r="TO21" s="6" t="n"/>
      <c r="TP21" s="6">
        <f>IF(COUNTA(SL21:TO21)=0, "", SUMPRODUCT(--ISNUMBER(SEARCH("m", SL21:TO21))))</f>
        <v/>
      </c>
      <c r="TQ21" s="6">
        <f>IF(COUNTA(SL21:TO21)=0, "", COUNTA(SL21:TO21) - SUMPRODUCT(--ISNUMBER(SEARCH("m", SL21:TO21))))</f>
        <v/>
      </c>
      <c r="TR21" s="6" t="n"/>
      <c r="TS21" s="6" t="n"/>
      <c r="TT21" s="6" t="n"/>
      <c r="TU21" s="6" t="n"/>
      <c r="TV21" s="6" t="n"/>
      <c r="TW21" s="6" t="n"/>
      <c r="TX21" s="6" t="n"/>
      <c r="TY21" s="6" t="n"/>
      <c r="TZ21" s="6" t="n"/>
      <c r="UA21" s="6" t="n"/>
      <c r="UB21" s="6" t="n"/>
      <c r="UC21" s="6" t="n"/>
      <c r="UD21" s="6" t="n"/>
      <c r="UE21" s="6" t="n"/>
      <c r="UF21" s="6" t="n"/>
      <c r="UG21" s="6" t="n"/>
      <c r="UH21" s="6" t="n"/>
      <c r="UI21" s="6" t="n"/>
      <c r="UJ21" s="6" t="n"/>
      <c r="UK21" s="6" t="n"/>
      <c r="UL21" s="20">
        <f>IFERROR(ROUND(AVERAGE(TR21,TT21,TV21,TX21,TZ21,UB21,UD21,UF21,UH21,UJ21), 2), "")</f>
        <v/>
      </c>
      <c r="UM21" s="6" t="n"/>
      <c r="UN21" s="6" t="n"/>
      <c r="UO21" s="6" t="n"/>
      <c r="UP21" s="6" t="n"/>
      <c r="UQ21" s="6" t="n"/>
      <c r="UR21" s="6" t="n"/>
      <c r="US21" s="6" t="n"/>
      <c r="UT21" s="6" t="n"/>
      <c r="UU21" s="6" t="n"/>
      <c r="UV21" s="6" t="n"/>
      <c r="UW21" s="6" t="n"/>
      <c r="UX21" s="6" t="n"/>
      <c r="UY21" s="6" t="n"/>
      <c r="UZ21" s="6" t="n"/>
      <c r="VA21" s="6" t="n"/>
      <c r="VB21" s="6" t="n"/>
      <c r="VC21" s="6" t="n"/>
      <c r="VD21" s="6" t="n"/>
      <c r="VE21" s="6" t="n"/>
      <c r="VF21" s="6" t="n"/>
      <c r="VG21" s="6" t="n"/>
      <c r="VH21" s="6" t="n"/>
      <c r="VI21" s="6" t="n"/>
      <c r="VJ21" s="6" t="n"/>
      <c r="VK21" s="6" t="n"/>
      <c r="VL21" s="6" t="n"/>
      <c r="VM21" s="6" t="n"/>
      <c r="VN21" s="6" t="n"/>
      <c r="VO21" s="6" t="n"/>
      <c r="VP21" s="6" t="n"/>
      <c r="VQ21" s="6">
        <f>IF(COUNTA(UM21:VP21)=0, "", SUMPRODUCT(--ISNUMBER(SEARCH("m", UM21:VP21))))</f>
        <v/>
      </c>
      <c r="VR21" s="6">
        <f>IF(COUNTA(UM21:VP21)=0, "", COUNTA(UM21:VP21) - SUMPRODUCT(--ISNUMBER(SEARCH("m", UM21:VP21))))</f>
        <v/>
      </c>
      <c r="VS21" s="6" t="n"/>
      <c r="VT21" s="6" t="n"/>
      <c r="VU21" s="6" t="n"/>
      <c r="VV21" s="6" t="n"/>
      <c r="VW21" s="6" t="n"/>
      <c r="VX21" s="6" t="n"/>
      <c r="VY21" s="6" t="n"/>
      <c r="VZ21" s="6" t="n"/>
      <c r="WA21" s="6" t="n"/>
      <c r="WB21" s="6" t="n"/>
      <c r="WC21" s="6" t="n"/>
      <c r="WD21" s="6" t="n"/>
      <c r="WE21" s="6" t="n"/>
      <c r="WF21" s="6" t="n"/>
      <c r="WG21" s="6" t="n"/>
      <c r="WH21" s="6" t="n"/>
      <c r="WI21" s="6" t="n"/>
      <c r="WJ21" s="6" t="n"/>
      <c r="WK21" s="6" t="n"/>
      <c r="WL21" s="6" t="n"/>
      <c r="WM21" s="20">
        <f>IFERROR(ROUND(AVERAGE(VS21,VU21,VW21,VY21,WA21,WC21,WE21,WG21,WI21,WK21), 2), "")</f>
        <v/>
      </c>
      <c r="WN21" s="6" t="n"/>
      <c r="WO21" s="6" t="n"/>
      <c r="WP21" s="6" t="n"/>
      <c r="WQ21" s="6" t="n"/>
      <c r="WR21" s="6" t="n"/>
      <c r="WS21" s="6" t="n"/>
      <c r="WT21" s="6" t="n"/>
      <c r="WU21" s="6" t="n"/>
      <c r="WV21" s="6" t="n"/>
      <c r="WW21" s="6" t="n"/>
      <c r="WX21" s="6" t="n"/>
      <c r="WY21" s="6" t="n"/>
      <c r="WZ21" s="6" t="n"/>
      <c r="XA21" s="6" t="n"/>
      <c r="XB21" s="6" t="n"/>
      <c r="XC21" s="6" t="n"/>
      <c r="XD21" s="6" t="n"/>
      <c r="XE21" s="6" t="n"/>
      <c r="XF21" s="6" t="n"/>
      <c r="XG21" s="6" t="n"/>
      <c r="XH21" s="6" t="n"/>
      <c r="XI21" s="6" t="n"/>
      <c r="XJ21" s="6" t="n"/>
      <c r="XK21" s="6" t="n"/>
      <c r="XL21" s="6" t="n"/>
      <c r="XM21" s="6" t="n"/>
      <c r="XN21" s="6" t="n"/>
      <c r="XO21" s="6" t="n"/>
      <c r="XP21" s="6" t="n"/>
      <c r="XQ21" s="6" t="n"/>
      <c r="XR21" s="6">
        <f>IF(COUNTA(WN21:XQ21)=0, "", SUMPRODUCT(--ISNUMBER(SEARCH("m", WN21:XQ21))))</f>
        <v/>
      </c>
      <c r="XS21" s="6">
        <f>IF(COUNTA(WN21:XQ21)=0, "", COUNTA(WN21:XQ21) - SUMPRODUCT(--ISNUMBER(SEARCH("m", WN21:XQ21))))</f>
        <v/>
      </c>
      <c r="XT21" s="6" t="n"/>
      <c r="XU21" s="6" t="n"/>
      <c r="XV21" s="6" t="n"/>
      <c r="XW21" s="6" t="n"/>
      <c r="XX21" s="6" t="n"/>
      <c r="XY21" s="6" t="n"/>
      <c r="XZ21" s="6" t="n"/>
      <c r="YA21" s="6" t="n"/>
      <c r="YB21" s="6" t="n"/>
      <c r="YC21" s="6" t="n"/>
      <c r="YD21" s="6" t="n"/>
      <c r="YE21" s="6" t="n"/>
      <c r="YF21" s="6" t="n"/>
      <c r="YG21" s="6" t="n"/>
      <c r="YH21" s="6" t="n"/>
      <c r="YI21" s="6" t="n"/>
      <c r="YJ21" s="6" t="n"/>
      <c r="YK21" s="6" t="n"/>
      <c r="YL21" s="6" t="n"/>
      <c r="YM21" s="6" t="n"/>
      <c r="YN21" s="20">
        <f>IFERROR(ROUND(AVERAGE(XT21,XV21,XX21,XZ21,YB21,YD21,YF21,YH21,YJ21,YL21), 2), "")</f>
        <v/>
      </c>
      <c r="YO21" s="6" t="n"/>
      <c r="YP21" s="6" t="n"/>
      <c r="YQ21" s="6" t="n"/>
      <c r="YR21" s="6" t="n"/>
      <c r="YS21" s="6" t="n"/>
      <c r="YT21" s="6" t="n"/>
      <c r="YU21" s="6" t="n"/>
      <c r="YV21" s="6" t="n"/>
      <c r="YW21" s="6" t="n"/>
      <c r="YX21" s="6" t="n"/>
      <c r="YY21" s="6" t="n"/>
      <c r="YZ21" s="6" t="n"/>
      <c r="ZA21" s="6" t="n"/>
      <c r="ZB21" s="6" t="n"/>
      <c r="ZC21" s="6" t="n"/>
      <c r="ZD21" s="6" t="n"/>
      <c r="ZE21" s="6" t="n"/>
      <c r="ZF21" s="6" t="n"/>
      <c r="ZG21" s="6" t="n"/>
      <c r="ZH21" s="6" t="n"/>
      <c r="ZI21" s="6" t="n"/>
      <c r="ZJ21" s="6" t="n"/>
      <c r="ZK21" s="6" t="n"/>
      <c r="ZL21" s="6" t="n"/>
      <c r="ZM21" s="6" t="n"/>
      <c r="ZN21" s="6" t="n"/>
      <c r="ZO21" s="6" t="n"/>
      <c r="ZP21" s="6" t="n"/>
      <c r="ZQ21" s="6" t="n"/>
      <c r="ZR21" s="6" t="n"/>
      <c r="ZS21" s="6">
        <f>IF(COUNTA(YO21:ZR21)=0, "", SUMPRODUCT(--ISNUMBER(SEARCH("m", YO21:ZR21))))</f>
        <v/>
      </c>
      <c r="ZT21" s="6">
        <f>IF(COUNTA(YO21:ZR21)=0, "", COUNTA(YO21:ZR21) - SUMPRODUCT(--ISNUMBER(SEARCH("m", YO21:ZR21))))</f>
        <v/>
      </c>
      <c r="ZU21" s="6" t="n"/>
      <c r="ZV21" s="6" t="n"/>
      <c r="ZW21" s="6" t="n"/>
      <c r="ZX21" s="6" t="n"/>
      <c r="ZY21" s="6" t="n"/>
      <c r="ZZ21" s="6" t="n"/>
      <c r="AAA21" s="6" t="n"/>
      <c r="AAB21" s="6" t="n"/>
      <c r="AAC21" s="6" t="n"/>
      <c r="AAD21" s="6" t="n"/>
      <c r="AAE21" s="6" t="n"/>
      <c r="AAF21" s="6" t="n"/>
      <c r="AAG21" s="6" t="n"/>
      <c r="AAH21" s="6" t="n"/>
      <c r="AAI21" s="6" t="n"/>
      <c r="AAJ21" s="6" t="n"/>
      <c r="AAK21" s="6" t="n"/>
      <c r="AAL21" s="6" t="n"/>
      <c r="AAM21" s="6" t="n"/>
      <c r="AAN21" s="6" t="n"/>
      <c r="AAO21" s="20">
        <f>IFERROR(ROUND(AVERAGE(ZU21,ZW21,ZY21,AAA21,AAC21,AAE21,AAG21,AAI21,AAK21,AAM21), 2), "")</f>
        <v/>
      </c>
      <c r="AAP21" s="6" t="n"/>
      <c r="AAQ21" s="6" t="n"/>
      <c r="AAR21" s="6" t="n"/>
      <c r="AAS21" s="6" t="n"/>
      <c r="AAT21" s="6" t="n"/>
      <c r="AAU21" s="6" t="n"/>
      <c r="AAV21" s="6" t="n"/>
      <c r="AAW21" s="6" t="n"/>
      <c r="AAX21" s="6" t="n"/>
      <c r="AAY21" s="6" t="n"/>
      <c r="AAZ21" s="6" t="n"/>
      <c r="ABA21" s="6" t="n"/>
      <c r="ABB21" s="6" t="n"/>
      <c r="ABC21" s="6" t="n"/>
      <c r="ABD21" s="6" t="n"/>
      <c r="ABE21" s="6" t="n"/>
      <c r="ABF21" s="6" t="n"/>
      <c r="ABG21" s="6" t="n"/>
      <c r="ABH21" s="6" t="n"/>
      <c r="ABI21" s="6" t="n"/>
      <c r="ABJ21" s="6" t="n"/>
      <c r="ABK21" s="6" t="n"/>
      <c r="ABL21" s="6" t="n"/>
      <c r="ABM21" s="6" t="n"/>
      <c r="ABN21" s="6" t="n"/>
      <c r="ABO21" s="6" t="n"/>
      <c r="ABP21" s="6" t="n"/>
      <c r="ABQ21" s="6" t="n"/>
      <c r="ABR21" s="6" t="n"/>
      <c r="ABS21" s="6" t="n"/>
      <c r="ABT21" s="6">
        <f>IF(COUNTA(AAP21:ABS21)=0, "", SUMPRODUCT(--ISNUMBER(SEARCH("m", AAP21:ABS21))))</f>
        <v/>
      </c>
      <c r="ABU21" s="6">
        <f>IF(COUNTA(AAP21:ABS21)=0, "", COUNTA(AAP21:ABS21) - SUMPRODUCT(--ISNUMBER(SEARCH("m", AAP21:ABS21))))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8">
        <f>IFERROR(ROUND(AVERAGE(AB22,CC22,ED22,GE22,IF22,KG22,MH22,OI22,QJ22,SK22,UL22,WM22,YN22,AAO22), 2), "")</f>
        <v/>
      </c>
      <c r="F22" s="14">
        <f>IF(SUM(BH22,DI22,FJ22,HK22,JL22,LM22,NN22,PO22,RP22,TQ22,VR22,XS22,ZT22,ABU22)=0, "", SUM(BH22,DI22,FJ22,HK22,JL22,LM22,NN22,PO22,RP22,TQ22,VR22,XS22,ZT22,ABU22))</f>
        <v/>
      </c>
      <c r="G22" s="8">
        <f>IF(SUM(BG22,DH22,FI22,HJ22,JK22,LL22,NM22,PN22,RO22,TP22,VQ22,XR22,ZS22,ABT22)=0, "", SUM(BG22,DH22,FI22,HJ22,JK22,LL22,NM22,PN22,RO22,TP22,VQ22,XR22,ZS22,ABT22))</f>
        <v/>
      </c>
      <c r="H22" s="6" t="n"/>
      <c r="I22" s="79" t="n"/>
      <c r="J22" s="6" t="n"/>
      <c r="K22" s="79" t="n"/>
      <c r="L22" s="6" t="n"/>
      <c r="M22" s="79" t="n"/>
      <c r="N22" s="6" t="n"/>
      <c r="O22" s="79" t="n"/>
      <c r="P22" s="6" t="n"/>
      <c r="Q22" s="79" t="n"/>
      <c r="R22" s="18" t="n"/>
      <c r="S22" s="79" t="n"/>
      <c r="T22" s="79" t="n"/>
      <c r="U22" s="79" t="n"/>
      <c r="V22" s="79" t="n"/>
      <c r="W22" s="79" t="n"/>
      <c r="X22" s="79" t="n"/>
      <c r="Y22" s="79" t="n"/>
      <c r="Z22" s="79" t="n"/>
      <c r="AA22" s="18" t="n"/>
      <c r="AB22" s="14">
        <f>IFERROR(ROUND(AVERAGE(H22,J22,L22,N22,P22,R22,T22,V22,X22,Z22), 2), "")</f>
        <v/>
      </c>
      <c r="AC22" s="6" t="n"/>
      <c r="AD22" s="79" t="n"/>
      <c r="AE22" s="6" t="n"/>
      <c r="AF22" s="79" t="n"/>
      <c r="AG22" s="6" t="n"/>
      <c r="AH22" s="79" t="n"/>
      <c r="AI22" s="6" t="n"/>
      <c r="AJ22" s="79" t="n"/>
      <c r="AK22" s="6" t="n"/>
      <c r="AL22" s="79" t="n"/>
      <c r="AM22" s="18" t="n"/>
      <c r="AN22" s="79" t="n"/>
      <c r="AO22" s="79" t="n"/>
      <c r="AP22" s="79" t="n"/>
      <c r="AQ22" s="79" t="n"/>
      <c r="AR22" s="79" t="n"/>
      <c r="AS22" s="79" t="n"/>
      <c r="AT22" s="79" t="n"/>
      <c r="AU22" s="79" t="n"/>
      <c r="AV22" s="18" t="n"/>
      <c r="AW22" s="19" t="n"/>
      <c r="AX22" s="6" t="n"/>
      <c r="AY22" s="79" t="n"/>
      <c r="AZ22" s="6" t="n"/>
      <c r="BA22" s="79" t="n"/>
      <c r="BB22" s="6" t="n"/>
      <c r="BC22" s="79" t="n"/>
      <c r="BD22" s="6" t="n"/>
      <c r="BE22" s="79" t="n"/>
      <c r="BF22" s="6" t="n"/>
      <c r="BG22" s="79">
        <f>IF(COUNTA(AC22:BF22)=0, "", SUMPRODUCT(--ISNUMBER(SEARCH("m", AC22:BF22))))</f>
        <v/>
      </c>
      <c r="BH22" s="18">
        <f>IF(COUNTA(AC22:BF22)=0, "", COUNTA(AC22:BF22) - SUMPRODUCT(--ISNUMBER(SEARCH("m", AC22:BF22))))</f>
        <v/>
      </c>
      <c r="BI22" s="79" t="n"/>
      <c r="BJ22" s="79" t="n"/>
      <c r="BK22" s="79" t="n"/>
      <c r="BL22" s="79" t="n"/>
      <c r="BM22" s="79" t="n"/>
      <c r="BN22" s="79" t="n"/>
      <c r="BO22" s="79" t="n"/>
      <c r="BP22" s="79" t="n"/>
      <c r="BQ22" s="18" t="n"/>
      <c r="BR22" s="19" t="n"/>
      <c r="BS22" s="6" t="n"/>
      <c r="BT22" s="79" t="n"/>
      <c r="BU22" s="6" t="n"/>
      <c r="BV22" s="79" t="n"/>
      <c r="BW22" s="6" t="n"/>
      <c r="BX22" s="79" t="n"/>
      <c r="BY22" s="6" t="n"/>
      <c r="BZ22" s="79" t="n"/>
      <c r="CA22" s="6" t="n"/>
      <c r="CB22" s="79" t="n"/>
      <c r="CC22" s="8">
        <f>IFERROR(ROUND(AVERAGE(BI22,BK22,BM22,BO22,BQ22,BS22,BU22,BW22,BY22,CA22), 2), "")</f>
        <v/>
      </c>
      <c r="CD22" s="79" t="n"/>
      <c r="CE22" s="79" t="n"/>
      <c r="CF22" s="79" t="n"/>
      <c r="CG22" s="79" t="n"/>
      <c r="CH22" s="79" t="n"/>
      <c r="CI22" s="79" t="n"/>
      <c r="CJ22" s="79" t="n"/>
      <c r="CK22" s="79" t="n"/>
      <c r="CL22" s="18" t="n"/>
      <c r="CM22" s="19" t="n"/>
      <c r="CN22" s="6" t="n"/>
      <c r="CO22" s="79" t="n"/>
      <c r="CP22" s="6" t="n"/>
      <c r="CQ22" s="79" t="n"/>
      <c r="CR22" s="6" t="n"/>
      <c r="CS22" s="79" t="n"/>
      <c r="CT22" s="6" t="n"/>
      <c r="CU22" s="79" t="n"/>
      <c r="CV22" s="6" t="n"/>
      <c r="CW22" s="79" t="n"/>
      <c r="CX22" s="18" t="n"/>
      <c r="CY22" s="79" t="n"/>
      <c r="CZ22" s="79" t="n"/>
      <c r="DA22" s="79" t="n"/>
      <c r="DB22" s="79" t="n"/>
      <c r="DC22" s="79" t="n"/>
      <c r="DD22" s="79" t="n"/>
      <c r="DE22" s="79" t="n"/>
      <c r="DF22" s="79" t="n"/>
      <c r="DG22" s="18" t="n"/>
      <c r="DH22" s="19">
        <f>IF(COUNTA(CD22:DG22)=0, "", SUMPRODUCT(--ISNUMBER(SEARCH("m", CD22:DG22))))</f>
        <v/>
      </c>
      <c r="DI22" s="6">
        <f>IF(COUNTA(CD22:DG22)=0, "", COUNTA(CD22:DG22) - SUMPRODUCT(--ISNUMBER(SEARCH("m", CD22:DG22))))</f>
        <v/>
      </c>
      <c r="DJ22" s="79" t="n"/>
      <c r="DK22" s="6" t="n"/>
      <c r="DL22" s="79" t="n"/>
      <c r="DM22" s="6" t="n"/>
      <c r="DN22" s="79" t="n"/>
      <c r="DO22" s="6" t="n"/>
      <c r="DP22" s="79" t="n"/>
      <c r="DQ22" s="6" t="n"/>
      <c r="DR22" s="79" t="n"/>
      <c r="DS22" s="18" t="n"/>
      <c r="DT22" s="79" t="n"/>
      <c r="DU22" s="79" t="n"/>
      <c r="DV22" s="79" t="n"/>
      <c r="DW22" s="79" t="n"/>
      <c r="DX22" s="79" t="n"/>
      <c r="DY22" s="79" t="n"/>
      <c r="DZ22" s="79" t="n"/>
      <c r="EA22" s="79" t="n"/>
      <c r="EB22" s="18" t="n"/>
      <c r="EC22" s="19" t="n"/>
      <c r="ED22" s="20">
        <f>IFERROR(ROUND(AVERAGE(DJ22,DL22,DN22,DP22,DR22,DT22,DV22,DX22,DZ22,EB22), 2), "")</f>
        <v/>
      </c>
      <c r="EE22" s="79" t="n"/>
      <c r="EF22" s="6" t="n"/>
      <c r="EG22" s="79" t="n"/>
      <c r="EH22" s="6" t="n"/>
      <c r="EI22" s="79" t="n"/>
      <c r="EJ22" s="6" t="n"/>
      <c r="EK22" s="79" t="n"/>
      <c r="EL22" s="6" t="n"/>
      <c r="EM22" s="79" t="n"/>
      <c r="EN22" s="18" t="n"/>
      <c r="EO22" s="79" t="n"/>
      <c r="EP22" s="79" t="n"/>
      <c r="EQ22" s="79" t="n"/>
      <c r="ER22" s="79" t="n"/>
      <c r="ES22" s="79" t="n"/>
      <c r="ET22" s="79" t="n"/>
      <c r="EU22" s="79" t="n"/>
      <c r="EV22" s="79" t="n"/>
      <c r="EW22" s="18" t="n"/>
      <c r="EX22" s="19" t="n"/>
      <c r="EY22" s="6" t="n"/>
      <c r="EZ22" s="79" t="n"/>
      <c r="FA22" s="6" t="n"/>
      <c r="FB22" s="79" t="n"/>
      <c r="FC22" s="6" t="n"/>
      <c r="FD22" s="79" t="n"/>
      <c r="FE22" s="6" t="n"/>
      <c r="FF22" s="79" t="n"/>
      <c r="FG22" s="6" t="n"/>
      <c r="FH22" s="79" t="n"/>
      <c r="FI22" s="18">
        <f>IF(COUNTA(EE22:FH22)=0, "", SUMPRODUCT(--ISNUMBER(SEARCH("m", EE22:FH22))))</f>
        <v/>
      </c>
      <c r="FJ22" s="79">
        <f>IF(COUNTA(EE22:FH22)=0, "", COUNTA(EE22:FH22) - SUMPRODUCT(--ISNUMBER(SEARCH("m", EE22:FH22))))</f>
        <v/>
      </c>
      <c r="FK22" s="79" t="n"/>
      <c r="FL22" s="79" t="n"/>
      <c r="FM22" s="79" t="n"/>
      <c r="FN22" s="79" t="n"/>
      <c r="FO22" s="79" t="n"/>
      <c r="FP22" s="79" t="n"/>
      <c r="FQ22" s="79" t="n"/>
      <c r="FR22" s="18" t="n"/>
      <c r="FS22" s="19" t="n"/>
      <c r="FT22" s="6" t="n"/>
      <c r="FU22" s="79" t="n"/>
      <c r="FV22" s="6" t="n"/>
      <c r="FW22" s="79" t="n"/>
      <c r="FX22" s="6" t="n"/>
      <c r="FY22" s="79" t="n"/>
      <c r="FZ22" s="6" t="n"/>
      <c r="GA22" s="79" t="n"/>
      <c r="GB22" s="6" t="n"/>
      <c r="GC22" s="79" t="n"/>
      <c r="GD22" s="18" t="n"/>
      <c r="GE22" s="80">
        <f>IFERROR(ROUND(AVERAGE(FK22,FM22,FO22,FQ22,FS22,FU22,FW22,FY22,GA22,GC22), 2), "")</f>
        <v/>
      </c>
      <c r="GF22" s="79" t="n"/>
      <c r="GG22" s="79" t="n"/>
      <c r="GH22" s="79" t="n"/>
      <c r="GI22" s="79" t="n"/>
      <c r="GJ22" s="79" t="n"/>
      <c r="GK22" s="79" t="n"/>
      <c r="GL22" s="79" t="n"/>
      <c r="GM22" s="18" t="n"/>
      <c r="GN22" s="19" t="n"/>
      <c r="GO22" s="6" t="n"/>
      <c r="GP22" s="79" t="n"/>
      <c r="GQ22" s="6" t="n"/>
      <c r="GR22" s="79" t="n"/>
      <c r="GS22" s="6" t="n"/>
      <c r="GT22" s="79" t="n"/>
      <c r="GU22" s="6" t="n"/>
      <c r="GV22" s="79" t="n"/>
      <c r="GW22" s="6" t="n"/>
      <c r="GX22" s="79" t="n"/>
      <c r="GY22" s="18" t="n"/>
      <c r="GZ22" s="79" t="n"/>
      <c r="HA22" s="79" t="n"/>
      <c r="HB22" s="79" t="n"/>
      <c r="HC22" s="79" t="n"/>
      <c r="HD22" s="79" t="n"/>
      <c r="HE22" s="79" t="n"/>
      <c r="HF22" s="79" t="n"/>
      <c r="HG22" s="79" t="n"/>
      <c r="HH22" s="18" t="n"/>
      <c r="HI22" s="19" t="n"/>
      <c r="HJ22" s="6">
        <f>IF(COUNTA(GF22:HI22)=0, "", SUMPRODUCT(--ISNUMBER(SEARCH("m", GF22:HI22))))</f>
        <v/>
      </c>
      <c r="HK22" s="79">
        <f>IF(COUNTA(GF22:HI22)=0, "", COUNTA(GF22:HI22) - SUMPRODUCT(--ISNUMBER(SEARCH("m", GF22:HI22))))</f>
        <v/>
      </c>
      <c r="HL22" s="6" t="n"/>
      <c r="HM22" s="79" t="n"/>
      <c r="HN22" s="6" t="n"/>
      <c r="HO22" s="79" t="n"/>
      <c r="HP22" s="6" t="n"/>
      <c r="HQ22" s="79" t="n"/>
      <c r="HR22" s="6" t="n"/>
      <c r="HS22" s="79" t="n"/>
      <c r="HT22" s="18" t="n"/>
      <c r="HU22" s="79" t="n"/>
      <c r="HV22" s="79" t="n"/>
      <c r="HW22" s="79" t="n"/>
      <c r="HX22" s="79" t="n"/>
      <c r="HY22" s="79" t="n"/>
      <c r="HZ22" s="79" t="n"/>
      <c r="IA22" s="79" t="n"/>
      <c r="IB22" s="79" t="n"/>
      <c r="IC22" s="18" t="n"/>
      <c r="ID22" s="19" t="n"/>
      <c r="IE22" s="6" t="n"/>
      <c r="IF22" s="80">
        <f>IFERROR(ROUND(AVERAGE(HL22,HN22,HP22,HR22,HT22,HV22,HX22,HZ22,IB22,ID22), 2), "")</f>
        <v/>
      </c>
      <c r="IG22" s="6" t="n"/>
      <c r="IH22" s="79" t="n"/>
      <c r="II22" s="6" t="n"/>
      <c r="IJ22" s="79" t="n"/>
      <c r="IK22" s="6" t="n"/>
      <c r="IL22" s="79" t="n"/>
      <c r="IM22" s="6" t="n"/>
      <c r="IN22" s="79" t="n"/>
      <c r="IO22" s="18" t="n"/>
      <c r="IP22" s="79" t="n"/>
      <c r="IQ22" s="79" t="n"/>
      <c r="IR22" s="79" t="n"/>
      <c r="IS22" s="79" t="n"/>
      <c r="IT22" s="79" t="n"/>
      <c r="IU22" s="79" t="n"/>
      <c r="IV22" s="79" t="n"/>
      <c r="IW22" s="79" t="n"/>
      <c r="IX22" s="18" t="n"/>
      <c r="IY22" s="19" t="n"/>
      <c r="IZ22" s="6" t="n"/>
      <c r="JA22" s="79" t="n"/>
      <c r="JB22" s="6" t="n"/>
      <c r="JC22" s="79" t="n"/>
      <c r="JD22" s="6" t="n"/>
      <c r="JE22" s="79" t="n"/>
      <c r="JF22" s="6" t="n"/>
      <c r="JG22" s="79" t="n"/>
      <c r="JH22" s="6" t="n"/>
      <c r="JI22" s="79" t="n"/>
      <c r="JJ22" s="18" t="n"/>
      <c r="JK22" s="79">
        <f>IF(COUNTA(IG22:JJ22)=0, "", SUMPRODUCT(--ISNUMBER(SEARCH("m", IG22:JJ22))))</f>
        <v/>
      </c>
      <c r="JL22" s="79">
        <f>IF(COUNTA(IG22:JJ22)=0, "", COUNTA(IG22:JJ22) - SUMPRODUCT(--ISNUMBER(SEARCH("m", IG22:JJ22))))</f>
        <v/>
      </c>
      <c r="JM22" s="79" t="n"/>
      <c r="JN22" s="79" t="n"/>
      <c r="JO22" s="79" t="n"/>
      <c r="JP22" s="79" t="n"/>
      <c r="JQ22" s="79" t="n"/>
      <c r="JR22" s="79" t="n"/>
      <c r="JS22" s="18" t="n"/>
      <c r="JT22" s="19" t="n"/>
      <c r="JU22" s="6" t="n"/>
      <c r="JV22" s="79" t="n"/>
      <c r="JW22" s="6" t="n"/>
      <c r="JX22" s="79" t="n"/>
      <c r="JY22" s="6" t="n"/>
      <c r="JZ22" s="79" t="n"/>
      <c r="KA22" s="6" t="n"/>
      <c r="KB22" s="79" t="n"/>
      <c r="KC22" s="6" t="n"/>
      <c r="KD22" s="79" t="n"/>
      <c r="KE22" s="18" t="n"/>
      <c r="KF22" s="79" t="n"/>
      <c r="KG22" s="80">
        <f>IFERROR(ROUND(AVERAGE(JM22,JO22,JQ22,JS22,JU22,JW22,JY22,KA22,KC22,KE22), 2), "")</f>
        <v/>
      </c>
      <c r="KH22" s="79" t="n"/>
      <c r="KI22" s="79" t="n"/>
      <c r="KJ22" s="79" t="n"/>
      <c r="KK22" s="79" t="n"/>
      <c r="KL22" s="79" t="n"/>
      <c r="KM22" s="79" t="n"/>
      <c r="KN22" s="18" t="n"/>
      <c r="KO22" s="19" t="n"/>
      <c r="KP22" s="6" t="n"/>
      <c r="KQ22" s="6" t="n"/>
      <c r="KR22" s="6" t="n"/>
      <c r="KS22" s="6" t="n"/>
      <c r="KT22" s="6" t="n"/>
      <c r="KU22" s="6" t="n"/>
      <c r="KV22" s="6" t="n"/>
      <c r="KW22" s="6" t="n"/>
      <c r="KX22" s="6" t="n"/>
      <c r="KY22" s="6" t="n"/>
      <c r="KZ22" s="6" t="n"/>
      <c r="LA22" s="6" t="n"/>
      <c r="LB22" s="6" t="n"/>
      <c r="LC22" s="6" t="n"/>
      <c r="LD22" s="6" t="n"/>
      <c r="LE22" s="6" t="n"/>
      <c r="LF22" s="6" t="n"/>
      <c r="LG22" s="6" t="n"/>
      <c r="LH22" s="6" t="n"/>
      <c r="LI22" s="6" t="n"/>
      <c r="LJ22" s="6" t="n"/>
      <c r="LK22" s="6" t="n"/>
      <c r="LL22" s="6">
        <f>IF(COUNTA(KH22:LK22)=0, "", SUMPRODUCT(--ISNUMBER(SEARCH("m", KH22:LK22))))</f>
        <v/>
      </c>
      <c r="LM22" s="6">
        <f>IF(COUNTA(KH22:LK22)=0, "", COUNTA(KH22:LK22) - SUMPRODUCT(--ISNUMBER(SEARCH("m", KH22:LK22))))</f>
        <v/>
      </c>
      <c r="LN22" s="6" t="n"/>
      <c r="LO22" s="6" t="n"/>
      <c r="LP22" s="6" t="n"/>
      <c r="LQ22" s="6" t="n"/>
      <c r="LR22" s="6" t="n"/>
      <c r="LS22" s="6" t="n"/>
      <c r="LT22" s="6" t="n"/>
      <c r="LU22" s="6" t="n"/>
      <c r="LV22" s="6" t="n"/>
      <c r="LW22" s="6" t="n"/>
      <c r="LX22" s="6" t="n"/>
      <c r="LY22" s="6" t="n"/>
      <c r="LZ22" s="6" t="n"/>
      <c r="MA22" s="6" t="n"/>
      <c r="MB22" s="6" t="n"/>
      <c r="MC22" s="6" t="n"/>
      <c r="MD22" s="6" t="n"/>
      <c r="ME22" s="6" t="n"/>
      <c r="MF22" s="6" t="n"/>
      <c r="MG22" s="6" t="n"/>
      <c r="MH22" s="20">
        <f>IFERROR(ROUND(AVERAGE(LN22,LP22,LR22,LT22,LV22,LX22,LZ22,MB22,MD22,MF22), 2), "")</f>
        <v/>
      </c>
      <c r="MI22" s="6" t="n"/>
      <c r="MJ22" s="6" t="n"/>
      <c r="MK22" s="6" t="n"/>
      <c r="ML22" s="6" t="n"/>
      <c r="MM22" s="6" t="n"/>
      <c r="MN22" s="6" t="n"/>
      <c r="MO22" s="6" t="n"/>
      <c r="MP22" s="6" t="n"/>
      <c r="MQ22" s="6" t="n"/>
      <c r="MR22" s="6" t="n"/>
      <c r="MS22" s="6" t="n"/>
      <c r="MT22" s="6" t="n"/>
      <c r="MU22" s="6" t="n"/>
      <c r="MV22" s="6" t="n"/>
      <c r="MW22" s="6" t="n"/>
      <c r="MX22" s="6" t="n"/>
      <c r="MY22" s="6" t="n"/>
      <c r="MZ22" s="6" t="n"/>
      <c r="NA22" s="6" t="n"/>
      <c r="NB22" s="6" t="n"/>
      <c r="NC22" s="6" t="n"/>
      <c r="ND22" s="6" t="n"/>
      <c r="NE22" s="6" t="n"/>
      <c r="NF22" s="6" t="n"/>
      <c r="NG22" s="6" t="n"/>
      <c r="NH22" s="6" t="n"/>
      <c r="NI22" s="6" t="n"/>
      <c r="NJ22" s="6" t="n"/>
      <c r="NK22" s="6" t="n"/>
      <c r="NL22" s="6" t="n"/>
      <c r="NM22" s="6">
        <f>IF(COUNTA(MI22:NL22)=0, "", SUMPRODUCT(--ISNUMBER(SEARCH("m", MI22:NL22))))</f>
        <v/>
      </c>
      <c r="NN22" s="6">
        <f>IF(COUNTA(MI22:NL22)=0, "", COUNTA(MI22:NL22) - SUMPRODUCT(--ISNUMBER(SEARCH("m", MI22:NL22))))</f>
        <v/>
      </c>
      <c r="NO22" s="6" t="n"/>
      <c r="NP22" s="6" t="n"/>
      <c r="NQ22" s="6" t="n"/>
      <c r="NR22" s="6" t="n"/>
      <c r="NS22" s="6" t="n"/>
      <c r="NT22" s="6" t="n"/>
      <c r="NU22" s="6" t="n"/>
      <c r="NV22" s="6" t="n"/>
      <c r="NW22" s="6" t="n"/>
      <c r="NX22" s="6" t="n"/>
      <c r="NY22" s="6" t="n"/>
      <c r="NZ22" s="6" t="n"/>
      <c r="OA22" s="6" t="n"/>
      <c r="OB22" s="6" t="n"/>
      <c r="OC22" s="6" t="n"/>
      <c r="OD22" s="6" t="n"/>
      <c r="OE22" s="6" t="n"/>
      <c r="OF22" s="6" t="n"/>
      <c r="OG22" s="6" t="n"/>
      <c r="OH22" s="6" t="n"/>
      <c r="OI22" s="20">
        <f>IFERROR(ROUND(AVERAGE(NO22,NQ22,NS22,NU22,NW22,NY22,OA22,OC22,OE22,OG22), 2), "")</f>
        <v/>
      </c>
      <c r="OJ22" s="6" t="n"/>
      <c r="OK22" s="6" t="n"/>
      <c r="OL22" s="6" t="n"/>
      <c r="OM22" s="6" t="n"/>
      <c r="ON22" s="6" t="n"/>
      <c r="OO22" s="6" t="n"/>
      <c r="OP22" s="6" t="n"/>
      <c r="OQ22" s="6" t="n"/>
      <c r="OR22" s="6" t="n"/>
      <c r="OS22" s="6" t="n"/>
      <c r="OT22" s="6" t="n"/>
      <c r="OU22" s="6" t="n"/>
      <c r="OV22" s="6" t="n"/>
      <c r="OW22" s="6" t="n"/>
      <c r="OX22" s="6" t="n"/>
      <c r="OY22" s="6" t="n"/>
      <c r="OZ22" s="6" t="n"/>
      <c r="PA22" s="6" t="n"/>
      <c r="PB22" s="6" t="n"/>
      <c r="PC22" s="6" t="n"/>
      <c r="PD22" s="6" t="n"/>
      <c r="PE22" s="6" t="n"/>
      <c r="PF22" s="6" t="n"/>
      <c r="PG22" s="6" t="n"/>
      <c r="PH22" s="6" t="n"/>
      <c r="PI22" s="6" t="n"/>
      <c r="PJ22" s="6" t="n"/>
      <c r="PK22" s="6" t="n"/>
      <c r="PL22" s="6" t="n"/>
      <c r="PM22" s="6" t="n"/>
      <c r="PN22" s="6">
        <f>IF(COUNTA(OJ22:PM22)=0, "", SUMPRODUCT(--ISNUMBER(SEARCH("m", OJ22:PM22))))</f>
        <v/>
      </c>
      <c r="PO22" s="6">
        <f>IF(COUNTA(OJ22:PM22)=0, "", COUNTA(OJ22:PM22) - SUMPRODUCT(--ISNUMBER(SEARCH("m", OJ22:PM22))))</f>
        <v/>
      </c>
      <c r="PP22" s="6" t="n"/>
      <c r="PQ22" s="6" t="n"/>
      <c r="PR22" s="6" t="n"/>
      <c r="PS22" s="6" t="n"/>
      <c r="PT22" s="6" t="n"/>
      <c r="PU22" s="6" t="n"/>
      <c r="PV22" s="6" t="n"/>
      <c r="PW22" s="6" t="n"/>
      <c r="PX22" s="6" t="n"/>
      <c r="PY22" s="6" t="n"/>
      <c r="PZ22" s="6" t="n"/>
      <c r="QA22" s="6" t="n"/>
      <c r="QB22" s="6" t="n"/>
      <c r="QC22" s="6" t="n"/>
      <c r="QD22" s="6" t="n"/>
      <c r="QE22" s="6" t="n"/>
      <c r="QF22" s="6" t="n"/>
      <c r="QG22" s="6" t="n"/>
      <c r="QH22" s="6" t="n"/>
      <c r="QI22" s="6" t="n"/>
      <c r="QJ22" s="20">
        <f>IFERROR(ROUND(AVERAGE(PP22,PR22,PT22,PV22,PX22,PZ22,QB22,QD22,QF22,QH22), 2), "")</f>
        <v/>
      </c>
      <c r="QK22" s="6" t="n"/>
      <c r="QL22" s="6" t="n"/>
      <c r="QM22" s="6" t="n"/>
      <c r="QN22" s="6" t="n"/>
      <c r="QO22" s="6" t="n"/>
      <c r="QP22" s="6" t="n"/>
      <c r="QQ22" s="6" t="n"/>
      <c r="QR22" s="6" t="n"/>
      <c r="QS22" s="6" t="n"/>
      <c r="QT22" s="6" t="n"/>
      <c r="QU22" s="6" t="n"/>
      <c r="QV22" s="6" t="n"/>
      <c r="QW22" s="6" t="n"/>
      <c r="QX22" s="6" t="n"/>
      <c r="QY22" s="6" t="n"/>
      <c r="QZ22" s="6" t="n"/>
      <c r="RA22" s="6" t="n"/>
      <c r="RB22" s="6" t="n"/>
      <c r="RC22" s="6" t="n"/>
      <c r="RD22" s="6" t="n"/>
      <c r="RE22" s="6" t="n"/>
      <c r="RF22" s="6" t="n"/>
      <c r="RG22" s="6" t="n"/>
      <c r="RH22" s="6" t="n"/>
      <c r="RI22" s="6" t="n"/>
      <c r="RJ22" s="6" t="n"/>
      <c r="RK22" s="6" t="n"/>
      <c r="RL22" s="6" t="n"/>
      <c r="RM22" s="6" t="n"/>
      <c r="RN22" s="6" t="n"/>
      <c r="RO22" s="6">
        <f>IF(COUNTA(QK22:RN22)=0, "", SUMPRODUCT(--ISNUMBER(SEARCH("m", QK22:RN22))))</f>
        <v/>
      </c>
      <c r="RP22" s="6">
        <f>IF(COUNTA(QK22:RN22)=0, "", COUNTA(QK22:RN22) - SUMPRODUCT(--ISNUMBER(SEARCH("m", QK22:RN22))))</f>
        <v/>
      </c>
      <c r="RQ22" s="6" t="n"/>
      <c r="RR22" s="6" t="n"/>
      <c r="RS22" s="6" t="n"/>
      <c r="RT22" s="6" t="n"/>
      <c r="RU22" s="6" t="n"/>
      <c r="RV22" s="6" t="n"/>
      <c r="RW22" s="6" t="n"/>
      <c r="RX22" s="6" t="n"/>
      <c r="RY22" s="6" t="n"/>
      <c r="RZ22" s="6" t="n"/>
      <c r="SA22" s="6" t="n"/>
      <c r="SB22" s="6" t="n"/>
      <c r="SC22" s="6" t="n"/>
      <c r="SD22" s="6" t="n"/>
      <c r="SE22" s="6" t="n"/>
      <c r="SF22" s="6" t="n"/>
      <c r="SG22" s="6" t="n"/>
      <c r="SH22" s="6" t="n"/>
      <c r="SI22" s="6" t="n"/>
      <c r="SJ22" s="6" t="n"/>
      <c r="SK22" s="20">
        <f>IFERROR(ROUND(AVERAGE(RQ22,RS22,RU22,RW22,RY22,SA22,SC22,SE22,SG22,SI22), 2), "")</f>
        <v/>
      </c>
      <c r="SL22" s="6" t="n"/>
      <c r="SM22" s="6" t="n"/>
      <c r="SN22" s="6" t="n"/>
      <c r="SO22" s="6" t="n"/>
      <c r="SP22" s="6" t="n"/>
      <c r="SQ22" s="6" t="n"/>
      <c r="SR22" s="6" t="n"/>
      <c r="SS22" s="6" t="n"/>
      <c r="ST22" s="6" t="n"/>
      <c r="SU22" s="6" t="n"/>
      <c r="SV22" s="6" t="n"/>
      <c r="SW22" s="6" t="n"/>
      <c r="SX22" s="6" t="n"/>
      <c r="SY22" s="6" t="n"/>
      <c r="SZ22" s="6" t="n"/>
      <c r="TA22" s="6" t="n"/>
      <c r="TB22" s="6" t="n"/>
      <c r="TC22" s="6" t="n"/>
      <c r="TD22" s="6" t="n"/>
      <c r="TE22" s="6" t="n"/>
      <c r="TF22" s="6" t="n"/>
      <c r="TG22" s="6" t="n"/>
      <c r="TH22" s="6" t="n"/>
      <c r="TI22" s="6" t="n"/>
      <c r="TJ22" s="6" t="n"/>
      <c r="TK22" s="6" t="n"/>
      <c r="TL22" s="6" t="n"/>
      <c r="TM22" s="6" t="n"/>
      <c r="TN22" s="6" t="n"/>
      <c r="TO22" s="6" t="n"/>
      <c r="TP22" s="6">
        <f>IF(COUNTA(SL22:TO22)=0, "", SUMPRODUCT(--ISNUMBER(SEARCH("m", SL22:TO22))))</f>
        <v/>
      </c>
      <c r="TQ22" s="6">
        <f>IF(COUNTA(SL22:TO22)=0, "", COUNTA(SL22:TO22) - SUMPRODUCT(--ISNUMBER(SEARCH("m", SL22:TO22))))</f>
        <v/>
      </c>
      <c r="TR22" s="6" t="n"/>
      <c r="TS22" s="6" t="n"/>
      <c r="TT22" s="6" t="n"/>
      <c r="TU22" s="6" t="n"/>
      <c r="TV22" s="6" t="n"/>
      <c r="TW22" s="6" t="n"/>
      <c r="TX22" s="6" t="n"/>
      <c r="TY22" s="6" t="n"/>
      <c r="TZ22" s="6" t="n"/>
      <c r="UA22" s="6" t="n"/>
      <c r="UB22" s="6" t="n"/>
      <c r="UC22" s="6" t="n"/>
      <c r="UD22" s="6" t="n"/>
      <c r="UE22" s="6" t="n"/>
      <c r="UF22" s="6" t="n"/>
      <c r="UG22" s="6" t="n"/>
      <c r="UH22" s="6" t="n"/>
      <c r="UI22" s="6" t="n"/>
      <c r="UJ22" s="6" t="n"/>
      <c r="UK22" s="6" t="n"/>
      <c r="UL22" s="20">
        <f>IFERROR(ROUND(AVERAGE(TR22,TT22,TV22,TX22,TZ22,UB22,UD22,UF22,UH22,UJ22), 2), "")</f>
        <v/>
      </c>
      <c r="UM22" s="6" t="n"/>
      <c r="UN22" s="6" t="n"/>
      <c r="UO22" s="6" t="n"/>
      <c r="UP22" s="6" t="n"/>
      <c r="UQ22" s="6" t="n"/>
      <c r="UR22" s="6" t="n"/>
      <c r="US22" s="6" t="n"/>
      <c r="UT22" s="6" t="n"/>
      <c r="UU22" s="6" t="n"/>
      <c r="UV22" s="6" t="n"/>
      <c r="UW22" s="6" t="n"/>
      <c r="UX22" s="6" t="n"/>
      <c r="UY22" s="6" t="n"/>
      <c r="UZ22" s="6" t="n"/>
      <c r="VA22" s="6" t="n"/>
      <c r="VB22" s="6" t="n"/>
      <c r="VC22" s="6" t="n"/>
      <c r="VD22" s="6" t="n"/>
      <c r="VE22" s="6" t="n"/>
      <c r="VF22" s="6" t="n"/>
      <c r="VG22" s="6" t="n"/>
      <c r="VH22" s="6" t="n"/>
      <c r="VI22" s="6" t="n"/>
      <c r="VJ22" s="6" t="n"/>
      <c r="VK22" s="6" t="n"/>
      <c r="VL22" s="6" t="n"/>
      <c r="VM22" s="6" t="n"/>
      <c r="VN22" s="6" t="n"/>
      <c r="VO22" s="6" t="n"/>
      <c r="VP22" s="6" t="n"/>
      <c r="VQ22" s="6">
        <f>IF(COUNTA(UM22:VP22)=0, "", SUMPRODUCT(--ISNUMBER(SEARCH("m", UM22:VP22))))</f>
        <v/>
      </c>
      <c r="VR22" s="6">
        <f>IF(COUNTA(UM22:VP22)=0, "", COUNTA(UM22:VP22) - SUMPRODUCT(--ISNUMBER(SEARCH("m", UM22:VP22))))</f>
        <v/>
      </c>
      <c r="VS22" s="6" t="n"/>
      <c r="VT22" s="6" t="n"/>
      <c r="VU22" s="6" t="n"/>
      <c r="VV22" s="6" t="n"/>
      <c r="VW22" s="6" t="n"/>
      <c r="VX22" s="6" t="n"/>
      <c r="VY22" s="6" t="n"/>
      <c r="VZ22" s="6" t="n"/>
      <c r="WA22" s="6" t="n"/>
      <c r="WB22" s="6" t="n"/>
      <c r="WC22" s="6" t="n"/>
      <c r="WD22" s="6" t="n"/>
      <c r="WE22" s="6" t="n"/>
      <c r="WF22" s="6" t="n"/>
      <c r="WG22" s="6" t="n"/>
      <c r="WH22" s="6" t="n"/>
      <c r="WI22" s="6" t="n"/>
      <c r="WJ22" s="6" t="n"/>
      <c r="WK22" s="6" t="n"/>
      <c r="WL22" s="6" t="n"/>
      <c r="WM22" s="20">
        <f>IFERROR(ROUND(AVERAGE(VS22,VU22,VW22,VY22,WA22,WC22,WE22,WG22,WI22,WK22), 2), "")</f>
        <v/>
      </c>
      <c r="WN22" s="6" t="n"/>
      <c r="WO22" s="6" t="n"/>
      <c r="WP22" s="6" t="n"/>
      <c r="WQ22" s="6" t="n"/>
      <c r="WR22" s="6" t="n"/>
      <c r="WS22" s="6" t="n"/>
      <c r="WT22" s="6" t="n"/>
      <c r="WU22" s="6" t="n"/>
      <c r="WV22" s="6" t="n"/>
      <c r="WW22" s="6" t="n"/>
      <c r="WX22" s="6" t="n"/>
      <c r="WY22" s="6" t="n"/>
      <c r="WZ22" s="6" t="n"/>
      <c r="XA22" s="6" t="n"/>
      <c r="XB22" s="6" t="n"/>
      <c r="XC22" s="6" t="n"/>
      <c r="XD22" s="6" t="n"/>
      <c r="XE22" s="6" t="n"/>
      <c r="XF22" s="6" t="n"/>
      <c r="XG22" s="6" t="n"/>
      <c r="XH22" s="6" t="n"/>
      <c r="XI22" s="6" t="n"/>
      <c r="XJ22" s="6" t="n"/>
      <c r="XK22" s="6" t="n"/>
      <c r="XL22" s="6" t="n"/>
      <c r="XM22" s="6" t="n"/>
      <c r="XN22" s="6" t="n"/>
      <c r="XO22" s="6" t="n"/>
      <c r="XP22" s="6" t="n"/>
      <c r="XQ22" s="6" t="n"/>
      <c r="XR22" s="6">
        <f>IF(COUNTA(WN22:XQ22)=0, "", SUMPRODUCT(--ISNUMBER(SEARCH("m", WN22:XQ22))))</f>
        <v/>
      </c>
      <c r="XS22" s="6">
        <f>IF(COUNTA(WN22:XQ22)=0, "", COUNTA(WN22:XQ22) - SUMPRODUCT(--ISNUMBER(SEARCH("m", WN22:XQ22))))</f>
        <v/>
      </c>
      <c r="XT22" s="6" t="n"/>
      <c r="XU22" s="6" t="n"/>
      <c r="XV22" s="6" t="n"/>
      <c r="XW22" s="6" t="n"/>
      <c r="XX22" s="6" t="n"/>
      <c r="XY22" s="6" t="n"/>
      <c r="XZ22" s="6" t="n"/>
      <c r="YA22" s="6" t="n"/>
      <c r="YB22" s="6" t="n"/>
      <c r="YC22" s="6" t="n"/>
      <c r="YD22" s="6" t="n"/>
      <c r="YE22" s="6" t="n"/>
      <c r="YF22" s="6" t="n"/>
      <c r="YG22" s="6" t="n"/>
      <c r="YH22" s="6" t="n"/>
      <c r="YI22" s="6" t="n"/>
      <c r="YJ22" s="6" t="n"/>
      <c r="YK22" s="6" t="n"/>
      <c r="YL22" s="6" t="n"/>
      <c r="YM22" s="6" t="n"/>
      <c r="YN22" s="20">
        <f>IFERROR(ROUND(AVERAGE(XT22,XV22,XX22,XZ22,YB22,YD22,YF22,YH22,YJ22,YL22), 2), "")</f>
        <v/>
      </c>
      <c r="YO22" s="6" t="n"/>
      <c r="YP22" s="6" t="n"/>
      <c r="YQ22" s="6" t="n"/>
      <c r="YR22" s="6" t="n"/>
      <c r="YS22" s="6" t="n"/>
      <c r="YT22" s="6" t="n"/>
      <c r="YU22" s="6" t="n"/>
      <c r="YV22" s="6" t="n"/>
      <c r="YW22" s="6" t="n"/>
      <c r="YX22" s="6" t="n"/>
      <c r="YY22" s="6" t="n"/>
      <c r="YZ22" s="6" t="n"/>
      <c r="ZA22" s="6" t="n"/>
      <c r="ZB22" s="6" t="n"/>
      <c r="ZC22" s="6" t="n"/>
      <c r="ZD22" s="6" t="n"/>
      <c r="ZE22" s="6" t="n"/>
      <c r="ZF22" s="6" t="n"/>
      <c r="ZG22" s="6" t="n"/>
      <c r="ZH22" s="6" t="n"/>
      <c r="ZI22" s="6" t="n"/>
      <c r="ZJ22" s="6" t="n"/>
      <c r="ZK22" s="6" t="n"/>
      <c r="ZL22" s="6" t="n"/>
      <c r="ZM22" s="6" t="n"/>
      <c r="ZN22" s="6" t="n"/>
      <c r="ZO22" s="6" t="n"/>
      <c r="ZP22" s="6" t="n"/>
      <c r="ZQ22" s="6" t="n"/>
      <c r="ZR22" s="6" t="n"/>
      <c r="ZS22" s="6">
        <f>IF(COUNTA(YO22:ZR22)=0, "", SUMPRODUCT(--ISNUMBER(SEARCH("m", YO22:ZR22))))</f>
        <v/>
      </c>
      <c r="ZT22" s="6">
        <f>IF(COUNTA(YO22:ZR22)=0, "", COUNTA(YO22:ZR22) - SUMPRODUCT(--ISNUMBER(SEARCH("m", YO22:ZR22))))</f>
        <v/>
      </c>
      <c r="ZU22" s="6" t="n"/>
      <c r="ZV22" s="6" t="n"/>
      <c r="ZW22" s="6" t="n"/>
      <c r="ZX22" s="6" t="n"/>
      <c r="ZY22" s="6" t="n"/>
      <c r="ZZ22" s="6" t="n"/>
      <c r="AAA22" s="6" t="n"/>
      <c r="AAB22" s="6" t="n"/>
      <c r="AAC22" s="6" t="n"/>
      <c r="AAD22" s="6" t="n"/>
      <c r="AAE22" s="6" t="n"/>
      <c r="AAF22" s="6" t="n"/>
      <c r="AAG22" s="6" t="n"/>
      <c r="AAH22" s="6" t="n"/>
      <c r="AAI22" s="6" t="n"/>
      <c r="AAJ22" s="6" t="n"/>
      <c r="AAK22" s="6" t="n"/>
      <c r="AAL22" s="6" t="n"/>
      <c r="AAM22" s="6" t="n"/>
      <c r="AAN22" s="6" t="n"/>
      <c r="AAO22" s="20">
        <f>IFERROR(ROUND(AVERAGE(ZU22,ZW22,ZY22,AAA22,AAC22,AAE22,AAG22,AAI22,AAK22,AAM22), 2), "")</f>
        <v/>
      </c>
      <c r="AAP22" s="6" t="n"/>
      <c r="AAQ22" s="6" t="n"/>
      <c r="AAR22" s="6" t="n"/>
      <c r="AAS22" s="6" t="n"/>
      <c r="AAT22" s="6" t="n"/>
      <c r="AAU22" s="6" t="n"/>
      <c r="AAV22" s="6" t="n"/>
      <c r="AAW22" s="6" t="n"/>
      <c r="AAX22" s="6" t="n"/>
      <c r="AAY22" s="6" t="n"/>
      <c r="AAZ22" s="6" t="n"/>
      <c r="ABA22" s="6" t="n"/>
      <c r="ABB22" s="6" t="n"/>
      <c r="ABC22" s="6" t="n"/>
      <c r="ABD22" s="6" t="n"/>
      <c r="ABE22" s="6" t="n"/>
      <c r="ABF22" s="6" t="n"/>
      <c r="ABG22" s="6" t="n"/>
      <c r="ABH22" s="6" t="n"/>
      <c r="ABI22" s="6" t="n"/>
      <c r="ABJ22" s="6" t="n"/>
      <c r="ABK22" s="6" t="n"/>
      <c r="ABL22" s="6" t="n"/>
      <c r="ABM22" s="6" t="n"/>
      <c r="ABN22" s="6" t="n"/>
      <c r="ABO22" s="6" t="n"/>
      <c r="ABP22" s="6" t="n"/>
      <c r="ABQ22" s="6" t="n"/>
      <c r="ABR22" s="6" t="n"/>
      <c r="ABS22" s="6" t="n"/>
      <c r="ABT22" s="6">
        <f>IF(COUNTA(AAP22:ABS22)=0, "", SUMPRODUCT(--ISNUMBER(SEARCH("m", AAP22:ABS22))))</f>
        <v/>
      </c>
      <c r="ABU22" s="6">
        <f>IF(COUNTA(AAP22:ABS22)=0, "", COUNTA(AAP22:ABS22) - SUMPRODUCT(--ISNUMBER(SEARCH("m", AAP22:ABS22))))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8">
        <f>IFERROR(ROUND(AVERAGE(AB23,CC23,ED23,GE23,IF23,KG23,MH23,OI23,QJ23,SK23,UL23,WM23,YN23,AAO23), 2), "")</f>
        <v/>
      </c>
      <c r="F23" s="14">
        <f>IF(SUM(BH23,DI23,FJ23,HK23,JL23,LM23,NN23,PO23,RP23,TQ23,VR23,XS23,ZT23,ABU23)=0, "", SUM(BH23,DI23,FJ23,HK23,JL23,LM23,NN23,PO23,RP23,TQ23,VR23,XS23,ZT23,ABU23))</f>
        <v/>
      </c>
      <c r="G23" s="8">
        <f>IF(SUM(BG23,DH23,FI23,HJ23,JK23,LL23,NM23,PN23,RO23,TP23,VQ23,XR23,ZS23,ABT23)=0, "", SUM(BG23,DH23,FI23,HJ23,JK23,LL23,NM23,PN23,RO23,TP23,VQ23,XR23,ZS23,ABT23))</f>
        <v/>
      </c>
      <c r="H23" s="6" t="n"/>
      <c r="I23" s="79" t="n"/>
      <c r="J23" s="6" t="n"/>
      <c r="K23" s="79" t="n"/>
      <c r="L23" s="6" t="n"/>
      <c r="M23" s="79" t="n"/>
      <c r="N23" s="6" t="n"/>
      <c r="O23" s="79" t="n"/>
      <c r="P23" s="6" t="n"/>
      <c r="Q23" s="79" t="n"/>
      <c r="R23" s="18" t="n"/>
      <c r="S23" s="79" t="n"/>
      <c r="T23" s="79" t="n"/>
      <c r="U23" s="79" t="n"/>
      <c r="V23" s="79" t="n"/>
      <c r="W23" s="79" t="n"/>
      <c r="X23" s="79" t="n"/>
      <c r="Y23" s="79" t="n"/>
      <c r="Z23" s="79" t="n"/>
      <c r="AA23" s="18" t="n"/>
      <c r="AB23" s="14">
        <f>IFERROR(ROUND(AVERAGE(H23,J23,L23,N23,P23,R23,T23,V23,X23,Z23), 2), "")</f>
        <v/>
      </c>
      <c r="AC23" s="6" t="n"/>
      <c r="AD23" s="79" t="n"/>
      <c r="AE23" s="6" t="n"/>
      <c r="AF23" s="79" t="n"/>
      <c r="AG23" s="6" t="n"/>
      <c r="AH23" s="79" t="n"/>
      <c r="AI23" s="6" t="n"/>
      <c r="AJ23" s="79" t="n"/>
      <c r="AK23" s="6" t="n"/>
      <c r="AL23" s="79" t="n"/>
      <c r="AM23" s="18" t="n"/>
      <c r="AN23" s="79" t="n"/>
      <c r="AO23" s="79" t="n"/>
      <c r="AP23" s="79" t="n"/>
      <c r="AQ23" s="79" t="n"/>
      <c r="AR23" s="79" t="n"/>
      <c r="AS23" s="79" t="n"/>
      <c r="AT23" s="79" t="n"/>
      <c r="AU23" s="79" t="n"/>
      <c r="AV23" s="18" t="n"/>
      <c r="AW23" s="19" t="n"/>
      <c r="AX23" s="6" t="n"/>
      <c r="AY23" s="79" t="n"/>
      <c r="AZ23" s="6" t="n"/>
      <c r="BA23" s="79" t="n"/>
      <c r="BB23" s="6" t="n"/>
      <c r="BC23" s="79" t="n"/>
      <c r="BD23" s="6" t="n"/>
      <c r="BE23" s="79" t="n"/>
      <c r="BF23" s="6" t="n"/>
      <c r="BG23" s="79">
        <f>IF(COUNTA(AC23:BF23)=0, "", SUMPRODUCT(--ISNUMBER(SEARCH("m", AC23:BF23))))</f>
        <v/>
      </c>
      <c r="BH23" s="18">
        <f>IF(COUNTA(AC23:BF23)=0, "", COUNTA(AC23:BF23) - SUMPRODUCT(--ISNUMBER(SEARCH("m", AC23:BF23))))</f>
        <v/>
      </c>
      <c r="BI23" s="79" t="n"/>
      <c r="BJ23" s="79" t="n"/>
      <c r="BK23" s="79" t="n"/>
      <c r="BL23" s="79" t="n"/>
      <c r="BM23" s="79" t="n"/>
      <c r="BN23" s="79" t="n"/>
      <c r="BO23" s="79" t="n"/>
      <c r="BP23" s="79" t="n"/>
      <c r="BQ23" s="18" t="n"/>
      <c r="BR23" s="19" t="n"/>
      <c r="BS23" s="6" t="n"/>
      <c r="BT23" s="79" t="n"/>
      <c r="BU23" s="6" t="n"/>
      <c r="BV23" s="79" t="n"/>
      <c r="BW23" s="6" t="n"/>
      <c r="BX23" s="79" t="n"/>
      <c r="BY23" s="6" t="n"/>
      <c r="BZ23" s="79" t="n"/>
      <c r="CA23" s="6" t="n"/>
      <c r="CB23" s="79" t="n"/>
      <c r="CC23" s="8">
        <f>IFERROR(ROUND(AVERAGE(BI23,BK23,BM23,BO23,BQ23,BS23,BU23,BW23,BY23,CA23), 2), "")</f>
        <v/>
      </c>
      <c r="CD23" s="79" t="n"/>
      <c r="CE23" s="79" t="n"/>
      <c r="CF23" s="79" t="n"/>
      <c r="CG23" s="79" t="n"/>
      <c r="CH23" s="79" t="n"/>
      <c r="CI23" s="79" t="n"/>
      <c r="CJ23" s="79" t="n"/>
      <c r="CK23" s="79" t="n"/>
      <c r="CL23" s="18" t="n"/>
      <c r="CM23" s="19" t="n"/>
      <c r="CN23" s="6" t="n"/>
      <c r="CO23" s="79" t="n"/>
      <c r="CP23" s="6" t="n"/>
      <c r="CQ23" s="79" t="n"/>
      <c r="CR23" s="6" t="n"/>
      <c r="CS23" s="79" t="n"/>
      <c r="CT23" s="6" t="n"/>
      <c r="CU23" s="79" t="n"/>
      <c r="CV23" s="6" t="n"/>
      <c r="CW23" s="79" t="n"/>
      <c r="CX23" s="18" t="n"/>
      <c r="CY23" s="79" t="n"/>
      <c r="CZ23" s="79" t="n"/>
      <c r="DA23" s="79" t="n"/>
      <c r="DB23" s="79" t="n"/>
      <c r="DC23" s="79" t="n"/>
      <c r="DD23" s="79" t="n"/>
      <c r="DE23" s="79" t="n"/>
      <c r="DF23" s="79" t="n"/>
      <c r="DG23" s="18" t="n"/>
      <c r="DH23" s="19">
        <f>IF(COUNTA(CD23:DG23)=0, "", SUMPRODUCT(--ISNUMBER(SEARCH("m", CD23:DG23))))</f>
        <v/>
      </c>
      <c r="DI23" s="6">
        <f>IF(COUNTA(CD23:DG23)=0, "", COUNTA(CD23:DG23) - SUMPRODUCT(--ISNUMBER(SEARCH("m", CD23:DG23))))</f>
        <v/>
      </c>
      <c r="DJ23" s="79" t="n"/>
      <c r="DK23" s="6" t="n"/>
      <c r="DL23" s="79" t="n"/>
      <c r="DM23" s="6" t="n"/>
      <c r="DN23" s="79" t="n"/>
      <c r="DO23" s="6" t="n"/>
      <c r="DP23" s="79" t="n"/>
      <c r="DQ23" s="6" t="n"/>
      <c r="DR23" s="79" t="n"/>
      <c r="DS23" s="18" t="n"/>
      <c r="DT23" s="79" t="n"/>
      <c r="DU23" s="79" t="n"/>
      <c r="DV23" s="79" t="n"/>
      <c r="DW23" s="79" t="n"/>
      <c r="DX23" s="79" t="n"/>
      <c r="DY23" s="79" t="n"/>
      <c r="DZ23" s="79" t="n"/>
      <c r="EA23" s="79" t="n"/>
      <c r="EB23" s="18" t="n"/>
      <c r="EC23" s="19" t="n"/>
      <c r="ED23" s="20">
        <f>IFERROR(ROUND(AVERAGE(DJ23,DL23,DN23,DP23,DR23,DT23,DV23,DX23,DZ23,EB23), 2), "")</f>
        <v/>
      </c>
      <c r="EE23" s="79" t="n"/>
      <c r="EF23" s="6" t="n"/>
      <c r="EG23" s="79" t="n"/>
      <c r="EH23" s="6" t="n"/>
      <c r="EI23" s="79" t="n"/>
      <c r="EJ23" s="6" t="n"/>
      <c r="EK23" s="79" t="n"/>
      <c r="EL23" s="6" t="n"/>
      <c r="EM23" s="79" t="n"/>
      <c r="EN23" s="18" t="n"/>
      <c r="EO23" s="79" t="n"/>
      <c r="EP23" s="79" t="n"/>
      <c r="EQ23" s="79" t="n"/>
      <c r="ER23" s="79" t="n"/>
      <c r="ES23" s="79" t="n"/>
      <c r="ET23" s="79" t="n"/>
      <c r="EU23" s="79" t="n"/>
      <c r="EV23" s="79" t="n"/>
      <c r="EW23" s="18" t="n"/>
      <c r="EX23" s="19" t="n"/>
      <c r="EY23" s="6" t="n"/>
      <c r="EZ23" s="79" t="n"/>
      <c r="FA23" s="6" t="n"/>
      <c r="FB23" s="79" t="n"/>
      <c r="FC23" s="6" t="n"/>
      <c r="FD23" s="79" t="n"/>
      <c r="FE23" s="6" t="n"/>
      <c r="FF23" s="79" t="n"/>
      <c r="FG23" s="6" t="n"/>
      <c r="FH23" s="79" t="n"/>
      <c r="FI23" s="18">
        <f>IF(COUNTA(EE23:FH23)=0, "", SUMPRODUCT(--ISNUMBER(SEARCH("m", EE23:FH23))))</f>
        <v/>
      </c>
      <c r="FJ23" s="79">
        <f>IF(COUNTA(EE23:FH23)=0, "", COUNTA(EE23:FH23) - SUMPRODUCT(--ISNUMBER(SEARCH("m", EE23:FH23))))</f>
        <v/>
      </c>
      <c r="FK23" s="79" t="n"/>
      <c r="FL23" s="79" t="n"/>
      <c r="FM23" s="79" t="n"/>
      <c r="FN23" s="79" t="n"/>
      <c r="FO23" s="79" t="n"/>
      <c r="FP23" s="79" t="n"/>
      <c r="FQ23" s="79" t="n"/>
      <c r="FR23" s="18" t="n"/>
      <c r="FS23" s="19" t="n"/>
      <c r="FT23" s="6" t="n"/>
      <c r="FU23" s="79" t="n"/>
      <c r="FV23" s="6" t="n"/>
      <c r="FW23" s="79" t="n"/>
      <c r="FX23" s="6" t="n"/>
      <c r="FY23" s="79" t="n"/>
      <c r="FZ23" s="6" t="n"/>
      <c r="GA23" s="79" t="n"/>
      <c r="GB23" s="6" t="n"/>
      <c r="GC23" s="79" t="n"/>
      <c r="GD23" s="18" t="n"/>
      <c r="GE23" s="80">
        <f>IFERROR(ROUND(AVERAGE(FK23,FM23,FO23,FQ23,FS23,FU23,FW23,FY23,GA23,GC23), 2), "")</f>
        <v/>
      </c>
      <c r="GF23" s="79" t="n"/>
      <c r="GG23" s="79" t="n"/>
      <c r="GH23" s="79" t="n"/>
      <c r="GI23" s="79" t="n"/>
      <c r="GJ23" s="79" t="n"/>
      <c r="GK23" s="79" t="n"/>
      <c r="GL23" s="79" t="n"/>
      <c r="GM23" s="18" t="n"/>
      <c r="GN23" s="19" t="n"/>
      <c r="GO23" s="6" t="n"/>
      <c r="GP23" s="79" t="n"/>
      <c r="GQ23" s="6" t="n"/>
      <c r="GR23" s="79" t="n"/>
      <c r="GS23" s="6" t="n"/>
      <c r="GT23" s="79" t="n"/>
      <c r="GU23" s="6" t="n"/>
      <c r="GV23" s="79" t="n"/>
      <c r="GW23" s="6" t="n"/>
      <c r="GX23" s="79" t="n"/>
      <c r="GY23" s="18" t="n"/>
      <c r="GZ23" s="79" t="n"/>
      <c r="HA23" s="79" t="n"/>
      <c r="HB23" s="79" t="n"/>
      <c r="HC23" s="79" t="n"/>
      <c r="HD23" s="79" t="n"/>
      <c r="HE23" s="79" t="n"/>
      <c r="HF23" s="79" t="n"/>
      <c r="HG23" s="79" t="n"/>
      <c r="HH23" s="18" t="n"/>
      <c r="HI23" s="19" t="n"/>
      <c r="HJ23" s="6">
        <f>IF(COUNTA(GF23:HI23)=0, "", SUMPRODUCT(--ISNUMBER(SEARCH("m", GF23:HI23))))</f>
        <v/>
      </c>
      <c r="HK23" s="79">
        <f>IF(COUNTA(GF23:HI23)=0, "", COUNTA(GF23:HI23) - SUMPRODUCT(--ISNUMBER(SEARCH("m", GF23:HI23))))</f>
        <v/>
      </c>
      <c r="HL23" s="6" t="n"/>
      <c r="HM23" s="79" t="n"/>
      <c r="HN23" s="6" t="n"/>
      <c r="HO23" s="79" t="n"/>
      <c r="HP23" s="6" t="n"/>
      <c r="HQ23" s="79" t="n"/>
      <c r="HR23" s="6" t="n"/>
      <c r="HS23" s="79" t="n"/>
      <c r="HT23" s="18" t="n"/>
      <c r="HU23" s="79" t="n"/>
      <c r="HV23" s="79" t="n"/>
      <c r="HW23" s="79" t="n"/>
      <c r="HX23" s="79" t="n"/>
      <c r="HY23" s="79" t="n"/>
      <c r="HZ23" s="79" t="n"/>
      <c r="IA23" s="79" t="n"/>
      <c r="IB23" s="79" t="n"/>
      <c r="IC23" s="18" t="n"/>
      <c r="ID23" s="19" t="n"/>
      <c r="IE23" s="6" t="n"/>
      <c r="IF23" s="80">
        <f>IFERROR(ROUND(AVERAGE(HL23,HN23,HP23,HR23,HT23,HV23,HX23,HZ23,IB23,ID23), 2), "")</f>
        <v/>
      </c>
      <c r="IG23" s="6" t="n"/>
      <c r="IH23" s="79" t="n"/>
      <c r="II23" s="6" t="n"/>
      <c r="IJ23" s="79" t="n"/>
      <c r="IK23" s="6" t="n"/>
      <c r="IL23" s="79" t="n"/>
      <c r="IM23" s="6" t="n"/>
      <c r="IN23" s="79" t="n"/>
      <c r="IO23" s="18" t="n"/>
      <c r="IP23" s="79" t="n"/>
      <c r="IQ23" s="79" t="n"/>
      <c r="IR23" s="79" t="n"/>
      <c r="IS23" s="79" t="n"/>
      <c r="IT23" s="79" t="n"/>
      <c r="IU23" s="79" t="n"/>
      <c r="IV23" s="79" t="n"/>
      <c r="IW23" s="79" t="n"/>
      <c r="IX23" s="18" t="n"/>
      <c r="IY23" s="19" t="n"/>
      <c r="IZ23" s="6" t="n"/>
      <c r="JA23" s="79" t="n"/>
      <c r="JB23" s="6" t="n"/>
      <c r="JC23" s="79" t="n"/>
      <c r="JD23" s="6" t="n"/>
      <c r="JE23" s="79" t="n"/>
      <c r="JF23" s="6" t="n"/>
      <c r="JG23" s="79" t="n"/>
      <c r="JH23" s="6" t="n"/>
      <c r="JI23" s="79" t="n"/>
      <c r="JJ23" s="18" t="n"/>
      <c r="JK23" s="79">
        <f>IF(COUNTA(IG23:JJ23)=0, "", SUMPRODUCT(--ISNUMBER(SEARCH("m", IG23:JJ23))))</f>
        <v/>
      </c>
      <c r="JL23" s="79">
        <f>IF(COUNTA(IG23:JJ23)=0, "", COUNTA(IG23:JJ23) - SUMPRODUCT(--ISNUMBER(SEARCH("m", IG23:JJ23))))</f>
        <v/>
      </c>
      <c r="JM23" s="79" t="n"/>
      <c r="JN23" s="79" t="n"/>
      <c r="JO23" s="79" t="n"/>
      <c r="JP23" s="79" t="n"/>
      <c r="JQ23" s="79" t="n"/>
      <c r="JR23" s="79" t="n"/>
      <c r="JS23" s="18" t="n"/>
      <c r="JT23" s="19" t="n"/>
      <c r="JU23" s="6" t="n"/>
      <c r="JV23" s="79" t="n"/>
      <c r="JW23" s="6" t="n"/>
      <c r="JX23" s="79" t="n"/>
      <c r="JY23" s="6" t="n"/>
      <c r="JZ23" s="79" t="n"/>
      <c r="KA23" s="6" t="n"/>
      <c r="KB23" s="79" t="n"/>
      <c r="KC23" s="6" t="n"/>
      <c r="KD23" s="79" t="n"/>
      <c r="KE23" s="18" t="n"/>
      <c r="KF23" s="79" t="n"/>
      <c r="KG23" s="80">
        <f>IFERROR(ROUND(AVERAGE(JM23,JO23,JQ23,JS23,JU23,JW23,JY23,KA23,KC23,KE23), 2), "")</f>
        <v/>
      </c>
      <c r="KH23" s="79" t="n"/>
      <c r="KI23" s="79" t="n"/>
      <c r="KJ23" s="79" t="n"/>
      <c r="KK23" s="79" t="n"/>
      <c r="KL23" s="79" t="n"/>
      <c r="KM23" s="79" t="n"/>
      <c r="KN23" s="18" t="n"/>
      <c r="KO23" s="19" t="n"/>
      <c r="KP23" s="6" t="n"/>
      <c r="KQ23" s="6" t="n"/>
      <c r="KR23" s="6" t="n"/>
      <c r="KS23" s="6" t="n"/>
      <c r="KT23" s="6" t="n"/>
      <c r="KU23" s="6" t="n"/>
      <c r="KV23" s="6" t="n"/>
      <c r="KW23" s="6" t="n"/>
      <c r="KX23" s="6" t="n"/>
      <c r="KY23" s="6" t="n"/>
      <c r="KZ23" s="6" t="n"/>
      <c r="LA23" s="6" t="n"/>
      <c r="LB23" s="6" t="n"/>
      <c r="LC23" s="6" t="n"/>
      <c r="LD23" s="6" t="n"/>
      <c r="LE23" s="6" t="n"/>
      <c r="LF23" s="6" t="n"/>
      <c r="LG23" s="6" t="n"/>
      <c r="LH23" s="6" t="n"/>
      <c r="LI23" s="6" t="n"/>
      <c r="LJ23" s="6" t="n"/>
      <c r="LK23" s="6" t="n"/>
      <c r="LL23" s="6">
        <f>IF(COUNTA(KH23:LK23)=0, "", SUMPRODUCT(--ISNUMBER(SEARCH("m", KH23:LK23))))</f>
        <v/>
      </c>
      <c r="LM23" s="6">
        <f>IF(COUNTA(KH23:LK23)=0, "", COUNTA(KH23:LK23) - SUMPRODUCT(--ISNUMBER(SEARCH("m", KH23:LK23))))</f>
        <v/>
      </c>
      <c r="LN23" s="6" t="n"/>
      <c r="LO23" s="6" t="n"/>
      <c r="LP23" s="6" t="n"/>
      <c r="LQ23" s="6" t="n"/>
      <c r="LR23" s="6" t="n"/>
      <c r="LS23" s="6" t="n"/>
      <c r="LT23" s="6" t="n"/>
      <c r="LU23" s="6" t="n"/>
      <c r="LV23" s="6" t="n"/>
      <c r="LW23" s="6" t="n"/>
      <c r="LX23" s="6" t="n"/>
      <c r="LY23" s="6" t="n"/>
      <c r="LZ23" s="6" t="n"/>
      <c r="MA23" s="6" t="n"/>
      <c r="MB23" s="6" t="n"/>
      <c r="MC23" s="6" t="n"/>
      <c r="MD23" s="6" t="n"/>
      <c r="ME23" s="6" t="n"/>
      <c r="MF23" s="6" t="n"/>
      <c r="MG23" s="6" t="n"/>
      <c r="MH23" s="20">
        <f>IFERROR(ROUND(AVERAGE(LN23,LP23,LR23,LT23,LV23,LX23,LZ23,MB23,MD23,MF23), 2), "")</f>
        <v/>
      </c>
      <c r="MI23" s="6" t="n"/>
      <c r="MJ23" s="6" t="n"/>
      <c r="MK23" s="6" t="n"/>
      <c r="ML23" s="6" t="n"/>
      <c r="MM23" s="6" t="n"/>
      <c r="MN23" s="6" t="n"/>
      <c r="MO23" s="6" t="n"/>
      <c r="MP23" s="6" t="n"/>
      <c r="MQ23" s="6" t="n"/>
      <c r="MR23" s="6" t="n"/>
      <c r="MS23" s="6" t="n"/>
      <c r="MT23" s="6" t="n"/>
      <c r="MU23" s="6" t="n"/>
      <c r="MV23" s="6" t="n"/>
      <c r="MW23" s="6" t="n"/>
      <c r="MX23" s="6" t="n"/>
      <c r="MY23" s="6" t="n"/>
      <c r="MZ23" s="6" t="n"/>
      <c r="NA23" s="6" t="n"/>
      <c r="NB23" s="6" t="n"/>
      <c r="NC23" s="6" t="n"/>
      <c r="ND23" s="6" t="n"/>
      <c r="NE23" s="6" t="n"/>
      <c r="NF23" s="6" t="n"/>
      <c r="NG23" s="6" t="n"/>
      <c r="NH23" s="6" t="n"/>
      <c r="NI23" s="6" t="n"/>
      <c r="NJ23" s="6" t="n"/>
      <c r="NK23" s="6" t="n"/>
      <c r="NL23" s="6" t="n"/>
      <c r="NM23" s="6">
        <f>IF(COUNTA(MI23:NL23)=0, "", SUMPRODUCT(--ISNUMBER(SEARCH("m", MI23:NL23))))</f>
        <v/>
      </c>
      <c r="NN23" s="6">
        <f>IF(COUNTA(MI23:NL23)=0, "", COUNTA(MI23:NL23) - SUMPRODUCT(--ISNUMBER(SEARCH("m", MI23:NL23))))</f>
        <v/>
      </c>
      <c r="NO23" s="6" t="n"/>
      <c r="NP23" s="6" t="n"/>
      <c r="NQ23" s="6" t="n"/>
      <c r="NR23" s="6" t="n"/>
      <c r="NS23" s="6" t="n"/>
      <c r="NT23" s="6" t="n"/>
      <c r="NU23" s="6" t="n"/>
      <c r="NV23" s="6" t="n"/>
      <c r="NW23" s="6" t="n"/>
      <c r="NX23" s="6" t="n"/>
      <c r="NY23" s="6" t="n"/>
      <c r="NZ23" s="6" t="n"/>
      <c r="OA23" s="6" t="n"/>
      <c r="OB23" s="6" t="n"/>
      <c r="OC23" s="6" t="n"/>
      <c r="OD23" s="6" t="n"/>
      <c r="OE23" s="6" t="n"/>
      <c r="OF23" s="6" t="n"/>
      <c r="OG23" s="6" t="n"/>
      <c r="OH23" s="6" t="n"/>
      <c r="OI23" s="20">
        <f>IFERROR(ROUND(AVERAGE(NO23,NQ23,NS23,NU23,NW23,NY23,OA23,OC23,OE23,OG23), 2), "")</f>
        <v/>
      </c>
      <c r="OJ23" s="6" t="n"/>
      <c r="OK23" s="6" t="n"/>
      <c r="OL23" s="6" t="n"/>
      <c r="OM23" s="6" t="n"/>
      <c r="ON23" s="6" t="n"/>
      <c r="OO23" s="6" t="n"/>
      <c r="OP23" s="6" t="n"/>
      <c r="OQ23" s="6" t="n"/>
      <c r="OR23" s="6" t="n"/>
      <c r="OS23" s="6" t="n"/>
      <c r="OT23" s="6" t="n"/>
      <c r="OU23" s="6" t="n"/>
      <c r="OV23" s="6" t="n"/>
      <c r="OW23" s="6" t="n"/>
      <c r="OX23" s="6" t="n"/>
      <c r="OY23" s="6" t="n"/>
      <c r="OZ23" s="6" t="n"/>
      <c r="PA23" s="6" t="n"/>
      <c r="PB23" s="6" t="n"/>
      <c r="PC23" s="6" t="n"/>
      <c r="PD23" s="6" t="n"/>
      <c r="PE23" s="6" t="n"/>
      <c r="PF23" s="6" t="n"/>
      <c r="PG23" s="6" t="n"/>
      <c r="PH23" s="6" t="n"/>
      <c r="PI23" s="6" t="n"/>
      <c r="PJ23" s="6" t="n"/>
      <c r="PK23" s="6" t="n"/>
      <c r="PL23" s="6" t="n"/>
      <c r="PM23" s="6" t="n"/>
      <c r="PN23" s="6">
        <f>IF(COUNTA(OJ23:PM23)=0, "", SUMPRODUCT(--ISNUMBER(SEARCH("m", OJ23:PM23))))</f>
        <v/>
      </c>
      <c r="PO23" s="6">
        <f>IF(COUNTA(OJ23:PM23)=0, "", COUNTA(OJ23:PM23) - SUMPRODUCT(--ISNUMBER(SEARCH("m", OJ23:PM23))))</f>
        <v/>
      </c>
      <c r="PP23" s="6" t="n"/>
      <c r="PQ23" s="6" t="n"/>
      <c r="PR23" s="6" t="n"/>
      <c r="PS23" s="6" t="n"/>
      <c r="PT23" s="6" t="n"/>
      <c r="PU23" s="6" t="n"/>
      <c r="PV23" s="6" t="n"/>
      <c r="PW23" s="6" t="n"/>
      <c r="PX23" s="6" t="n"/>
      <c r="PY23" s="6" t="n"/>
      <c r="PZ23" s="6" t="n"/>
      <c r="QA23" s="6" t="n"/>
      <c r="QB23" s="6" t="n"/>
      <c r="QC23" s="6" t="n"/>
      <c r="QD23" s="6" t="n"/>
      <c r="QE23" s="6" t="n"/>
      <c r="QF23" s="6" t="n"/>
      <c r="QG23" s="6" t="n"/>
      <c r="QH23" s="6" t="n"/>
      <c r="QI23" s="6" t="n"/>
      <c r="QJ23" s="20">
        <f>IFERROR(ROUND(AVERAGE(PP23,PR23,PT23,PV23,PX23,PZ23,QB23,QD23,QF23,QH23), 2), "")</f>
        <v/>
      </c>
      <c r="QK23" s="6" t="n"/>
      <c r="QL23" s="6" t="n"/>
      <c r="QM23" s="6" t="n"/>
      <c r="QN23" s="6" t="n"/>
      <c r="QO23" s="6" t="n"/>
      <c r="QP23" s="6" t="n"/>
      <c r="QQ23" s="6" t="n"/>
      <c r="QR23" s="6" t="n"/>
      <c r="QS23" s="6" t="n"/>
      <c r="QT23" s="6" t="n"/>
      <c r="QU23" s="6" t="n"/>
      <c r="QV23" s="6" t="n"/>
      <c r="QW23" s="6" t="n"/>
      <c r="QX23" s="6" t="n"/>
      <c r="QY23" s="6" t="n"/>
      <c r="QZ23" s="6" t="n"/>
      <c r="RA23" s="6" t="n"/>
      <c r="RB23" s="6" t="n"/>
      <c r="RC23" s="6" t="n"/>
      <c r="RD23" s="6" t="n"/>
      <c r="RE23" s="6" t="n"/>
      <c r="RF23" s="6" t="n"/>
      <c r="RG23" s="6" t="n"/>
      <c r="RH23" s="6" t="n"/>
      <c r="RI23" s="6" t="n"/>
      <c r="RJ23" s="6" t="n"/>
      <c r="RK23" s="6" t="n"/>
      <c r="RL23" s="6" t="n"/>
      <c r="RM23" s="6" t="n"/>
      <c r="RN23" s="6" t="n"/>
      <c r="RO23" s="6">
        <f>IF(COUNTA(QK23:RN23)=0, "", SUMPRODUCT(--ISNUMBER(SEARCH("m", QK23:RN23))))</f>
        <v/>
      </c>
      <c r="RP23" s="6">
        <f>IF(COUNTA(QK23:RN23)=0, "", COUNTA(QK23:RN23) - SUMPRODUCT(--ISNUMBER(SEARCH("m", QK23:RN23))))</f>
        <v/>
      </c>
      <c r="RQ23" s="6" t="n"/>
      <c r="RR23" s="6" t="n"/>
      <c r="RS23" s="6" t="n"/>
      <c r="RT23" s="6" t="n"/>
      <c r="RU23" s="6" t="n"/>
      <c r="RV23" s="6" t="n"/>
      <c r="RW23" s="6" t="n"/>
      <c r="RX23" s="6" t="n"/>
      <c r="RY23" s="6" t="n"/>
      <c r="RZ23" s="6" t="n"/>
      <c r="SA23" s="6" t="n"/>
      <c r="SB23" s="6" t="n"/>
      <c r="SC23" s="6" t="n"/>
      <c r="SD23" s="6" t="n"/>
      <c r="SE23" s="6" t="n"/>
      <c r="SF23" s="6" t="n"/>
      <c r="SG23" s="6" t="n"/>
      <c r="SH23" s="6" t="n"/>
      <c r="SI23" s="6" t="n"/>
      <c r="SJ23" s="6" t="n"/>
      <c r="SK23" s="20">
        <f>IFERROR(ROUND(AVERAGE(RQ23,RS23,RU23,RW23,RY23,SA23,SC23,SE23,SG23,SI23), 2), "")</f>
        <v/>
      </c>
      <c r="SL23" s="6" t="n"/>
      <c r="SM23" s="6" t="n"/>
      <c r="SN23" s="6" t="n"/>
      <c r="SO23" s="6" t="n"/>
      <c r="SP23" s="6" t="n"/>
      <c r="SQ23" s="6" t="n"/>
      <c r="SR23" s="6" t="n"/>
      <c r="SS23" s="6" t="n"/>
      <c r="ST23" s="6" t="n"/>
      <c r="SU23" s="6" t="n"/>
      <c r="SV23" s="6" t="n"/>
      <c r="SW23" s="6" t="n"/>
      <c r="SX23" s="6" t="n"/>
      <c r="SY23" s="6" t="n"/>
      <c r="SZ23" s="6" t="n"/>
      <c r="TA23" s="6" t="n"/>
      <c r="TB23" s="6" t="n"/>
      <c r="TC23" s="6" t="n"/>
      <c r="TD23" s="6" t="n"/>
      <c r="TE23" s="6" t="n"/>
      <c r="TF23" s="6" t="n"/>
      <c r="TG23" s="6" t="n"/>
      <c r="TH23" s="6" t="n"/>
      <c r="TI23" s="6" t="n"/>
      <c r="TJ23" s="6" t="n"/>
      <c r="TK23" s="6" t="n"/>
      <c r="TL23" s="6" t="n"/>
      <c r="TM23" s="6" t="n"/>
      <c r="TN23" s="6" t="n"/>
      <c r="TO23" s="6" t="n"/>
      <c r="TP23" s="6">
        <f>IF(COUNTA(SL23:TO23)=0, "", SUMPRODUCT(--ISNUMBER(SEARCH("m", SL23:TO23))))</f>
        <v/>
      </c>
      <c r="TQ23" s="6">
        <f>IF(COUNTA(SL23:TO23)=0, "", COUNTA(SL23:TO23) - SUMPRODUCT(--ISNUMBER(SEARCH("m", SL23:TO23))))</f>
        <v/>
      </c>
      <c r="TR23" s="6" t="n"/>
      <c r="TS23" s="6" t="n"/>
      <c r="TT23" s="6" t="n"/>
      <c r="TU23" s="6" t="n"/>
      <c r="TV23" s="6" t="n"/>
      <c r="TW23" s="6" t="n"/>
      <c r="TX23" s="6" t="n"/>
      <c r="TY23" s="6" t="n"/>
      <c r="TZ23" s="6" t="n"/>
      <c r="UA23" s="6" t="n"/>
      <c r="UB23" s="6" t="n"/>
      <c r="UC23" s="6" t="n"/>
      <c r="UD23" s="6" t="n"/>
      <c r="UE23" s="6" t="n"/>
      <c r="UF23" s="6" t="n"/>
      <c r="UG23" s="6" t="n"/>
      <c r="UH23" s="6" t="n"/>
      <c r="UI23" s="6" t="n"/>
      <c r="UJ23" s="6" t="n"/>
      <c r="UK23" s="6" t="n"/>
      <c r="UL23" s="20">
        <f>IFERROR(ROUND(AVERAGE(TR23,TT23,TV23,TX23,TZ23,UB23,UD23,UF23,UH23,UJ23), 2), "")</f>
        <v/>
      </c>
      <c r="UM23" s="6" t="n"/>
      <c r="UN23" s="6" t="n"/>
      <c r="UO23" s="6" t="n"/>
      <c r="UP23" s="6" t="n"/>
      <c r="UQ23" s="6" t="n"/>
      <c r="UR23" s="6" t="n"/>
      <c r="US23" s="6" t="n"/>
      <c r="UT23" s="6" t="n"/>
      <c r="UU23" s="6" t="n"/>
      <c r="UV23" s="6" t="n"/>
      <c r="UW23" s="6" t="n"/>
      <c r="UX23" s="6" t="n"/>
      <c r="UY23" s="6" t="n"/>
      <c r="UZ23" s="6" t="n"/>
      <c r="VA23" s="6" t="n"/>
      <c r="VB23" s="6" t="n"/>
      <c r="VC23" s="6" t="n"/>
      <c r="VD23" s="6" t="n"/>
      <c r="VE23" s="6" t="n"/>
      <c r="VF23" s="6" t="n"/>
      <c r="VG23" s="6" t="n"/>
      <c r="VH23" s="6" t="n"/>
      <c r="VI23" s="6" t="n"/>
      <c r="VJ23" s="6" t="n"/>
      <c r="VK23" s="6" t="n"/>
      <c r="VL23" s="6" t="n"/>
      <c r="VM23" s="6" t="n"/>
      <c r="VN23" s="6" t="n"/>
      <c r="VO23" s="6" t="n"/>
      <c r="VP23" s="6" t="n"/>
      <c r="VQ23" s="6">
        <f>IF(COUNTA(UM23:VP23)=0, "", SUMPRODUCT(--ISNUMBER(SEARCH("m", UM23:VP23))))</f>
        <v/>
      </c>
      <c r="VR23" s="6">
        <f>IF(COUNTA(UM23:VP23)=0, "", COUNTA(UM23:VP23) - SUMPRODUCT(--ISNUMBER(SEARCH("m", UM23:VP23))))</f>
        <v/>
      </c>
      <c r="VS23" s="6" t="n"/>
      <c r="VT23" s="6" t="n"/>
      <c r="VU23" s="6" t="n"/>
      <c r="VV23" s="6" t="n"/>
      <c r="VW23" s="6" t="n"/>
      <c r="VX23" s="6" t="n"/>
      <c r="VY23" s="6" t="n"/>
      <c r="VZ23" s="6" t="n"/>
      <c r="WA23" s="6" t="n"/>
      <c r="WB23" s="6" t="n"/>
      <c r="WC23" s="6" t="n"/>
      <c r="WD23" s="6" t="n"/>
      <c r="WE23" s="6" t="n"/>
      <c r="WF23" s="6" t="n"/>
      <c r="WG23" s="6" t="n"/>
      <c r="WH23" s="6" t="n"/>
      <c r="WI23" s="6" t="n"/>
      <c r="WJ23" s="6" t="n"/>
      <c r="WK23" s="6" t="n"/>
      <c r="WL23" s="6" t="n"/>
      <c r="WM23" s="20">
        <f>IFERROR(ROUND(AVERAGE(VS23,VU23,VW23,VY23,WA23,WC23,WE23,WG23,WI23,WK23), 2), "")</f>
        <v/>
      </c>
      <c r="WN23" s="6" t="n"/>
      <c r="WO23" s="6" t="n"/>
      <c r="WP23" s="6" t="n"/>
      <c r="WQ23" s="6" t="n"/>
      <c r="WR23" s="6" t="n"/>
      <c r="WS23" s="6" t="n"/>
      <c r="WT23" s="6" t="n"/>
      <c r="WU23" s="6" t="n"/>
      <c r="WV23" s="6" t="n"/>
      <c r="WW23" s="6" t="n"/>
      <c r="WX23" s="6" t="n"/>
      <c r="WY23" s="6" t="n"/>
      <c r="WZ23" s="6" t="n"/>
      <c r="XA23" s="6" t="n"/>
      <c r="XB23" s="6" t="n"/>
      <c r="XC23" s="6" t="n"/>
      <c r="XD23" s="6" t="n"/>
      <c r="XE23" s="6" t="n"/>
      <c r="XF23" s="6" t="n"/>
      <c r="XG23" s="6" t="n"/>
      <c r="XH23" s="6" t="n"/>
      <c r="XI23" s="6" t="n"/>
      <c r="XJ23" s="6" t="n"/>
      <c r="XK23" s="6" t="n"/>
      <c r="XL23" s="6" t="n"/>
      <c r="XM23" s="6" t="n"/>
      <c r="XN23" s="6" t="n"/>
      <c r="XO23" s="6" t="n"/>
      <c r="XP23" s="6" t="n"/>
      <c r="XQ23" s="6" t="n"/>
      <c r="XR23" s="6">
        <f>IF(COUNTA(WN23:XQ23)=0, "", SUMPRODUCT(--ISNUMBER(SEARCH("m", WN23:XQ23))))</f>
        <v/>
      </c>
      <c r="XS23" s="6">
        <f>IF(COUNTA(WN23:XQ23)=0, "", COUNTA(WN23:XQ23) - SUMPRODUCT(--ISNUMBER(SEARCH("m", WN23:XQ23))))</f>
        <v/>
      </c>
      <c r="XT23" s="6" t="n"/>
      <c r="XU23" s="6" t="n"/>
      <c r="XV23" s="6" t="n"/>
      <c r="XW23" s="6" t="n"/>
      <c r="XX23" s="6" t="n"/>
      <c r="XY23" s="6" t="n"/>
      <c r="XZ23" s="6" t="n"/>
      <c r="YA23" s="6" t="n"/>
      <c r="YB23" s="6" t="n"/>
      <c r="YC23" s="6" t="n"/>
      <c r="YD23" s="6" t="n"/>
      <c r="YE23" s="6" t="n"/>
      <c r="YF23" s="6" t="n"/>
      <c r="YG23" s="6" t="n"/>
      <c r="YH23" s="6" t="n"/>
      <c r="YI23" s="6" t="n"/>
      <c r="YJ23" s="6" t="n"/>
      <c r="YK23" s="6" t="n"/>
      <c r="YL23" s="6" t="n"/>
      <c r="YM23" s="6" t="n"/>
      <c r="YN23" s="20">
        <f>IFERROR(ROUND(AVERAGE(XT23,XV23,XX23,XZ23,YB23,YD23,YF23,YH23,YJ23,YL23), 2), "")</f>
        <v/>
      </c>
      <c r="YO23" s="6" t="n"/>
      <c r="YP23" s="6" t="n"/>
      <c r="YQ23" s="6" t="n"/>
      <c r="YR23" s="6" t="n"/>
      <c r="YS23" s="6" t="n"/>
      <c r="YT23" s="6" t="n"/>
      <c r="YU23" s="6" t="n"/>
      <c r="YV23" s="6" t="n"/>
      <c r="YW23" s="6" t="n"/>
      <c r="YX23" s="6" t="n"/>
      <c r="YY23" s="6" t="n"/>
      <c r="YZ23" s="6" t="n"/>
      <c r="ZA23" s="6" t="n"/>
      <c r="ZB23" s="6" t="n"/>
      <c r="ZC23" s="6" t="n"/>
      <c r="ZD23" s="6" t="n"/>
      <c r="ZE23" s="6" t="n"/>
      <c r="ZF23" s="6" t="n"/>
      <c r="ZG23" s="6" t="n"/>
      <c r="ZH23" s="6" t="n"/>
      <c r="ZI23" s="6" t="n"/>
      <c r="ZJ23" s="6" t="n"/>
      <c r="ZK23" s="6" t="n"/>
      <c r="ZL23" s="6" t="n"/>
      <c r="ZM23" s="6" t="n"/>
      <c r="ZN23" s="6" t="n"/>
      <c r="ZO23" s="6" t="n"/>
      <c r="ZP23" s="6" t="n"/>
      <c r="ZQ23" s="6" t="n"/>
      <c r="ZR23" s="6" t="n"/>
      <c r="ZS23" s="6">
        <f>IF(COUNTA(YO23:ZR23)=0, "", SUMPRODUCT(--ISNUMBER(SEARCH("m", YO23:ZR23))))</f>
        <v/>
      </c>
      <c r="ZT23" s="6">
        <f>IF(COUNTA(YO23:ZR23)=0, "", COUNTA(YO23:ZR23) - SUMPRODUCT(--ISNUMBER(SEARCH("m", YO23:ZR23))))</f>
        <v/>
      </c>
      <c r="ZU23" s="6" t="n"/>
      <c r="ZV23" s="6" t="n"/>
      <c r="ZW23" s="6" t="n"/>
      <c r="ZX23" s="6" t="n"/>
      <c r="ZY23" s="6" t="n"/>
      <c r="ZZ23" s="6" t="n"/>
      <c r="AAA23" s="6" t="n"/>
      <c r="AAB23" s="6" t="n"/>
      <c r="AAC23" s="6" t="n"/>
      <c r="AAD23" s="6" t="n"/>
      <c r="AAE23" s="6" t="n"/>
      <c r="AAF23" s="6" t="n"/>
      <c r="AAG23" s="6" t="n"/>
      <c r="AAH23" s="6" t="n"/>
      <c r="AAI23" s="6" t="n"/>
      <c r="AAJ23" s="6" t="n"/>
      <c r="AAK23" s="6" t="n"/>
      <c r="AAL23" s="6" t="n"/>
      <c r="AAM23" s="6" t="n"/>
      <c r="AAN23" s="6" t="n"/>
      <c r="AAO23" s="20">
        <f>IFERROR(ROUND(AVERAGE(ZU23,ZW23,ZY23,AAA23,AAC23,AAE23,AAG23,AAI23,AAK23,AAM23), 2), "")</f>
        <v/>
      </c>
      <c r="AAP23" s="6" t="n"/>
      <c r="AAQ23" s="6" t="n"/>
      <c r="AAR23" s="6" t="n"/>
      <c r="AAS23" s="6" t="n"/>
      <c r="AAT23" s="6" t="n"/>
      <c r="AAU23" s="6" t="n"/>
      <c r="AAV23" s="6" t="n"/>
      <c r="AAW23" s="6" t="n"/>
      <c r="AAX23" s="6" t="n"/>
      <c r="AAY23" s="6" t="n"/>
      <c r="AAZ23" s="6" t="n"/>
      <c r="ABA23" s="6" t="n"/>
      <c r="ABB23" s="6" t="n"/>
      <c r="ABC23" s="6" t="n"/>
      <c r="ABD23" s="6" t="n"/>
      <c r="ABE23" s="6" t="n"/>
      <c r="ABF23" s="6" t="n"/>
      <c r="ABG23" s="6" t="n"/>
      <c r="ABH23" s="6" t="n"/>
      <c r="ABI23" s="6" t="n"/>
      <c r="ABJ23" s="6" t="n"/>
      <c r="ABK23" s="6" t="n"/>
      <c r="ABL23" s="6" t="n"/>
      <c r="ABM23" s="6" t="n"/>
      <c r="ABN23" s="6" t="n"/>
      <c r="ABO23" s="6" t="n"/>
      <c r="ABP23" s="6" t="n"/>
      <c r="ABQ23" s="6" t="n"/>
      <c r="ABR23" s="6" t="n"/>
      <c r="ABS23" s="6" t="n"/>
      <c r="ABT23" s="6">
        <f>IF(COUNTA(AAP23:ABS23)=0, "", SUMPRODUCT(--ISNUMBER(SEARCH("m", AAP23:ABS23))))</f>
        <v/>
      </c>
      <c r="ABU23" s="6">
        <f>IF(COUNTA(AAP23:ABS23)=0, "", COUNTA(AAP23:ABS23) - SUMPRODUCT(--ISNUMBER(SEARCH("m", AAP23:ABS23))))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8">
        <f>IFERROR(ROUND(AVERAGE(AB24,CC24,ED24,GE24,IF24,KG24,MH24,OI24,QJ24,SK24,UL24,WM24,YN24,AAO24), 2), "")</f>
        <v/>
      </c>
      <c r="F24" s="14">
        <f>IF(SUM(BH24,DI24,FJ24,HK24,JL24,LM24,NN24,PO24,RP24,TQ24,VR24,XS24,ZT24,ABU24)=0, "", SUM(BH24,DI24,FJ24,HK24,JL24,LM24,NN24,PO24,RP24,TQ24,VR24,XS24,ZT24,ABU24))</f>
        <v/>
      </c>
      <c r="G24" s="8">
        <f>IF(SUM(BG24,DH24,FI24,HJ24,JK24,LL24,NM24,PN24,RO24,TP24,VQ24,XR24,ZS24,ABT24)=0, "", SUM(BG24,DH24,FI24,HJ24,JK24,LL24,NM24,PN24,RO24,TP24,VQ24,XR24,ZS24,ABT24))</f>
        <v/>
      </c>
      <c r="H24" s="6" t="n"/>
      <c r="I24" s="79" t="n"/>
      <c r="J24" s="6" t="n"/>
      <c r="K24" s="79" t="n"/>
      <c r="L24" s="6" t="n"/>
      <c r="M24" s="79" t="n"/>
      <c r="N24" s="6" t="n"/>
      <c r="O24" s="79" t="n"/>
      <c r="P24" s="6" t="n"/>
      <c r="Q24" s="79" t="n"/>
      <c r="R24" s="18" t="n"/>
      <c r="S24" s="79" t="n"/>
      <c r="T24" s="79" t="n"/>
      <c r="U24" s="79" t="n"/>
      <c r="V24" s="79" t="n"/>
      <c r="W24" s="79" t="n"/>
      <c r="X24" s="79" t="n"/>
      <c r="Y24" s="79" t="n"/>
      <c r="Z24" s="79" t="n"/>
      <c r="AA24" s="18" t="n"/>
      <c r="AB24" s="14">
        <f>IFERROR(ROUND(AVERAGE(H24,J24,L24,N24,P24,R24,T24,V24,X24,Z24), 2), "")</f>
        <v/>
      </c>
      <c r="AC24" s="6" t="n"/>
      <c r="AD24" s="79" t="n"/>
      <c r="AE24" s="6" t="n"/>
      <c r="AF24" s="79" t="n"/>
      <c r="AG24" s="6" t="n"/>
      <c r="AH24" s="79" t="n"/>
      <c r="AI24" s="6" t="n"/>
      <c r="AJ24" s="79" t="n"/>
      <c r="AK24" s="6" t="n"/>
      <c r="AL24" s="79" t="n"/>
      <c r="AM24" s="18" t="n"/>
      <c r="AN24" s="79" t="n"/>
      <c r="AO24" s="79" t="n"/>
      <c r="AP24" s="79" t="n"/>
      <c r="AQ24" s="79" t="n"/>
      <c r="AR24" s="79" t="n"/>
      <c r="AS24" s="79" t="n"/>
      <c r="AT24" s="79" t="n"/>
      <c r="AU24" s="79" t="n"/>
      <c r="AV24" s="18" t="n"/>
      <c r="AW24" s="19" t="n"/>
      <c r="AX24" s="6" t="n"/>
      <c r="AY24" s="79" t="n"/>
      <c r="AZ24" s="6" t="n"/>
      <c r="BA24" s="79" t="n"/>
      <c r="BB24" s="6" t="n"/>
      <c r="BC24" s="79" t="n"/>
      <c r="BD24" s="6" t="n"/>
      <c r="BE24" s="79" t="n"/>
      <c r="BF24" s="6" t="n"/>
      <c r="BG24" s="79">
        <f>IF(COUNTA(AC24:BF24)=0, "", SUMPRODUCT(--ISNUMBER(SEARCH("m", AC24:BF24))))</f>
        <v/>
      </c>
      <c r="BH24" s="18">
        <f>IF(COUNTA(AC24:BF24)=0, "", COUNTA(AC24:BF24) - SUMPRODUCT(--ISNUMBER(SEARCH("m", AC24:BF24))))</f>
        <v/>
      </c>
      <c r="BI24" s="79" t="n"/>
      <c r="BJ24" s="79" t="n"/>
      <c r="BK24" s="79" t="n"/>
      <c r="BL24" s="79" t="n"/>
      <c r="BM24" s="79" t="n"/>
      <c r="BN24" s="79" t="n"/>
      <c r="BO24" s="79" t="n"/>
      <c r="BP24" s="79" t="n"/>
      <c r="BQ24" s="18" t="n"/>
      <c r="BR24" s="19" t="n"/>
      <c r="BS24" s="6" t="n"/>
      <c r="BT24" s="79" t="n"/>
      <c r="BU24" s="6" t="n"/>
      <c r="BV24" s="79" t="n"/>
      <c r="BW24" s="6" t="n"/>
      <c r="BX24" s="79" t="n"/>
      <c r="BY24" s="6" t="n"/>
      <c r="BZ24" s="79" t="n"/>
      <c r="CA24" s="6" t="n"/>
      <c r="CB24" s="79" t="n"/>
      <c r="CC24" s="8">
        <f>IFERROR(ROUND(AVERAGE(BI24,BK24,BM24,BO24,BQ24,BS24,BU24,BW24,BY24,CA24), 2), "")</f>
        <v/>
      </c>
      <c r="CD24" s="79" t="n"/>
      <c r="CE24" s="79" t="n"/>
      <c r="CF24" s="79" t="n"/>
      <c r="CG24" s="79" t="n"/>
      <c r="CH24" s="79" t="n"/>
      <c r="CI24" s="79" t="n"/>
      <c r="CJ24" s="79" t="n"/>
      <c r="CK24" s="79" t="n"/>
      <c r="CL24" s="18" t="n"/>
      <c r="CM24" s="19" t="n"/>
      <c r="CN24" s="6" t="n"/>
      <c r="CO24" s="79" t="n"/>
      <c r="CP24" s="6" t="n"/>
      <c r="CQ24" s="79" t="n"/>
      <c r="CR24" s="6" t="n"/>
      <c r="CS24" s="79" t="n"/>
      <c r="CT24" s="6" t="n"/>
      <c r="CU24" s="79" t="n"/>
      <c r="CV24" s="6" t="n"/>
      <c r="CW24" s="79" t="n"/>
      <c r="CX24" s="18" t="n"/>
      <c r="CY24" s="79" t="n"/>
      <c r="CZ24" s="79" t="n"/>
      <c r="DA24" s="79" t="n"/>
      <c r="DB24" s="79" t="n"/>
      <c r="DC24" s="79" t="n"/>
      <c r="DD24" s="79" t="n"/>
      <c r="DE24" s="79" t="n"/>
      <c r="DF24" s="79" t="n"/>
      <c r="DG24" s="18" t="n"/>
      <c r="DH24" s="19">
        <f>IF(COUNTA(CD24:DG24)=0, "", SUMPRODUCT(--ISNUMBER(SEARCH("m", CD24:DG24))))</f>
        <v/>
      </c>
      <c r="DI24" s="6">
        <f>IF(COUNTA(CD24:DG24)=0, "", COUNTA(CD24:DG24) - SUMPRODUCT(--ISNUMBER(SEARCH("m", CD24:DG24))))</f>
        <v/>
      </c>
      <c r="DJ24" s="79" t="n"/>
      <c r="DK24" s="6" t="n"/>
      <c r="DL24" s="79" t="n"/>
      <c r="DM24" s="6" t="n"/>
      <c r="DN24" s="79" t="n"/>
      <c r="DO24" s="6" t="n"/>
      <c r="DP24" s="79" t="n"/>
      <c r="DQ24" s="6" t="n"/>
      <c r="DR24" s="79" t="n"/>
      <c r="DS24" s="18" t="n"/>
      <c r="DT24" s="79" t="n"/>
      <c r="DU24" s="79" t="n"/>
      <c r="DV24" s="79" t="n"/>
      <c r="DW24" s="79" t="n"/>
      <c r="DX24" s="79" t="n"/>
      <c r="DY24" s="79" t="n"/>
      <c r="DZ24" s="79" t="n"/>
      <c r="EA24" s="79" t="n"/>
      <c r="EB24" s="18" t="n"/>
      <c r="EC24" s="19" t="n"/>
      <c r="ED24" s="20">
        <f>IFERROR(ROUND(AVERAGE(DJ24,DL24,DN24,DP24,DR24,DT24,DV24,DX24,DZ24,EB24), 2), "")</f>
        <v/>
      </c>
      <c r="EE24" s="79" t="n"/>
      <c r="EF24" s="6" t="n"/>
      <c r="EG24" s="79" t="n"/>
      <c r="EH24" s="6" t="n"/>
      <c r="EI24" s="79" t="n"/>
      <c r="EJ24" s="6" t="n"/>
      <c r="EK24" s="79" t="n"/>
      <c r="EL24" s="6" t="n"/>
      <c r="EM24" s="79" t="n"/>
      <c r="EN24" s="18" t="n"/>
      <c r="EO24" s="79" t="n"/>
      <c r="EP24" s="79" t="n"/>
      <c r="EQ24" s="79" t="n"/>
      <c r="ER24" s="79" t="n"/>
      <c r="ES24" s="79" t="n"/>
      <c r="ET24" s="79" t="n"/>
      <c r="EU24" s="79" t="n"/>
      <c r="EV24" s="79" t="n"/>
      <c r="EW24" s="18" t="n"/>
      <c r="EX24" s="19" t="n"/>
      <c r="EY24" s="6" t="n"/>
      <c r="EZ24" s="79" t="n"/>
      <c r="FA24" s="6" t="n"/>
      <c r="FB24" s="79" t="n"/>
      <c r="FC24" s="6" t="n"/>
      <c r="FD24" s="79" t="n"/>
      <c r="FE24" s="6" t="n"/>
      <c r="FF24" s="79" t="n"/>
      <c r="FG24" s="6" t="n"/>
      <c r="FH24" s="79" t="n"/>
      <c r="FI24" s="18">
        <f>IF(COUNTA(EE24:FH24)=0, "", SUMPRODUCT(--ISNUMBER(SEARCH("m", EE24:FH24))))</f>
        <v/>
      </c>
      <c r="FJ24" s="79">
        <f>IF(COUNTA(EE24:FH24)=0, "", COUNTA(EE24:FH24) - SUMPRODUCT(--ISNUMBER(SEARCH("m", EE24:FH24))))</f>
        <v/>
      </c>
      <c r="FK24" s="79" t="n"/>
      <c r="FL24" s="79" t="n"/>
      <c r="FM24" s="79" t="n"/>
      <c r="FN24" s="79" t="n"/>
      <c r="FO24" s="79" t="n"/>
      <c r="FP24" s="79" t="n"/>
      <c r="FQ24" s="79" t="n"/>
      <c r="FR24" s="18" t="n"/>
      <c r="FS24" s="19" t="n"/>
      <c r="FT24" s="6" t="n"/>
      <c r="FU24" s="79" t="n"/>
      <c r="FV24" s="6" t="n"/>
      <c r="FW24" s="79" t="n"/>
      <c r="FX24" s="6" t="n"/>
      <c r="FY24" s="79" t="n"/>
      <c r="FZ24" s="6" t="n"/>
      <c r="GA24" s="79" t="n"/>
      <c r="GB24" s="6" t="n"/>
      <c r="GC24" s="79" t="n"/>
      <c r="GD24" s="18" t="n"/>
      <c r="GE24" s="80">
        <f>IFERROR(ROUND(AVERAGE(FK24,FM24,FO24,FQ24,FS24,FU24,FW24,FY24,GA24,GC24), 2), "")</f>
        <v/>
      </c>
      <c r="GF24" s="79" t="n"/>
      <c r="GG24" s="79" t="n"/>
      <c r="GH24" s="79" t="n"/>
      <c r="GI24" s="79" t="n"/>
      <c r="GJ24" s="79" t="n"/>
      <c r="GK24" s="79" t="n"/>
      <c r="GL24" s="79" t="n"/>
      <c r="GM24" s="18" t="n"/>
      <c r="GN24" s="19" t="n"/>
      <c r="GO24" s="6" t="n"/>
      <c r="GP24" s="79" t="n"/>
      <c r="GQ24" s="6" t="n"/>
      <c r="GR24" s="79" t="n"/>
      <c r="GS24" s="6" t="n"/>
      <c r="GT24" s="79" t="n"/>
      <c r="GU24" s="6" t="n"/>
      <c r="GV24" s="79" t="n"/>
      <c r="GW24" s="6" t="n"/>
      <c r="GX24" s="79" t="n"/>
      <c r="GY24" s="18" t="n"/>
      <c r="GZ24" s="79" t="n"/>
      <c r="HA24" s="79" t="n"/>
      <c r="HB24" s="79" t="n"/>
      <c r="HC24" s="79" t="n"/>
      <c r="HD24" s="79" t="n"/>
      <c r="HE24" s="79" t="n"/>
      <c r="HF24" s="79" t="n"/>
      <c r="HG24" s="79" t="n"/>
      <c r="HH24" s="18" t="n"/>
      <c r="HI24" s="19" t="n"/>
      <c r="HJ24" s="6">
        <f>IF(COUNTA(GF24:HI24)=0, "", SUMPRODUCT(--ISNUMBER(SEARCH("m", GF24:HI24))))</f>
        <v/>
      </c>
      <c r="HK24" s="79">
        <f>IF(COUNTA(GF24:HI24)=0, "", COUNTA(GF24:HI24) - SUMPRODUCT(--ISNUMBER(SEARCH("m", GF24:HI24))))</f>
        <v/>
      </c>
      <c r="HL24" s="6" t="n"/>
      <c r="HM24" s="79" t="n"/>
      <c r="HN24" s="6" t="n"/>
      <c r="HO24" s="79" t="n"/>
      <c r="HP24" s="6" t="n"/>
      <c r="HQ24" s="79" t="n"/>
      <c r="HR24" s="6" t="n"/>
      <c r="HS24" s="79" t="n"/>
      <c r="HT24" s="18" t="n"/>
      <c r="HU24" s="79" t="n"/>
      <c r="HV24" s="79" t="n"/>
      <c r="HW24" s="79" t="n"/>
      <c r="HX24" s="79" t="n"/>
      <c r="HY24" s="79" t="n"/>
      <c r="HZ24" s="79" t="n"/>
      <c r="IA24" s="79" t="n"/>
      <c r="IB24" s="79" t="n"/>
      <c r="IC24" s="18" t="n"/>
      <c r="ID24" s="19" t="n"/>
      <c r="IE24" s="6" t="n"/>
      <c r="IF24" s="80">
        <f>IFERROR(ROUND(AVERAGE(HL24,HN24,HP24,HR24,HT24,HV24,HX24,HZ24,IB24,ID24), 2), "")</f>
        <v/>
      </c>
      <c r="IG24" s="6" t="n"/>
      <c r="IH24" s="79" t="n"/>
      <c r="II24" s="6" t="n"/>
      <c r="IJ24" s="79" t="n"/>
      <c r="IK24" s="6" t="n"/>
      <c r="IL24" s="79" t="n"/>
      <c r="IM24" s="6" t="n"/>
      <c r="IN24" s="79" t="n"/>
      <c r="IO24" s="18" t="n"/>
      <c r="IP24" s="79" t="n"/>
      <c r="IQ24" s="79" t="n"/>
      <c r="IR24" s="79" t="n"/>
      <c r="IS24" s="79" t="n"/>
      <c r="IT24" s="79" t="n"/>
      <c r="IU24" s="79" t="n"/>
      <c r="IV24" s="79" t="n"/>
      <c r="IW24" s="79" t="n"/>
      <c r="IX24" s="18" t="n"/>
      <c r="IY24" s="19" t="n"/>
      <c r="IZ24" s="6" t="n"/>
      <c r="JA24" s="79" t="n"/>
      <c r="JB24" s="6" t="n"/>
      <c r="JC24" s="79" t="n"/>
      <c r="JD24" s="6" t="n"/>
      <c r="JE24" s="79" t="n"/>
      <c r="JF24" s="6" t="n"/>
      <c r="JG24" s="79" t="n"/>
      <c r="JH24" s="6" t="n"/>
      <c r="JI24" s="79" t="n"/>
      <c r="JJ24" s="18" t="n"/>
      <c r="JK24" s="79">
        <f>IF(COUNTA(IG24:JJ24)=0, "", SUMPRODUCT(--ISNUMBER(SEARCH("m", IG24:JJ24))))</f>
        <v/>
      </c>
      <c r="JL24" s="79">
        <f>IF(COUNTA(IG24:JJ24)=0, "", COUNTA(IG24:JJ24) - SUMPRODUCT(--ISNUMBER(SEARCH("m", IG24:JJ24))))</f>
        <v/>
      </c>
      <c r="JM24" s="79" t="n"/>
      <c r="JN24" s="79" t="n"/>
      <c r="JO24" s="79" t="n"/>
      <c r="JP24" s="79" t="n"/>
      <c r="JQ24" s="79" t="n"/>
      <c r="JR24" s="79" t="n"/>
      <c r="JS24" s="18" t="n"/>
      <c r="JT24" s="19" t="n"/>
      <c r="JU24" s="6" t="n"/>
      <c r="JV24" s="79" t="n"/>
      <c r="JW24" s="6" t="n"/>
      <c r="JX24" s="79" t="n"/>
      <c r="JY24" s="6" t="n"/>
      <c r="JZ24" s="79" t="n"/>
      <c r="KA24" s="6" t="n"/>
      <c r="KB24" s="79" t="n"/>
      <c r="KC24" s="6" t="n"/>
      <c r="KD24" s="79" t="n"/>
      <c r="KE24" s="18" t="n"/>
      <c r="KF24" s="79" t="n"/>
      <c r="KG24" s="80">
        <f>IFERROR(ROUND(AVERAGE(JM24,JO24,JQ24,JS24,JU24,JW24,JY24,KA24,KC24,KE24), 2), "")</f>
        <v/>
      </c>
      <c r="KH24" s="79" t="n"/>
      <c r="KI24" s="79" t="n"/>
      <c r="KJ24" s="79" t="n"/>
      <c r="KK24" s="79" t="n"/>
      <c r="KL24" s="79" t="n"/>
      <c r="KM24" s="79" t="n"/>
      <c r="KN24" s="18" t="n"/>
      <c r="KO24" s="19" t="n"/>
      <c r="KP24" s="6" t="n"/>
      <c r="KQ24" s="6" t="n"/>
      <c r="KR24" s="6" t="n"/>
      <c r="KS24" s="6" t="n"/>
      <c r="KT24" s="6" t="n"/>
      <c r="KU24" s="6" t="n"/>
      <c r="KV24" s="6" t="n"/>
      <c r="KW24" s="6" t="n"/>
      <c r="KX24" s="6" t="n"/>
      <c r="KY24" s="6" t="n"/>
      <c r="KZ24" s="6" t="n"/>
      <c r="LA24" s="6" t="n"/>
      <c r="LB24" s="6" t="n"/>
      <c r="LC24" s="6" t="n"/>
      <c r="LD24" s="6" t="n"/>
      <c r="LE24" s="6" t="n"/>
      <c r="LF24" s="6" t="n"/>
      <c r="LG24" s="6" t="n"/>
      <c r="LH24" s="6" t="n"/>
      <c r="LI24" s="6" t="n"/>
      <c r="LJ24" s="6" t="n"/>
      <c r="LK24" s="6" t="n"/>
      <c r="LL24" s="6">
        <f>IF(COUNTA(KH24:LK24)=0, "", SUMPRODUCT(--ISNUMBER(SEARCH("m", KH24:LK24))))</f>
        <v/>
      </c>
      <c r="LM24" s="6">
        <f>IF(COUNTA(KH24:LK24)=0, "", COUNTA(KH24:LK24) - SUMPRODUCT(--ISNUMBER(SEARCH("m", KH24:LK24))))</f>
        <v/>
      </c>
      <c r="LN24" s="6" t="n"/>
      <c r="LO24" s="6" t="n"/>
      <c r="LP24" s="6" t="n"/>
      <c r="LQ24" s="6" t="n"/>
      <c r="LR24" s="6" t="n"/>
      <c r="LS24" s="6" t="n"/>
      <c r="LT24" s="6" t="n"/>
      <c r="LU24" s="6" t="n"/>
      <c r="LV24" s="6" t="n"/>
      <c r="LW24" s="6" t="n"/>
      <c r="LX24" s="6" t="n"/>
      <c r="LY24" s="6" t="n"/>
      <c r="LZ24" s="6" t="n"/>
      <c r="MA24" s="6" t="n"/>
      <c r="MB24" s="6" t="n"/>
      <c r="MC24" s="6" t="n"/>
      <c r="MD24" s="6" t="n"/>
      <c r="ME24" s="6" t="n"/>
      <c r="MF24" s="6" t="n"/>
      <c r="MG24" s="6" t="n"/>
      <c r="MH24" s="20">
        <f>IFERROR(ROUND(AVERAGE(LN24,LP24,LR24,LT24,LV24,LX24,LZ24,MB24,MD24,MF24), 2), "")</f>
        <v/>
      </c>
      <c r="MI24" s="6" t="n"/>
      <c r="MJ24" s="6" t="n"/>
      <c r="MK24" s="6" t="n"/>
      <c r="ML24" s="6" t="n"/>
      <c r="MM24" s="6" t="n"/>
      <c r="MN24" s="6" t="n"/>
      <c r="MO24" s="6" t="n"/>
      <c r="MP24" s="6" t="n"/>
      <c r="MQ24" s="6" t="n"/>
      <c r="MR24" s="6" t="n"/>
      <c r="MS24" s="6" t="n"/>
      <c r="MT24" s="6" t="n"/>
      <c r="MU24" s="6" t="n"/>
      <c r="MV24" s="6" t="n"/>
      <c r="MW24" s="6" t="n"/>
      <c r="MX24" s="6" t="n"/>
      <c r="MY24" s="6" t="n"/>
      <c r="MZ24" s="6" t="n"/>
      <c r="NA24" s="6" t="n"/>
      <c r="NB24" s="6" t="n"/>
      <c r="NC24" s="6" t="n"/>
      <c r="ND24" s="6" t="n"/>
      <c r="NE24" s="6" t="n"/>
      <c r="NF24" s="6" t="n"/>
      <c r="NG24" s="6" t="n"/>
      <c r="NH24" s="6" t="n"/>
      <c r="NI24" s="6" t="n"/>
      <c r="NJ24" s="6" t="n"/>
      <c r="NK24" s="6" t="n"/>
      <c r="NL24" s="6" t="n"/>
      <c r="NM24" s="6">
        <f>IF(COUNTA(MI24:NL24)=0, "", SUMPRODUCT(--ISNUMBER(SEARCH("m", MI24:NL24))))</f>
        <v/>
      </c>
      <c r="NN24" s="6">
        <f>IF(COUNTA(MI24:NL24)=0, "", COUNTA(MI24:NL24) - SUMPRODUCT(--ISNUMBER(SEARCH("m", MI24:NL24))))</f>
        <v/>
      </c>
      <c r="NO24" s="6" t="n"/>
      <c r="NP24" s="6" t="n"/>
      <c r="NQ24" s="6" t="n"/>
      <c r="NR24" s="6" t="n"/>
      <c r="NS24" s="6" t="n"/>
      <c r="NT24" s="6" t="n"/>
      <c r="NU24" s="6" t="n"/>
      <c r="NV24" s="6" t="n"/>
      <c r="NW24" s="6" t="n"/>
      <c r="NX24" s="6" t="n"/>
      <c r="NY24" s="6" t="n"/>
      <c r="NZ24" s="6" t="n"/>
      <c r="OA24" s="6" t="n"/>
      <c r="OB24" s="6" t="n"/>
      <c r="OC24" s="6" t="n"/>
      <c r="OD24" s="6" t="n"/>
      <c r="OE24" s="6" t="n"/>
      <c r="OF24" s="6" t="n"/>
      <c r="OG24" s="6" t="n"/>
      <c r="OH24" s="6" t="n"/>
      <c r="OI24" s="20">
        <f>IFERROR(ROUND(AVERAGE(NO24,NQ24,NS24,NU24,NW24,NY24,OA24,OC24,OE24,OG24), 2), "")</f>
        <v/>
      </c>
      <c r="OJ24" s="6" t="n"/>
      <c r="OK24" s="6" t="n"/>
      <c r="OL24" s="6" t="n"/>
      <c r="OM24" s="6" t="n"/>
      <c r="ON24" s="6" t="n"/>
      <c r="OO24" s="6" t="n"/>
      <c r="OP24" s="6" t="n"/>
      <c r="OQ24" s="6" t="n"/>
      <c r="OR24" s="6" t="n"/>
      <c r="OS24" s="6" t="n"/>
      <c r="OT24" s="6" t="n"/>
      <c r="OU24" s="6" t="n"/>
      <c r="OV24" s="6" t="n"/>
      <c r="OW24" s="6" t="n"/>
      <c r="OX24" s="6" t="n"/>
      <c r="OY24" s="6" t="n"/>
      <c r="OZ24" s="6" t="n"/>
      <c r="PA24" s="6" t="n"/>
      <c r="PB24" s="6" t="n"/>
      <c r="PC24" s="6" t="n"/>
      <c r="PD24" s="6" t="n"/>
      <c r="PE24" s="6" t="n"/>
      <c r="PF24" s="6" t="n"/>
      <c r="PG24" s="6" t="n"/>
      <c r="PH24" s="6" t="n"/>
      <c r="PI24" s="6" t="n"/>
      <c r="PJ24" s="6" t="n"/>
      <c r="PK24" s="6" t="n"/>
      <c r="PL24" s="6" t="n"/>
      <c r="PM24" s="6" t="n"/>
      <c r="PN24" s="6">
        <f>IF(COUNTA(OJ24:PM24)=0, "", SUMPRODUCT(--ISNUMBER(SEARCH("m", OJ24:PM24))))</f>
        <v/>
      </c>
      <c r="PO24" s="6">
        <f>IF(COUNTA(OJ24:PM24)=0, "", COUNTA(OJ24:PM24) - SUMPRODUCT(--ISNUMBER(SEARCH("m", OJ24:PM24))))</f>
        <v/>
      </c>
      <c r="PP24" s="6" t="n"/>
      <c r="PQ24" s="6" t="n"/>
      <c r="PR24" s="6" t="n"/>
      <c r="PS24" s="6" t="n"/>
      <c r="PT24" s="6" t="n"/>
      <c r="PU24" s="6" t="n"/>
      <c r="PV24" s="6" t="n"/>
      <c r="PW24" s="6" t="n"/>
      <c r="PX24" s="6" t="n"/>
      <c r="PY24" s="6" t="n"/>
      <c r="PZ24" s="6" t="n"/>
      <c r="QA24" s="6" t="n"/>
      <c r="QB24" s="6" t="n"/>
      <c r="QC24" s="6" t="n"/>
      <c r="QD24" s="6" t="n"/>
      <c r="QE24" s="6" t="n"/>
      <c r="QF24" s="6" t="n"/>
      <c r="QG24" s="6" t="n"/>
      <c r="QH24" s="6" t="n"/>
      <c r="QI24" s="6" t="n"/>
      <c r="QJ24" s="20">
        <f>IFERROR(ROUND(AVERAGE(PP24,PR24,PT24,PV24,PX24,PZ24,QB24,QD24,QF24,QH24), 2), "")</f>
        <v/>
      </c>
      <c r="QK24" s="6" t="n"/>
      <c r="QL24" s="6" t="n"/>
      <c r="QM24" s="6" t="n"/>
      <c r="QN24" s="6" t="n"/>
      <c r="QO24" s="6" t="n"/>
      <c r="QP24" s="6" t="n"/>
      <c r="QQ24" s="6" t="n"/>
      <c r="QR24" s="6" t="n"/>
      <c r="QS24" s="6" t="n"/>
      <c r="QT24" s="6" t="n"/>
      <c r="QU24" s="6" t="n"/>
      <c r="QV24" s="6" t="n"/>
      <c r="QW24" s="6" t="n"/>
      <c r="QX24" s="6" t="n"/>
      <c r="QY24" s="6" t="n"/>
      <c r="QZ24" s="6" t="n"/>
      <c r="RA24" s="6" t="n"/>
      <c r="RB24" s="6" t="n"/>
      <c r="RC24" s="6" t="n"/>
      <c r="RD24" s="6" t="n"/>
      <c r="RE24" s="6" t="n"/>
      <c r="RF24" s="6" t="n"/>
      <c r="RG24" s="6" t="n"/>
      <c r="RH24" s="6" t="n"/>
      <c r="RI24" s="6" t="n"/>
      <c r="RJ24" s="6" t="n"/>
      <c r="RK24" s="6" t="n"/>
      <c r="RL24" s="6" t="n"/>
      <c r="RM24" s="6" t="n"/>
      <c r="RN24" s="6" t="n"/>
      <c r="RO24" s="6">
        <f>IF(COUNTA(QK24:RN24)=0, "", SUMPRODUCT(--ISNUMBER(SEARCH("m", QK24:RN24))))</f>
        <v/>
      </c>
      <c r="RP24" s="6">
        <f>IF(COUNTA(QK24:RN24)=0, "", COUNTA(QK24:RN24) - SUMPRODUCT(--ISNUMBER(SEARCH("m", QK24:RN24))))</f>
        <v/>
      </c>
      <c r="RQ24" s="6" t="n"/>
      <c r="RR24" s="6" t="n"/>
      <c r="RS24" s="6" t="n"/>
      <c r="RT24" s="6" t="n"/>
      <c r="RU24" s="6" t="n"/>
      <c r="RV24" s="6" t="n"/>
      <c r="RW24" s="6" t="n"/>
      <c r="RX24" s="6" t="n"/>
      <c r="RY24" s="6" t="n"/>
      <c r="RZ24" s="6" t="n"/>
      <c r="SA24" s="6" t="n"/>
      <c r="SB24" s="6" t="n"/>
      <c r="SC24" s="6" t="n"/>
      <c r="SD24" s="6" t="n"/>
      <c r="SE24" s="6" t="n"/>
      <c r="SF24" s="6" t="n"/>
      <c r="SG24" s="6" t="n"/>
      <c r="SH24" s="6" t="n"/>
      <c r="SI24" s="6" t="n"/>
      <c r="SJ24" s="6" t="n"/>
      <c r="SK24" s="20">
        <f>IFERROR(ROUND(AVERAGE(RQ24,RS24,RU24,RW24,RY24,SA24,SC24,SE24,SG24,SI24), 2), "")</f>
        <v/>
      </c>
      <c r="SL24" s="6" t="n"/>
      <c r="SM24" s="6" t="n"/>
      <c r="SN24" s="6" t="n"/>
      <c r="SO24" s="6" t="n"/>
      <c r="SP24" s="6" t="n"/>
      <c r="SQ24" s="6" t="n"/>
      <c r="SR24" s="6" t="n"/>
      <c r="SS24" s="6" t="n"/>
      <c r="ST24" s="6" t="n"/>
      <c r="SU24" s="6" t="n"/>
      <c r="SV24" s="6" t="n"/>
      <c r="SW24" s="6" t="n"/>
      <c r="SX24" s="6" t="n"/>
      <c r="SY24" s="6" t="n"/>
      <c r="SZ24" s="6" t="n"/>
      <c r="TA24" s="6" t="n"/>
      <c r="TB24" s="6" t="n"/>
      <c r="TC24" s="6" t="n"/>
      <c r="TD24" s="6" t="n"/>
      <c r="TE24" s="6" t="n"/>
      <c r="TF24" s="6" t="n"/>
      <c r="TG24" s="6" t="n"/>
      <c r="TH24" s="6" t="n"/>
      <c r="TI24" s="6" t="n"/>
      <c r="TJ24" s="6" t="n"/>
      <c r="TK24" s="6" t="n"/>
      <c r="TL24" s="6" t="n"/>
      <c r="TM24" s="6" t="n"/>
      <c r="TN24" s="6" t="n"/>
      <c r="TO24" s="6" t="n"/>
      <c r="TP24" s="6">
        <f>IF(COUNTA(SL24:TO24)=0, "", SUMPRODUCT(--ISNUMBER(SEARCH("m", SL24:TO24))))</f>
        <v/>
      </c>
      <c r="TQ24" s="6">
        <f>IF(COUNTA(SL24:TO24)=0, "", COUNTA(SL24:TO24) - SUMPRODUCT(--ISNUMBER(SEARCH("m", SL24:TO24))))</f>
        <v/>
      </c>
      <c r="TR24" s="6" t="n"/>
      <c r="TS24" s="6" t="n"/>
      <c r="TT24" s="6" t="n"/>
      <c r="TU24" s="6" t="n"/>
      <c r="TV24" s="6" t="n"/>
      <c r="TW24" s="6" t="n"/>
      <c r="TX24" s="6" t="n"/>
      <c r="TY24" s="6" t="n"/>
      <c r="TZ24" s="6" t="n"/>
      <c r="UA24" s="6" t="n"/>
      <c r="UB24" s="6" t="n"/>
      <c r="UC24" s="6" t="n"/>
      <c r="UD24" s="6" t="n"/>
      <c r="UE24" s="6" t="n"/>
      <c r="UF24" s="6" t="n"/>
      <c r="UG24" s="6" t="n"/>
      <c r="UH24" s="6" t="n"/>
      <c r="UI24" s="6" t="n"/>
      <c r="UJ24" s="6" t="n"/>
      <c r="UK24" s="6" t="n"/>
      <c r="UL24" s="20">
        <f>IFERROR(ROUND(AVERAGE(TR24,TT24,TV24,TX24,TZ24,UB24,UD24,UF24,UH24,UJ24), 2), "")</f>
        <v/>
      </c>
      <c r="UM24" s="6" t="n"/>
      <c r="UN24" s="6" t="n"/>
      <c r="UO24" s="6" t="n"/>
      <c r="UP24" s="6" t="n"/>
      <c r="UQ24" s="6" t="n"/>
      <c r="UR24" s="6" t="n"/>
      <c r="US24" s="6" t="n"/>
      <c r="UT24" s="6" t="n"/>
      <c r="UU24" s="6" t="n"/>
      <c r="UV24" s="6" t="n"/>
      <c r="UW24" s="6" t="n"/>
      <c r="UX24" s="6" t="n"/>
      <c r="UY24" s="6" t="n"/>
      <c r="UZ24" s="6" t="n"/>
      <c r="VA24" s="6" t="n"/>
      <c r="VB24" s="6" t="n"/>
      <c r="VC24" s="6" t="n"/>
      <c r="VD24" s="6" t="n"/>
      <c r="VE24" s="6" t="n"/>
      <c r="VF24" s="6" t="n"/>
      <c r="VG24" s="6" t="n"/>
      <c r="VH24" s="6" t="n"/>
      <c r="VI24" s="6" t="n"/>
      <c r="VJ24" s="6" t="n"/>
      <c r="VK24" s="6" t="n"/>
      <c r="VL24" s="6" t="n"/>
      <c r="VM24" s="6" t="n"/>
      <c r="VN24" s="6" t="n"/>
      <c r="VO24" s="6" t="n"/>
      <c r="VP24" s="6" t="n"/>
      <c r="VQ24" s="6">
        <f>IF(COUNTA(UM24:VP24)=0, "", SUMPRODUCT(--ISNUMBER(SEARCH("m", UM24:VP24))))</f>
        <v/>
      </c>
      <c r="VR24" s="6">
        <f>IF(COUNTA(UM24:VP24)=0, "", COUNTA(UM24:VP24) - SUMPRODUCT(--ISNUMBER(SEARCH("m", UM24:VP24))))</f>
        <v/>
      </c>
      <c r="VS24" s="6" t="n"/>
      <c r="VT24" s="6" t="n"/>
      <c r="VU24" s="6" t="n"/>
      <c r="VV24" s="6" t="n"/>
      <c r="VW24" s="6" t="n"/>
      <c r="VX24" s="6" t="n"/>
      <c r="VY24" s="6" t="n"/>
      <c r="VZ24" s="6" t="n"/>
      <c r="WA24" s="6" t="n"/>
      <c r="WB24" s="6" t="n"/>
      <c r="WC24" s="6" t="n"/>
      <c r="WD24" s="6" t="n"/>
      <c r="WE24" s="6" t="n"/>
      <c r="WF24" s="6" t="n"/>
      <c r="WG24" s="6" t="n"/>
      <c r="WH24" s="6" t="n"/>
      <c r="WI24" s="6" t="n"/>
      <c r="WJ24" s="6" t="n"/>
      <c r="WK24" s="6" t="n"/>
      <c r="WL24" s="6" t="n"/>
      <c r="WM24" s="20">
        <f>IFERROR(ROUND(AVERAGE(VS24,VU24,VW24,VY24,WA24,WC24,WE24,WG24,WI24,WK24), 2), "")</f>
        <v/>
      </c>
      <c r="WN24" s="6" t="n"/>
      <c r="WO24" s="6" t="n"/>
      <c r="WP24" s="6" t="n"/>
      <c r="WQ24" s="6" t="n"/>
      <c r="WR24" s="6" t="n"/>
      <c r="WS24" s="6" t="n"/>
      <c r="WT24" s="6" t="n"/>
      <c r="WU24" s="6" t="n"/>
      <c r="WV24" s="6" t="n"/>
      <c r="WW24" s="6" t="n"/>
      <c r="WX24" s="6" t="n"/>
      <c r="WY24" s="6" t="n"/>
      <c r="WZ24" s="6" t="n"/>
      <c r="XA24" s="6" t="n"/>
      <c r="XB24" s="6" t="n"/>
      <c r="XC24" s="6" t="n"/>
      <c r="XD24" s="6" t="n"/>
      <c r="XE24" s="6" t="n"/>
      <c r="XF24" s="6" t="n"/>
      <c r="XG24" s="6" t="n"/>
      <c r="XH24" s="6" t="n"/>
      <c r="XI24" s="6" t="n"/>
      <c r="XJ24" s="6" t="n"/>
      <c r="XK24" s="6" t="n"/>
      <c r="XL24" s="6" t="n"/>
      <c r="XM24" s="6" t="n"/>
      <c r="XN24" s="6" t="n"/>
      <c r="XO24" s="6" t="n"/>
      <c r="XP24" s="6" t="n"/>
      <c r="XQ24" s="6" t="n"/>
      <c r="XR24" s="6">
        <f>IF(COUNTA(WN24:XQ24)=0, "", SUMPRODUCT(--ISNUMBER(SEARCH("m", WN24:XQ24))))</f>
        <v/>
      </c>
      <c r="XS24" s="6">
        <f>IF(COUNTA(WN24:XQ24)=0, "", COUNTA(WN24:XQ24) - SUMPRODUCT(--ISNUMBER(SEARCH("m", WN24:XQ24))))</f>
        <v/>
      </c>
      <c r="XT24" s="6" t="n"/>
      <c r="XU24" s="6" t="n"/>
      <c r="XV24" s="6" t="n"/>
      <c r="XW24" s="6" t="n"/>
      <c r="XX24" s="6" t="n"/>
      <c r="XY24" s="6" t="n"/>
      <c r="XZ24" s="6" t="n"/>
      <c r="YA24" s="6" t="n"/>
      <c r="YB24" s="6" t="n"/>
      <c r="YC24" s="6" t="n"/>
      <c r="YD24" s="6" t="n"/>
      <c r="YE24" s="6" t="n"/>
      <c r="YF24" s="6" t="n"/>
      <c r="YG24" s="6" t="n"/>
      <c r="YH24" s="6" t="n"/>
      <c r="YI24" s="6" t="n"/>
      <c r="YJ24" s="6" t="n"/>
      <c r="YK24" s="6" t="n"/>
      <c r="YL24" s="6" t="n"/>
      <c r="YM24" s="6" t="n"/>
      <c r="YN24" s="20">
        <f>IFERROR(ROUND(AVERAGE(XT24,XV24,XX24,XZ24,YB24,YD24,YF24,YH24,YJ24,YL24), 2), "")</f>
        <v/>
      </c>
      <c r="YO24" s="6" t="n"/>
      <c r="YP24" s="6" t="n"/>
      <c r="YQ24" s="6" t="n"/>
      <c r="YR24" s="6" t="n"/>
      <c r="YS24" s="6" t="n"/>
      <c r="YT24" s="6" t="n"/>
      <c r="YU24" s="6" t="n"/>
      <c r="YV24" s="6" t="n"/>
      <c r="YW24" s="6" t="n"/>
      <c r="YX24" s="6" t="n"/>
      <c r="YY24" s="6" t="n"/>
      <c r="YZ24" s="6" t="n"/>
      <c r="ZA24" s="6" t="n"/>
      <c r="ZB24" s="6" t="n"/>
      <c r="ZC24" s="6" t="n"/>
      <c r="ZD24" s="6" t="n"/>
      <c r="ZE24" s="6" t="n"/>
      <c r="ZF24" s="6" t="n"/>
      <c r="ZG24" s="6" t="n"/>
      <c r="ZH24" s="6" t="n"/>
      <c r="ZI24" s="6" t="n"/>
      <c r="ZJ24" s="6" t="n"/>
      <c r="ZK24" s="6" t="n"/>
      <c r="ZL24" s="6" t="n"/>
      <c r="ZM24" s="6" t="n"/>
      <c r="ZN24" s="6" t="n"/>
      <c r="ZO24" s="6" t="n"/>
      <c r="ZP24" s="6" t="n"/>
      <c r="ZQ24" s="6" t="n"/>
      <c r="ZR24" s="6" t="n"/>
      <c r="ZS24" s="6">
        <f>IF(COUNTA(YO24:ZR24)=0, "", SUMPRODUCT(--ISNUMBER(SEARCH("m", YO24:ZR24))))</f>
        <v/>
      </c>
      <c r="ZT24" s="6">
        <f>IF(COUNTA(YO24:ZR24)=0, "", COUNTA(YO24:ZR24) - SUMPRODUCT(--ISNUMBER(SEARCH("m", YO24:ZR24))))</f>
        <v/>
      </c>
      <c r="ZU24" s="6" t="n"/>
      <c r="ZV24" s="6" t="n"/>
      <c r="ZW24" s="6" t="n"/>
      <c r="ZX24" s="6" t="n"/>
      <c r="ZY24" s="6" t="n"/>
      <c r="ZZ24" s="6" t="n"/>
      <c r="AAA24" s="6" t="n"/>
      <c r="AAB24" s="6" t="n"/>
      <c r="AAC24" s="6" t="n"/>
      <c r="AAD24" s="6" t="n"/>
      <c r="AAE24" s="6" t="n"/>
      <c r="AAF24" s="6" t="n"/>
      <c r="AAG24" s="6" t="n"/>
      <c r="AAH24" s="6" t="n"/>
      <c r="AAI24" s="6" t="n"/>
      <c r="AAJ24" s="6" t="n"/>
      <c r="AAK24" s="6" t="n"/>
      <c r="AAL24" s="6" t="n"/>
      <c r="AAM24" s="6" t="n"/>
      <c r="AAN24" s="6" t="n"/>
      <c r="AAO24" s="20">
        <f>IFERROR(ROUND(AVERAGE(ZU24,ZW24,ZY24,AAA24,AAC24,AAE24,AAG24,AAI24,AAK24,AAM24), 2), "")</f>
        <v/>
      </c>
      <c r="AAP24" s="6" t="n"/>
      <c r="AAQ24" s="6" t="n"/>
      <c r="AAR24" s="6" t="n"/>
      <c r="AAS24" s="6" t="n"/>
      <c r="AAT24" s="6" t="n"/>
      <c r="AAU24" s="6" t="n"/>
      <c r="AAV24" s="6" t="n"/>
      <c r="AAW24" s="6" t="n"/>
      <c r="AAX24" s="6" t="n"/>
      <c r="AAY24" s="6" t="n"/>
      <c r="AAZ24" s="6" t="n"/>
      <c r="ABA24" s="6" t="n"/>
      <c r="ABB24" s="6" t="n"/>
      <c r="ABC24" s="6" t="n"/>
      <c r="ABD24" s="6" t="n"/>
      <c r="ABE24" s="6" t="n"/>
      <c r="ABF24" s="6" t="n"/>
      <c r="ABG24" s="6" t="n"/>
      <c r="ABH24" s="6" t="n"/>
      <c r="ABI24" s="6" t="n"/>
      <c r="ABJ24" s="6" t="n"/>
      <c r="ABK24" s="6" t="n"/>
      <c r="ABL24" s="6" t="n"/>
      <c r="ABM24" s="6" t="n"/>
      <c r="ABN24" s="6" t="n"/>
      <c r="ABO24" s="6" t="n"/>
      <c r="ABP24" s="6" t="n"/>
      <c r="ABQ24" s="6" t="n"/>
      <c r="ABR24" s="6" t="n"/>
      <c r="ABS24" s="6" t="n"/>
      <c r="ABT24" s="6">
        <f>IF(COUNTA(AAP24:ABS24)=0, "", SUMPRODUCT(--ISNUMBER(SEARCH("m", AAP24:ABS24))))</f>
        <v/>
      </c>
      <c r="ABU24" s="6">
        <f>IF(COUNTA(AAP24:ABS24)=0, "", COUNTA(AAP24:ABS24) - SUMPRODUCT(--ISNUMBER(SEARCH("m", AAP24:ABS24))))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8">
        <f>IFERROR(ROUND(AVERAGE(AB25,CC25,ED25,GE25,IF25,KG25,MH25,OI25,QJ25,SK25,UL25,WM25,YN25,AAO25), 2), "")</f>
        <v/>
      </c>
      <c r="F25" s="14">
        <f>IF(SUM(BH25,DI25,FJ25,HK25,JL25,LM25,NN25,PO25,RP25,TQ25,VR25,XS25,ZT25,ABU25)=0, "", SUM(BH25,DI25,FJ25,HK25,JL25,LM25,NN25,PO25,RP25,TQ25,VR25,XS25,ZT25,ABU25))</f>
        <v/>
      </c>
      <c r="G25" s="8">
        <f>IF(SUM(BG25,DH25,FI25,HJ25,JK25,LL25,NM25,PN25,RO25,TP25,VQ25,XR25,ZS25,ABT25)=0, "", SUM(BG25,DH25,FI25,HJ25,JK25,LL25,NM25,PN25,RO25,TP25,VQ25,XR25,ZS25,ABT25))</f>
        <v/>
      </c>
      <c r="H25" s="6" t="n"/>
      <c r="I25" s="79" t="n"/>
      <c r="J25" s="6" t="n"/>
      <c r="K25" s="79" t="n"/>
      <c r="L25" s="6" t="n"/>
      <c r="M25" s="79" t="n"/>
      <c r="N25" s="6" t="n"/>
      <c r="O25" s="79" t="n"/>
      <c r="P25" s="6" t="n"/>
      <c r="Q25" s="79" t="n"/>
      <c r="R25" s="18" t="n"/>
      <c r="S25" s="79" t="n"/>
      <c r="T25" s="79" t="n"/>
      <c r="U25" s="79" t="n"/>
      <c r="V25" s="79" t="n"/>
      <c r="W25" s="79" t="n"/>
      <c r="X25" s="79" t="n"/>
      <c r="Y25" s="79" t="n"/>
      <c r="Z25" s="79" t="n"/>
      <c r="AA25" s="18" t="n"/>
      <c r="AB25" s="14">
        <f>IFERROR(ROUND(AVERAGE(H25,J25,L25,N25,P25,R25,T25,V25,X25,Z25), 2), "")</f>
        <v/>
      </c>
      <c r="AC25" s="6" t="n"/>
      <c r="AD25" s="79" t="n"/>
      <c r="AE25" s="6" t="n"/>
      <c r="AF25" s="79" t="n"/>
      <c r="AG25" s="6" t="n"/>
      <c r="AH25" s="79" t="n"/>
      <c r="AI25" s="6" t="n"/>
      <c r="AJ25" s="79" t="n"/>
      <c r="AK25" s="6" t="n"/>
      <c r="AL25" s="79" t="n"/>
      <c r="AM25" s="18" t="n"/>
      <c r="AN25" s="79" t="n"/>
      <c r="AO25" s="79" t="n"/>
      <c r="AP25" s="79" t="n"/>
      <c r="AQ25" s="79" t="n"/>
      <c r="AR25" s="79" t="n"/>
      <c r="AS25" s="79" t="n"/>
      <c r="AT25" s="79" t="n"/>
      <c r="AU25" s="79" t="n"/>
      <c r="AV25" s="18" t="n"/>
      <c r="AW25" s="19" t="n"/>
      <c r="AX25" s="6" t="n"/>
      <c r="AY25" s="79" t="n"/>
      <c r="AZ25" s="6" t="n"/>
      <c r="BA25" s="79" t="n"/>
      <c r="BB25" s="6" t="n"/>
      <c r="BC25" s="79" t="n"/>
      <c r="BD25" s="6" t="n"/>
      <c r="BE25" s="79" t="n"/>
      <c r="BF25" s="6" t="n"/>
      <c r="BG25" s="79">
        <f>IF(COUNTA(AC25:BF25)=0, "", SUMPRODUCT(--ISNUMBER(SEARCH("m", AC25:BF25))))</f>
        <v/>
      </c>
      <c r="BH25" s="18">
        <f>IF(COUNTA(AC25:BF25)=0, "", COUNTA(AC25:BF25) - SUMPRODUCT(--ISNUMBER(SEARCH("m", AC25:BF25))))</f>
        <v/>
      </c>
      <c r="BI25" s="79" t="n"/>
      <c r="BJ25" s="79" t="n"/>
      <c r="BK25" s="79" t="n"/>
      <c r="BL25" s="79" t="n"/>
      <c r="BM25" s="79" t="n"/>
      <c r="BN25" s="79" t="n"/>
      <c r="BO25" s="79" t="n"/>
      <c r="BP25" s="79" t="n"/>
      <c r="BQ25" s="18" t="n"/>
      <c r="BR25" s="19" t="n"/>
      <c r="BS25" s="6" t="n"/>
      <c r="BT25" s="79" t="n"/>
      <c r="BU25" s="6" t="n"/>
      <c r="BV25" s="79" t="n"/>
      <c r="BW25" s="6" t="n"/>
      <c r="BX25" s="79" t="n"/>
      <c r="BY25" s="6" t="n"/>
      <c r="BZ25" s="79" t="n"/>
      <c r="CA25" s="6" t="n"/>
      <c r="CB25" s="79" t="n"/>
      <c r="CC25" s="8">
        <f>IFERROR(ROUND(AVERAGE(BI25,BK25,BM25,BO25,BQ25,BS25,BU25,BW25,BY25,CA25), 2), "")</f>
        <v/>
      </c>
      <c r="CD25" s="79" t="n"/>
      <c r="CE25" s="79" t="n"/>
      <c r="CF25" s="79" t="n"/>
      <c r="CG25" s="79" t="n"/>
      <c r="CH25" s="79" t="n"/>
      <c r="CI25" s="79" t="n"/>
      <c r="CJ25" s="79" t="n"/>
      <c r="CK25" s="79" t="n"/>
      <c r="CL25" s="18" t="n"/>
      <c r="CM25" s="19" t="n"/>
      <c r="CN25" s="6" t="n"/>
      <c r="CO25" s="79" t="n"/>
      <c r="CP25" s="6" t="n"/>
      <c r="CQ25" s="79" t="n"/>
      <c r="CR25" s="6" t="n"/>
      <c r="CS25" s="79" t="n"/>
      <c r="CT25" s="6" t="n"/>
      <c r="CU25" s="79" t="n"/>
      <c r="CV25" s="6" t="n"/>
      <c r="CW25" s="79" t="n"/>
      <c r="CX25" s="18" t="n"/>
      <c r="CY25" s="79" t="n"/>
      <c r="CZ25" s="79" t="n"/>
      <c r="DA25" s="79" t="n"/>
      <c r="DB25" s="79" t="n"/>
      <c r="DC25" s="79" t="n"/>
      <c r="DD25" s="79" t="n"/>
      <c r="DE25" s="79" t="n"/>
      <c r="DF25" s="79" t="n"/>
      <c r="DG25" s="18" t="n"/>
      <c r="DH25" s="19">
        <f>IF(COUNTA(CD25:DG25)=0, "", SUMPRODUCT(--ISNUMBER(SEARCH("m", CD25:DG25))))</f>
        <v/>
      </c>
      <c r="DI25" s="6">
        <f>IF(COUNTA(CD25:DG25)=0, "", COUNTA(CD25:DG25) - SUMPRODUCT(--ISNUMBER(SEARCH("m", CD25:DG25))))</f>
        <v/>
      </c>
      <c r="DJ25" s="79" t="n"/>
      <c r="DK25" s="6" t="n"/>
      <c r="DL25" s="79" t="n"/>
      <c r="DM25" s="6" t="n"/>
      <c r="DN25" s="79" t="n"/>
      <c r="DO25" s="6" t="n"/>
      <c r="DP25" s="79" t="n"/>
      <c r="DQ25" s="6" t="n"/>
      <c r="DR25" s="79" t="n"/>
      <c r="DS25" s="18" t="n"/>
      <c r="DT25" s="79" t="n"/>
      <c r="DU25" s="79" t="n"/>
      <c r="DV25" s="79" t="n"/>
      <c r="DW25" s="79" t="n"/>
      <c r="DX25" s="79" t="n"/>
      <c r="DY25" s="79" t="n"/>
      <c r="DZ25" s="79" t="n"/>
      <c r="EA25" s="79" t="n"/>
      <c r="EB25" s="18" t="n"/>
      <c r="EC25" s="19" t="n"/>
      <c r="ED25" s="20">
        <f>IFERROR(ROUND(AVERAGE(DJ25,DL25,DN25,DP25,DR25,DT25,DV25,DX25,DZ25,EB25), 2), "")</f>
        <v/>
      </c>
      <c r="EE25" s="79" t="n"/>
      <c r="EF25" s="6" t="n"/>
      <c r="EG25" s="79" t="n"/>
      <c r="EH25" s="6" t="n"/>
      <c r="EI25" s="79" t="n"/>
      <c r="EJ25" s="6" t="n"/>
      <c r="EK25" s="79" t="n"/>
      <c r="EL25" s="6" t="n"/>
      <c r="EM25" s="79" t="n"/>
      <c r="EN25" s="18" t="n"/>
      <c r="EO25" s="79" t="n"/>
      <c r="EP25" s="79" t="n"/>
      <c r="EQ25" s="79" t="n"/>
      <c r="ER25" s="79" t="n"/>
      <c r="ES25" s="79" t="n"/>
      <c r="ET25" s="79" t="n"/>
      <c r="EU25" s="79" t="n"/>
      <c r="EV25" s="79" t="n"/>
      <c r="EW25" s="18" t="n"/>
      <c r="EX25" s="19" t="n"/>
      <c r="EY25" s="6" t="n"/>
      <c r="EZ25" s="79" t="n"/>
      <c r="FA25" s="6" t="n"/>
      <c r="FB25" s="79" t="n"/>
      <c r="FC25" s="6" t="n"/>
      <c r="FD25" s="79" t="n"/>
      <c r="FE25" s="6" t="n"/>
      <c r="FF25" s="79" t="n"/>
      <c r="FG25" s="6" t="n"/>
      <c r="FH25" s="79" t="n"/>
      <c r="FI25" s="18">
        <f>IF(COUNTA(EE25:FH25)=0, "", SUMPRODUCT(--ISNUMBER(SEARCH("m", EE25:FH25))))</f>
        <v/>
      </c>
      <c r="FJ25" s="79">
        <f>IF(COUNTA(EE25:FH25)=0, "", COUNTA(EE25:FH25) - SUMPRODUCT(--ISNUMBER(SEARCH("m", EE25:FH25))))</f>
        <v/>
      </c>
      <c r="FK25" s="79" t="n"/>
      <c r="FL25" s="79" t="n"/>
      <c r="FM25" s="79" t="n"/>
      <c r="FN25" s="79" t="n"/>
      <c r="FO25" s="79" t="n"/>
      <c r="FP25" s="79" t="n"/>
      <c r="FQ25" s="79" t="n"/>
      <c r="FR25" s="18" t="n"/>
      <c r="FS25" s="19" t="n"/>
      <c r="FT25" s="6" t="n"/>
      <c r="FU25" s="79" t="n"/>
      <c r="FV25" s="6" t="n"/>
      <c r="FW25" s="79" t="n"/>
      <c r="FX25" s="6" t="n"/>
      <c r="FY25" s="79" t="n"/>
      <c r="FZ25" s="6" t="n"/>
      <c r="GA25" s="79" t="n"/>
      <c r="GB25" s="6" t="n"/>
      <c r="GC25" s="79" t="n"/>
      <c r="GD25" s="18" t="n"/>
      <c r="GE25" s="80">
        <f>IFERROR(ROUND(AVERAGE(FK25,FM25,FO25,FQ25,FS25,FU25,FW25,FY25,GA25,GC25), 2), "")</f>
        <v/>
      </c>
      <c r="GF25" s="79" t="n"/>
      <c r="GG25" s="79" t="n"/>
      <c r="GH25" s="79" t="n"/>
      <c r="GI25" s="79" t="n"/>
      <c r="GJ25" s="79" t="n"/>
      <c r="GK25" s="79" t="n"/>
      <c r="GL25" s="79" t="n"/>
      <c r="GM25" s="18" t="n"/>
      <c r="GN25" s="19" t="n"/>
      <c r="GO25" s="6" t="n"/>
      <c r="GP25" s="79" t="n"/>
      <c r="GQ25" s="6" t="n"/>
      <c r="GR25" s="79" t="n"/>
      <c r="GS25" s="6" t="n"/>
      <c r="GT25" s="79" t="n"/>
      <c r="GU25" s="6" t="n"/>
      <c r="GV25" s="79" t="n"/>
      <c r="GW25" s="6" t="n"/>
      <c r="GX25" s="79" t="n"/>
      <c r="GY25" s="18" t="n"/>
      <c r="GZ25" s="79" t="n"/>
      <c r="HA25" s="79" t="n"/>
      <c r="HB25" s="79" t="n"/>
      <c r="HC25" s="79" t="n"/>
      <c r="HD25" s="79" t="n"/>
      <c r="HE25" s="79" t="n"/>
      <c r="HF25" s="79" t="n"/>
      <c r="HG25" s="79" t="n"/>
      <c r="HH25" s="18" t="n"/>
      <c r="HI25" s="19" t="n"/>
      <c r="HJ25" s="6">
        <f>IF(COUNTA(GF25:HI25)=0, "", SUMPRODUCT(--ISNUMBER(SEARCH("m", GF25:HI25))))</f>
        <v/>
      </c>
      <c r="HK25" s="79">
        <f>IF(COUNTA(GF25:HI25)=0, "", COUNTA(GF25:HI25) - SUMPRODUCT(--ISNUMBER(SEARCH("m", GF25:HI25))))</f>
        <v/>
      </c>
      <c r="HL25" s="6" t="n"/>
      <c r="HM25" s="79" t="n"/>
      <c r="HN25" s="6" t="n"/>
      <c r="HO25" s="79" t="n"/>
      <c r="HP25" s="6" t="n"/>
      <c r="HQ25" s="79" t="n"/>
      <c r="HR25" s="6" t="n"/>
      <c r="HS25" s="79" t="n"/>
      <c r="HT25" s="18" t="n"/>
      <c r="HU25" s="79" t="n"/>
      <c r="HV25" s="79" t="n"/>
      <c r="HW25" s="79" t="n"/>
      <c r="HX25" s="79" t="n"/>
      <c r="HY25" s="79" t="n"/>
      <c r="HZ25" s="79" t="n"/>
      <c r="IA25" s="79" t="n"/>
      <c r="IB25" s="79" t="n"/>
      <c r="IC25" s="18" t="n"/>
      <c r="ID25" s="19" t="n"/>
      <c r="IE25" s="6" t="n"/>
      <c r="IF25" s="80">
        <f>IFERROR(ROUND(AVERAGE(HL25,HN25,HP25,HR25,HT25,HV25,HX25,HZ25,IB25,ID25), 2), "")</f>
        <v/>
      </c>
      <c r="IG25" s="6" t="n"/>
      <c r="IH25" s="79" t="n"/>
      <c r="II25" s="6" t="n"/>
      <c r="IJ25" s="79" t="n"/>
      <c r="IK25" s="6" t="n"/>
      <c r="IL25" s="79" t="n"/>
      <c r="IM25" s="6" t="n"/>
      <c r="IN25" s="79" t="n"/>
      <c r="IO25" s="18" t="n"/>
      <c r="IP25" s="79" t="n"/>
      <c r="IQ25" s="79" t="n"/>
      <c r="IR25" s="79" t="n"/>
      <c r="IS25" s="79" t="n"/>
      <c r="IT25" s="79" t="n"/>
      <c r="IU25" s="79" t="n"/>
      <c r="IV25" s="79" t="n"/>
      <c r="IW25" s="79" t="n"/>
      <c r="IX25" s="18" t="n"/>
      <c r="IY25" s="19" t="n"/>
      <c r="IZ25" s="6" t="n"/>
      <c r="JA25" s="79" t="n"/>
      <c r="JB25" s="6" t="n"/>
      <c r="JC25" s="79" t="n"/>
      <c r="JD25" s="6" t="n"/>
      <c r="JE25" s="79" t="n"/>
      <c r="JF25" s="6" t="n"/>
      <c r="JG25" s="79" t="n"/>
      <c r="JH25" s="6" t="n"/>
      <c r="JI25" s="79" t="n"/>
      <c r="JJ25" s="18" t="n"/>
      <c r="JK25" s="79">
        <f>IF(COUNTA(IG25:JJ25)=0, "", SUMPRODUCT(--ISNUMBER(SEARCH("m", IG25:JJ25))))</f>
        <v/>
      </c>
      <c r="JL25" s="79">
        <f>IF(COUNTA(IG25:JJ25)=0, "", COUNTA(IG25:JJ25) - SUMPRODUCT(--ISNUMBER(SEARCH("m", IG25:JJ25))))</f>
        <v/>
      </c>
      <c r="JM25" s="79" t="n"/>
      <c r="JN25" s="79" t="n"/>
      <c r="JO25" s="79" t="n"/>
      <c r="JP25" s="79" t="n"/>
      <c r="JQ25" s="79" t="n"/>
      <c r="JR25" s="79" t="n"/>
      <c r="JS25" s="18" t="n"/>
      <c r="JT25" s="19" t="n"/>
      <c r="JU25" s="6" t="n"/>
      <c r="JV25" s="79" t="n"/>
      <c r="JW25" s="6" t="n"/>
      <c r="JX25" s="79" t="n"/>
      <c r="JY25" s="6" t="n"/>
      <c r="JZ25" s="79" t="n"/>
      <c r="KA25" s="6" t="n"/>
      <c r="KB25" s="79" t="n"/>
      <c r="KC25" s="6" t="n"/>
      <c r="KD25" s="79" t="n"/>
      <c r="KE25" s="18" t="n"/>
      <c r="KF25" s="79" t="n"/>
      <c r="KG25" s="80">
        <f>IFERROR(ROUND(AVERAGE(JM25,JO25,JQ25,JS25,JU25,JW25,JY25,KA25,KC25,KE25), 2), "")</f>
        <v/>
      </c>
      <c r="KH25" s="79" t="n"/>
      <c r="KI25" s="79" t="n"/>
      <c r="KJ25" s="79" t="n"/>
      <c r="KK25" s="79" t="n"/>
      <c r="KL25" s="79" t="n"/>
      <c r="KM25" s="79" t="n"/>
      <c r="KN25" s="18" t="n"/>
      <c r="KO25" s="19" t="n"/>
      <c r="KP25" s="6" t="n"/>
      <c r="KQ25" s="6" t="n"/>
      <c r="KR25" s="6" t="n"/>
      <c r="KS25" s="6" t="n"/>
      <c r="KT25" s="6" t="n"/>
      <c r="KU25" s="6" t="n"/>
      <c r="KV25" s="6" t="n"/>
      <c r="KW25" s="6" t="n"/>
      <c r="KX25" s="6" t="n"/>
      <c r="KY25" s="6" t="n"/>
      <c r="KZ25" s="6" t="n"/>
      <c r="LA25" s="6" t="n"/>
      <c r="LB25" s="6" t="n"/>
      <c r="LC25" s="6" t="n"/>
      <c r="LD25" s="6" t="n"/>
      <c r="LE25" s="6" t="n"/>
      <c r="LF25" s="6" t="n"/>
      <c r="LG25" s="6" t="n"/>
      <c r="LH25" s="6" t="n"/>
      <c r="LI25" s="6" t="n"/>
      <c r="LJ25" s="6" t="n"/>
      <c r="LK25" s="6" t="n"/>
      <c r="LL25" s="6">
        <f>IF(COUNTA(KH25:LK25)=0, "", SUMPRODUCT(--ISNUMBER(SEARCH("m", KH25:LK25))))</f>
        <v/>
      </c>
      <c r="LM25" s="6">
        <f>IF(COUNTA(KH25:LK25)=0, "", COUNTA(KH25:LK25) - SUMPRODUCT(--ISNUMBER(SEARCH("m", KH25:LK25))))</f>
        <v/>
      </c>
      <c r="LN25" s="6" t="n"/>
      <c r="LO25" s="6" t="n"/>
      <c r="LP25" s="6" t="n"/>
      <c r="LQ25" s="6" t="n"/>
      <c r="LR25" s="6" t="n"/>
      <c r="LS25" s="6" t="n"/>
      <c r="LT25" s="6" t="n"/>
      <c r="LU25" s="6" t="n"/>
      <c r="LV25" s="6" t="n"/>
      <c r="LW25" s="6" t="n"/>
      <c r="LX25" s="6" t="n"/>
      <c r="LY25" s="6" t="n"/>
      <c r="LZ25" s="6" t="n"/>
      <c r="MA25" s="6" t="n"/>
      <c r="MB25" s="6" t="n"/>
      <c r="MC25" s="6" t="n"/>
      <c r="MD25" s="6" t="n"/>
      <c r="ME25" s="6" t="n"/>
      <c r="MF25" s="6" t="n"/>
      <c r="MG25" s="6" t="n"/>
      <c r="MH25" s="20">
        <f>IFERROR(ROUND(AVERAGE(LN25,LP25,LR25,LT25,LV25,LX25,LZ25,MB25,MD25,MF25), 2), "")</f>
        <v/>
      </c>
      <c r="MI25" s="6" t="n"/>
      <c r="MJ25" s="6" t="n"/>
      <c r="MK25" s="6" t="n"/>
      <c r="ML25" s="6" t="n"/>
      <c r="MM25" s="6" t="n"/>
      <c r="MN25" s="6" t="n"/>
      <c r="MO25" s="6" t="n"/>
      <c r="MP25" s="6" t="n"/>
      <c r="MQ25" s="6" t="n"/>
      <c r="MR25" s="6" t="n"/>
      <c r="MS25" s="6" t="n"/>
      <c r="MT25" s="6" t="n"/>
      <c r="MU25" s="6" t="n"/>
      <c r="MV25" s="6" t="n"/>
      <c r="MW25" s="6" t="n"/>
      <c r="MX25" s="6" t="n"/>
      <c r="MY25" s="6" t="n"/>
      <c r="MZ25" s="6" t="n"/>
      <c r="NA25" s="6" t="n"/>
      <c r="NB25" s="6" t="n"/>
      <c r="NC25" s="6" t="n"/>
      <c r="ND25" s="6" t="n"/>
      <c r="NE25" s="6" t="n"/>
      <c r="NF25" s="6" t="n"/>
      <c r="NG25" s="6" t="n"/>
      <c r="NH25" s="6" t="n"/>
      <c r="NI25" s="6" t="n"/>
      <c r="NJ25" s="6" t="n"/>
      <c r="NK25" s="6" t="n"/>
      <c r="NL25" s="6" t="n"/>
      <c r="NM25" s="6">
        <f>IF(COUNTA(MI25:NL25)=0, "", SUMPRODUCT(--ISNUMBER(SEARCH("m", MI25:NL25))))</f>
        <v/>
      </c>
      <c r="NN25" s="6">
        <f>IF(COUNTA(MI25:NL25)=0, "", COUNTA(MI25:NL25) - SUMPRODUCT(--ISNUMBER(SEARCH("m", MI25:NL25))))</f>
        <v/>
      </c>
      <c r="NO25" s="6" t="n"/>
      <c r="NP25" s="6" t="n"/>
      <c r="NQ25" s="6" t="n"/>
      <c r="NR25" s="6" t="n"/>
      <c r="NS25" s="6" t="n"/>
      <c r="NT25" s="6" t="n"/>
      <c r="NU25" s="6" t="n"/>
      <c r="NV25" s="6" t="n"/>
      <c r="NW25" s="6" t="n"/>
      <c r="NX25" s="6" t="n"/>
      <c r="NY25" s="6" t="n"/>
      <c r="NZ25" s="6" t="n"/>
      <c r="OA25" s="6" t="n"/>
      <c r="OB25" s="6" t="n"/>
      <c r="OC25" s="6" t="n"/>
      <c r="OD25" s="6" t="n"/>
      <c r="OE25" s="6" t="n"/>
      <c r="OF25" s="6" t="n"/>
      <c r="OG25" s="6" t="n"/>
      <c r="OH25" s="6" t="n"/>
      <c r="OI25" s="20">
        <f>IFERROR(ROUND(AVERAGE(NO25,NQ25,NS25,NU25,NW25,NY25,OA25,OC25,OE25,OG25), 2), "")</f>
        <v/>
      </c>
      <c r="OJ25" s="6" t="n"/>
      <c r="OK25" s="6" t="n"/>
      <c r="OL25" s="6" t="n"/>
      <c r="OM25" s="6" t="n"/>
      <c r="ON25" s="6" t="n"/>
      <c r="OO25" s="6" t="n"/>
      <c r="OP25" s="6" t="n"/>
      <c r="OQ25" s="6" t="n"/>
      <c r="OR25" s="6" t="n"/>
      <c r="OS25" s="6" t="n"/>
      <c r="OT25" s="6" t="n"/>
      <c r="OU25" s="6" t="n"/>
      <c r="OV25" s="6" t="n"/>
      <c r="OW25" s="6" t="n"/>
      <c r="OX25" s="6" t="n"/>
      <c r="OY25" s="6" t="n"/>
      <c r="OZ25" s="6" t="n"/>
      <c r="PA25" s="6" t="n"/>
      <c r="PB25" s="6" t="n"/>
      <c r="PC25" s="6" t="n"/>
      <c r="PD25" s="6" t="n"/>
      <c r="PE25" s="6" t="n"/>
      <c r="PF25" s="6" t="n"/>
      <c r="PG25" s="6" t="n"/>
      <c r="PH25" s="6" t="n"/>
      <c r="PI25" s="6" t="n"/>
      <c r="PJ25" s="6" t="n"/>
      <c r="PK25" s="6" t="n"/>
      <c r="PL25" s="6" t="n"/>
      <c r="PM25" s="6" t="n"/>
      <c r="PN25" s="6">
        <f>IF(COUNTA(OJ25:PM25)=0, "", SUMPRODUCT(--ISNUMBER(SEARCH("m", OJ25:PM25))))</f>
        <v/>
      </c>
      <c r="PO25" s="6">
        <f>IF(COUNTA(OJ25:PM25)=0, "", COUNTA(OJ25:PM25) - SUMPRODUCT(--ISNUMBER(SEARCH("m", OJ25:PM25))))</f>
        <v/>
      </c>
      <c r="PP25" s="6" t="n"/>
      <c r="PQ25" s="6" t="n"/>
      <c r="PR25" s="6" t="n"/>
      <c r="PS25" s="6" t="n"/>
      <c r="PT25" s="6" t="n"/>
      <c r="PU25" s="6" t="n"/>
      <c r="PV25" s="6" t="n"/>
      <c r="PW25" s="6" t="n"/>
      <c r="PX25" s="6" t="n"/>
      <c r="PY25" s="6" t="n"/>
      <c r="PZ25" s="6" t="n"/>
      <c r="QA25" s="6" t="n"/>
      <c r="QB25" s="6" t="n"/>
      <c r="QC25" s="6" t="n"/>
      <c r="QD25" s="6" t="n"/>
      <c r="QE25" s="6" t="n"/>
      <c r="QF25" s="6" t="n"/>
      <c r="QG25" s="6" t="n"/>
      <c r="QH25" s="6" t="n"/>
      <c r="QI25" s="6" t="n"/>
      <c r="QJ25" s="20">
        <f>IFERROR(ROUND(AVERAGE(PP25,PR25,PT25,PV25,PX25,PZ25,QB25,QD25,QF25,QH25), 2), "")</f>
        <v/>
      </c>
      <c r="QK25" s="6" t="n"/>
      <c r="QL25" s="6" t="n"/>
      <c r="QM25" s="6" t="n"/>
      <c r="QN25" s="6" t="n"/>
      <c r="QO25" s="6" t="n"/>
      <c r="QP25" s="6" t="n"/>
      <c r="QQ25" s="6" t="n"/>
      <c r="QR25" s="6" t="n"/>
      <c r="QS25" s="6" t="n"/>
      <c r="QT25" s="6" t="n"/>
      <c r="QU25" s="6" t="n"/>
      <c r="QV25" s="6" t="n"/>
      <c r="QW25" s="6" t="n"/>
      <c r="QX25" s="6" t="n"/>
      <c r="QY25" s="6" t="n"/>
      <c r="QZ25" s="6" t="n"/>
      <c r="RA25" s="6" t="n"/>
      <c r="RB25" s="6" t="n"/>
      <c r="RC25" s="6" t="n"/>
      <c r="RD25" s="6" t="n"/>
      <c r="RE25" s="6" t="n"/>
      <c r="RF25" s="6" t="n"/>
      <c r="RG25" s="6" t="n"/>
      <c r="RH25" s="6" t="n"/>
      <c r="RI25" s="6" t="n"/>
      <c r="RJ25" s="6" t="n"/>
      <c r="RK25" s="6" t="n"/>
      <c r="RL25" s="6" t="n"/>
      <c r="RM25" s="6" t="n"/>
      <c r="RN25" s="6" t="n"/>
      <c r="RO25" s="6">
        <f>IF(COUNTA(QK25:RN25)=0, "", SUMPRODUCT(--ISNUMBER(SEARCH("m", QK25:RN25))))</f>
        <v/>
      </c>
      <c r="RP25" s="6">
        <f>IF(COUNTA(QK25:RN25)=0, "", COUNTA(QK25:RN25) - SUMPRODUCT(--ISNUMBER(SEARCH("m", QK25:RN25))))</f>
        <v/>
      </c>
      <c r="RQ25" s="6" t="n"/>
      <c r="RR25" s="6" t="n"/>
      <c r="RS25" s="6" t="n"/>
      <c r="RT25" s="6" t="n"/>
      <c r="RU25" s="6" t="n"/>
      <c r="RV25" s="6" t="n"/>
      <c r="RW25" s="6" t="n"/>
      <c r="RX25" s="6" t="n"/>
      <c r="RY25" s="6" t="n"/>
      <c r="RZ25" s="6" t="n"/>
      <c r="SA25" s="6" t="n"/>
      <c r="SB25" s="6" t="n"/>
      <c r="SC25" s="6" t="n"/>
      <c r="SD25" s="6" t="n"/>
      <c r="SE25" s="6" t="n"/>
      <c r="SF25" s="6" t="n"/>
      <c r="SG25" s="6" t="n"/>
      <c r="SH25" s="6" t="n"/>
      <c r="SI25" s="6" t="n"/>
      <c r="SJ25" s="6" t="n"/>
      <c r="SK25" s="20">
        <f>IFERROR(ROUND(AVERAGE(RQ25,RS25,RU25,RW25,RY25,SA25,SC25,SE25,SG25,SI25), 2), "")</f>
        <v/>
      </c>
      <c r="SL25" s="6" t="n"/>
      <c r="SM25" s="6" t="n"/>
      <c r="SN25" s="6" t="n"/>
      <c r="SO25" s="6" t="n"/>
      <c r="SP25" s="6" t="n"/>
      <c r="SQ25" s="6" t="n"/>
      <c r="SR25" s="6" t="n"/>
      <c r="SS25" s="6" t="n"/>
      <c r="ST25" s="6" t="n"/>
      <c r="SU25" s="6" t="n"/>
      <c r="SV25" s="6" t="n"/>
      <c r="SW25" s="6" t="n"/>
      <c r="SX25" s="6" t="n"/>
      <c r="SY25" s="6" t="n"/>
      <c r="SZ25" s="6" t="n"/>
      <c r="TA25" s="6" t="n"/>
      <c r="TB25" s="6" t="n"/>
      <c r="TC25" s="6" t="n"/>
      <c r="TD25" s="6" t="n"/>
      <c r="TE25" s="6" t="n"/>
      <c r="TF25" s="6" t="n"/>
      <c r="TG25" s="6" t="n"/>
      <c r="TH25" s="6" t="n"/>
      <c r="TI25" s="6" t="n"/>
      <c r="TJ25" s="6" t="n"/>
      <c r="TK25" s="6" t="n"/>
      <c r="TL25" s="6" t="n"/>
      <c r="TM25" s="6" t="n"/>
      <c r="TN25" s="6" t="n"/>
      <c r="TO25" s="6" t="n"/>
      <c r="TP25" s="6">
        <f>IF(COUNTA(SL25:TO25)=0, "", SUMPRODUCT(--ISNUMBER(SEARCH("m", SL25:TO25))))</f>
        <v/>
      </c>
      <c r="TQ25" s="6">
        <f>IF(COUNTA(SL25:TO25)=0, "", COUNTA(SL25:TO25) - SUMPRODUCT(--ISNUMBER(SEARCH("m", SL25:TO25))))</f>
        <v/>
      </c>
      <c r="TR25" s="6" t="n"/>
      <c r="TS25" s="6" t="n"/>
      <c r="TT25" s="6" t="n"/>
      <c r="TU25" s="6" t="n"/>
      <c r="TV25" s="6" t="n"/>
      <c r="TW25" s="6" t="n"/>
      <c r="TX25" s="6" t="n"/>
      <c r="TY25" s="6" t="n"/>
      <c r="TZ25" s="6" t="n"/>
      <c r="UA25" s="6" t="n"/>
      <c r="UB25" s="6" t="n"/>
      <c r="UC25" s="6" t="n"/>
      <c r="UD25" s="6" t="n"/>
      <c r="UE25" s="6" t="n"/>
      <c r="UF25" s="6" t="n"/>
      <c r="UG25" s="6" t="n"/>
      <c r="UH25" s="6" t="n"/>
      <c r="UI25" s="6" t="n"/>
      <c r="UJ25" s="6" t="n"/>
      <c r="UK25" s="6" t="n"/>
      <c r="UL25" s="20">
        <f>IFERROR(ROUND(AVERAGE(TR25,TT25,TV25,TX25,TZ25,UB25,UD25,UF25,UH25,UJ25), 2), "")</f>
        <v/>
      </c>
      <c r="UM25" s="6" t="n"/>
      <c r="UN25" s="6" t="n"/>
      <c r="UO25" s="6" t="n"/>
      <c r="UP25" s="6" t="n"/>
      <c r="UQ25" s="6" t="n"/>
      <c r="UR25" s="6" t="n"/>
      <c r="US25" s="6" t="n"/>
      <c r="UT25" s="6" t="n"/>
      <c r="UU25" s="6" t="n"/>
      <c r="UV25" s="6" t="n"/>
      <c r="UW25" s="6" t="n"/>
      <c r="UX25" s="6" t="n"/>
      <c r="UY25" s="6" t="n"/>
      <c r="UZ25" s="6" t="n"/>
      <c r="VA25" s="6" t="n"/>
      <c r="VB25" s="6" t="n"/>
      <c r="VC25" s="6" t="n"/>
      <c r="VD25" s="6" t="n"/>
      <c r="VE25" s="6" t="n"/>
      <c r="VF25" s="6" t="n"/>
      <c r="VG25" s="6" t="n"/>
      <c r="VH25" s="6" t="n"/>
      <c r="VI25" s="6" t="n"/>
      <c r="VJ25" s="6" t="n"/>
      <c r="VK25" s="6" t="n"/>
      <c r="VL25" s="6" t="n"/>
      <c r="VM25" s="6" t="n"/>
      <c r="VN25" s="6" t="n"/>
      <c r="VO25" s="6" t="n"/>
      <c r="VP25" s="6" t="n"/>
      <c r="VQ25" s="6">
        <f>IF(COUNTA(UM25:VP25)=0, "", SUMPRODUCT(--ISNUMBER(SEARCH("m", UM25:VP25))))</f>
        <v/>
      </c>
      <c r="VR25" s="6">
        <f>IF(COUNTA(UM25:VP25)=0, "", COUNTA(UM25:VP25) - SUMPRODUCT(--ISNUMBER(SEARCH("m", UM25:VP25))))</f>
        <v/>
      </c>
      <c r="VS25" s="6" t="n"/>
      <c r="VT25" s="6" t="n"/>
      <c r="VU25" s="6" t="n"/>
      <c r="VV25" s="6" t="n"/>
      <c r="VW25" s="6" t="n"/>
      <c r="VX25" s="6" t="n"/>
      <c r="VY25" s="6" t="n"/>
      <c r="VZ25" s="6" t="n"/>
      <c r="WA25" s="6" t="n"/>
      <c r="WB25" s="6" t="n"/>
      <c r="WC25" s="6" t="n"/>
      <c r="WD25" s="6" t="n"/>
      <c r="WE25" s="6" t="n"/>
      <c r="WF25" s="6" t="n"/>
      <c r="WG25" s="6" t="n"/>
      <c r="WH25" s="6" t="n"/>
      <c r="WI25" s="6" t="n"/>
      <c r="WJ25" s="6" t="n"/>
      <c r="WK25" s="6" t="n"/>
      <c r="WL25" s="6" t="n"/>
      <c r="WM25" s="20">
        <f>IFERROR(ROUND(AVERAGE(VS25,VU25,VW25,VY25,WA25,WC25,WE25,WG25,WI25,WK25), 2), "")</f>
        <v/>
      </c>
      <c r="WN25" s="6" t="n"/>
      <c r="WO25" s="6" t="n"/>
      <c r="WP25" s="6" t="n"/>
      <c r="WQ25" s="6" t="n"/>
      <c r="WR25" s="6" t="n"/>
      <c r="WS25" s="6" t="n"/>
      <c r="WT25" s="6" t="n"/>
      <c r="WU25" s="6" t="n"/>
      <c r="WV25" s="6" t="n"/>
      <c r="WW25" s="6" t="n"/>
      <c r="WX25" s="6" t="n"/>
      <c r="WY25" s="6" t="n"/>
      <c r="WZ25" s="6" t="n"/>
      <c r="XA25" s="6" t="n"/>
      <c r="XB25" s="6" t="n"/>
      <c r="XC25" s="6" t="n"/>
      <c r="XD25" s="6" t="n"/>
      <c r="XE25" s="6" t="n"/>
      <c r="XF25" s="6" t="n"/>
      <c r="XG25" s="6" t="n"/>
      <c r="XH25" s="6" t="n"/>
      <c r="XI25" s="6" t="n"/>
      <c r="XJ25" s="6" t="n"/>
      <c r="XK25" s="6" t="n"/>
      <c r="XL25" s="6" t="n"/>
      <c r="XM25" s="6" t="n"/>
      <c r="XN25" s="6" t="n"/>
      <c r="XO25" s="6" t="n"/>
      <c r="XP25" s="6" t="n"/>
      <c r="XQ25" s="6" t="n"/>
      <c r="XR25" s="6">
        <f>IF(COUNTA(WN25:XQ25)=0, "", SUMPRODUCT(--ISNUMBER(SEARCH("m", WN25:XQ25))))</f>
        <v/>
      </c>
      <c r="XS25" s="6">
        <f>IF(COUNTA(WN25:XQ25)=0, "", COUNTA(WN25:XQ25) - SUMPRODUCT(--ISNUMBER(SEARCH("m", WN25:XQ25))))</f>
        <v/>
      </c>
      <c r="XT25" s="6" t="n"/>
      <c r="XU25" s="6" t="n"/>
      <c r="XV25" s="6" t="n"/>
      <c r="XW25" s="6" t="n"/>
      <c r="XX25" s="6" t="n"/>
      <c r="XY25" s="6" t="n"/>
      <c r="XZ25" s="6" t="n"/>
      <c r="YA25" s="6" t="n"/>
      <c r="YB25" s="6" t="n"/>
      <c r="YC25" s="6" t="n"/>
      <c r="YD25" s="6" t="n"/>
      <c r="YE25" s="6" t="n"/>
      <c r="YF25" s="6" t="n"/>
      <c r="YG25" s="6" t="n"/>
      <c r="YH25" s="6" t="n"/>
      <c r="YI25" s="6" t="n"/>
      <c r="YJ25" s="6" t="n"/>
      <c r="YK25" s="6" t="n"/>
      <c r="YL25" s="6" t="n"/>
      <c r="YM25" s="6" t="n"/>
      <c r="YN25" s="20">
        <f>IFERROR(ROUND(AVERAGE(XT25,XV25,XX25,XZ25,YB25,YD25,YF25,YH25,YJ25,YL25), 2), "")</f>
        <v/>
      </c>
      <c r="YO25" s="6" t="n"/>
      <c r="YP25" s="6" t="n"/>
      <c r="YQ25" s="6" t="n"/>
      <c r="YR25" s="6" t="n"/>
      <c r="YS25" s="6" t="n"/>
      <c r="YT25" s="6" t="n"/>
      <c r="YU25" s="6" t="n"/>
      <c r="YV25" s="6" t="n"/>
      <c r="YW25" s="6" t="n"/>
      <c r="YX25" s="6" t="n"/>
      <c r="YY25" s="6" t="n"/>
      <c r="YZ25" s="6" t="n"/>
      <c r="ZA25" s="6" t="n"/>
      <c r="ZB25" s="6" t="n"/>
      <c r="ZC25" s="6" t="n"/>
      <c r="ZD25" s="6" t="n"/>
      <c r="ZE25" s="6" t="n"/>
      <c r="ZF25" s="6" t="n"/>
      <c r="ZG25" s="6" t="n"/>
      <c r="ZH25" s="6" t="n"/>
      <c r="ZI25" s="6" t="n"/>
      <c r="ZJ25" s="6" t="n"/>
      <c r="ZK25" s="6" t="n"/>
      <c r="ZL25" s="6" t="n"/>
      <c r="ZM25" s="6" t="n"/>
      <c r="ZN25" s="6" t="n"/>
      <c r="ZO25" s="6" t="n"/>
      <c r="ZP25" s="6" t="n"/>
      <c r="ZQ25" s="6" t="n"/>
      <c r="ZR25" s="6" t="n"/>
      <c r="ZS25" s="6">
        <f>IF(COUNTA(YO25:ZR25)=0, "", SUMPRODUCT(--ISNUMBER(SEARCH("m", YO25:ZR25))))</f>
        <v/>
      </c>
      <c r="ZT25" s="6">
        <f>IF(COUNTA(YO25:ZR25)=0, "", COUNTA(YO25:ZR25) - SUMPRODUCT(--ISNUMBER(SEARCH("m", YO25:ZR25))))</f>
        <v/>
      </c>
      <c r="ZU25" s="6" t="n"/>
      <c r="ZV25" s="6" t="n"/>
      <c r="ZW25" s="6" t="n"/>
      <c r="ZX25" s="6" t="n"/>
      <c r="ZY25" s="6" t="n"/>
      <c r="ZZ25" s="6" t="n"/>
      <c r="AAA25" s="6" t="n"/>
      <c r="AAB25" s="6" t="n"/>
      <c r="AAC25" s="6" t="n"/>
      <c r="AAD25" s="6" t="n"/>
      <c r="AAE25" s="6" t="n"/>
      <c r="AAF25" s="6" t="n"/>
      <c r="AAG25" s="6" t="n"/>
      <c r="AAH25" s="6" t="n"/>
      <c r="AAI25" s="6" t="n"/>
      <c r="AAJ25" s="6" t="n"/>
      <c r="AAK25" s="6" t="n"/>
      <c r="AAL25" s="6" t="n"/>
      <c r="AAM25" s="6" t="n"/>
      <c r="AAN25" s="6" t="n"/>
      <c r="AAO25" s="20">
        <f>IFERROR(ROUND(AVERAGE(ZU25,ZW25,ZY25,AAA25,AAC25,AAE25,AAG25,AAI25,AAK25,AAM25), 2), "")</f>
        <v/>
      </c>
      <c r="AAP25" s="6" t="n"/>
      <c r="AAQ25" s="6" t="n"/>
      <c r="AAR25" s="6" t="n"/>
      <c r="AAS25" s="6" t="n"/>
      <c r="AAT25" s="6" t="n"/>
      <c r="AAU25" s="6" t="n"/>
      <c r="AAV25" s="6" t="n"/>
      <c r="AAW25" s="6" t="n"/>
      <c r="AAX25" s="6" t="n"/>
      <c r="AAY25" s="6" t="n"/>
      <c r="AAZ25" s="6" t="n"/>
      <c r="ABA25" s="6" t="n"/>
      <c r="ABB25" s="6" t="n"/>
      <c r="ABC25" s="6" t="n"/>
      <c r="ABD25" s="6" t="n"/>
      <c r="ABE25" s="6" t="n"/>
      <c r="ABF25" s="6" t="n"/>
      <c r="ABG25" s="6" t="n"/>
      <c r="ABH25" s="6" t="n"/>
      <c r="ABI25" s="6" t="n"/>
      <c r="ABJ25" s="6" t="n"/>
      <c r="ABK25" s="6" t="n"/>
      <c r="ABL25" s="6" t="n"/>
      <c r="ABM25" s="6" t="n"/>
      <c r="ABN25" s="6" t="n"/>
      <c r="ABO25" s="6" t="n"/>
      <c r="ABP25" s="6" t="n"/>
      <c r="ABQ25" s="6" t="n"/>
      <c r="ABR25" s="6" t="n"/>
      <c r="ABS25" s="6" t="n"/>
      <c r="ABT25" s="6">
        <f>IF(COUNTA(AAP25:ABS25)=0, "", SUMPRODUCT(--ISNUMBER(SEARCH("m", AAP25:ABS25))))</f>
        <v/>
      </c>
      <c r="ABU25" s="6">
        <f>IF(COUNTA(AAP25:ABS25)=0, "", COUNTA(AAP25:ABS25) - SUMPRODUCT(--ISNUMBER(SEARCH("m", AAP25:ABS25))))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8">
        <f>IFERROR(ROUND(AVERAGE(AB26,CC26,ED26,GE26,IF26,KG26,MH26,OI26,QJ26,SK26,UL26,WM26,YN26,AAO26), 2), "")</f>
        <v/>
      </c>
      <c r="F26" s="14">
        <f>IF(SUM(BH26,DI26,FJ26,HK26,JL26,LM26,NN26,PO26,RP26,TQ26,VR26,XS26,ZT26,ABU26)=0, "", SUM(BH26,DI26,FJ26,HK26,JL26,LM26,NN26,PO26,RP26,TQ26,VR26,XS26,ZT26,ABU26))</f>
        <v/>
      </c>
      <c r="G26" s="8">
        <f>IF(SUM(BG26,DH26,FI26,HJ26,JK26,LL26,NM26,PN26,RO26,TP26,VQ26,XR26,ZS26,ABT26)=0, "", SUM(BG26,DH26,FI26,HJ26,JK26,LL26,NM26,PN26,RO26,TP26,VQ26,XR26,ZS26,ABT26))</f>
        <v/>
      </c>
      <c r="H26" s="6" t="n"/>
      <c r="I26" s="79" t="n"/>
      <c r="J26" s="6" t="n"/>
      <c r="K26" s="79" t="n"/>
      <c r="L26" s="6" t="n"/>
      <c r="M26" s="79" t="n"/>
      <c r="N26" s="6" t="n"/>
      <c r="O26" s="79" t="n"/>
      <c r="P26" s="6" t="n"/>
      <c r="Q26" s="79" t="n"/>
      <c r="R26" s="18" t="n"/>
      <c r="S26" s="79" t="n"/>
      <c r="T26" s="79" t="n"/>
      <c r="U26" s="79" t="n"/>
      <c r="V26" s="79" t="n"/>
      <c r="W26" s="79" t="n"/>
      <c r="X26" s="79" t="n"/>
      <c r="Y26" s="79" t="n"/>
      <c r="Z26" s="79" t="n"/>
      <c r="AA26" s="18" t="n"/>
      <c r="AB26" s="14">
        <f>IFERROR(ROUND(AVERAGE(H26,J26,L26,N26,P26,R26,T26,V26,X26,Z26), 2), "")</f>
        <v/>
      </c>
      <c r="AC26" s="6" t="n"/>
      <c r="AD26" s="79" t="n"/>
      <c r="AE26" s="6" t="n"/>
      <c r="AF26" s="79" t="n"/>
      <c r="AG26" s="6" t="n"/>
      <c r="AH26" s="79" t="n"/>
      <c r="AI26" s="6" t="n"/>
      <c r="AJ26" s="79" t="n"/>
      <c r="AK26" s="6" t="n"/>
      <c r="AL26" s="79" t="n"/>
      <c r="AM26" s="18" t="n"/>
      <c r="AN26" s="79" t="n"/>
      <c r="AO26" s="79" t="n"/>
      <c r="AP26" s="79" t="n"/>
      <c r="AQ26" s="79" t="n"/>
      <c r="AR26" s="79" t="n"/>
      <c r="AS26" s="79" t="n"/>
      <c r="AT26" s="79" t="n"/>
      <c r="AU26" s="79" t="n"/>
      <c r="AV26" s="18" t="n"/>
      <c r="AW26" s="19" t="n"/>
      <c r="AX26" s="6" t="n"/>
      <c r="AY26" s="79" t="n"/>
      <c r="AZ26" s="6" t="n"/>
      <c r="BA26" s="79" t="n"/>
      <c r="BB26" s="6" t="n"/>
      <c r="BC26" s="79" t="n"/>
      <c r="BD26" s="6" t="n"/>
      <c r="BE26" s="79" t="n"/>
      <c r="BF26" s="6" t="n"/>
      <c r="BG26" s="79">
        <f>IF(COUNTA(AC26:BF26)=0, "", SUMPRODUCT(--ISNUMBER(SEARCH("m", AC26:BF26))))</f>
        <v/>
      </c>
      <c r="BH26" s="18">
        <f>IF(COUNTA(AC26:BF26)=0, "", COUNTA(AC26:BF26) - SUMPRODUCT(--ISNUMBER(SEARCH("m", AC26:BF26))))</f>
        <v/>
      </c>
      <c r="BI26" s="79" t="n"/>
      <c r="BJ26" s="79" t="n"/>
      <c r="BK26" s="79" t="n"/>
      <c r="BL26" s="79" t="n"/>
      <c r="BM26" s="79" t="n"/>
      <c r="BN26" s="79" t="n"/>
      <c r="BO26" s="79" t="n"/>
      <c r="BP26" s="79" t="n"/>
      <c r="BQ26" s="18" t="n"/>
      <c r="BR26" s="19" t="n"/>
      <c r="BS26" s="6" t="n"/>
      <c r="BT26" s="79" t="n"/>
      <c r="BU26" s="6" t="n"/>
      <c r="BV26" s="79" t="n"/>
      <c r="BW26" s="6" t="n"/>
      <c r="BX26" s="79" t="n"/>
      <c r="BY26" s="6" t="n"/>
      <c r="BZ26" s="79" t="n"/>
      <c r="CA26" s="6" t="n"/>
      <c r="CB26" s="79" t="n"/>
      <c r="CC26" s="8">
        <f>IFERROR(ROUND(AVERAGE(BI26,BK26,BM26,BO26,BQ26,BS26,BU26,BW26,BY26,CA26), 2), "")</f>
        <v/>
      </c>
      <c r="CD26" s="79" t="n"/>
      <c r="CE26" s="79" t="n"/>
      <c r="CF26" s="79" t="n"/>
      <c r="CG26" s="79" t="n"/>
      <c r="CH26" s="79" t="n"/>
      <c r="CI26" s="79" t="n"/>
      <c r="CJ26" s="79" t="n"/>
      <c r="CK26" s="79" t="n"/>
      <c r="CL26" s="18" t="n"/>
      <c r="CM26" s="19" t="n"/>
      <c r="CN26" s="6" t="n"/>
      <c r="CO26" s="79" t="n"/>
      <c r="CP26" s="6" t="n"/>
      <c r="CQ26" s="79" t="n"/>
      <c r="CR26" s="6" t="n"/>
      <c r="CS26" s="79" t="n"/>
      <c r="CT26" s="6" t="n"/>
      <c r="CU26" s="79" t="n"/>
      <c r="CV26" s="6" t="n"/>
      <c r="CW26" s="79" t="n"/>
      <c r="CX26" s="18" t="n"/>
      <c r="CY26" s="79" t="n"/>
      <c r="CZ26" s="79" t="n"/>
      <c r="DA26" s="79" t="n"/>
      <c r="DB26" s="79" t="n"/>
      <c r="DC26" s="79" t="n"/>
      <c r="DD26" s="79" t="n"/>
      <c r="DE26" s="79" t="n"/>
      <c r="DF26" s="79" t="n"/>
      <c r="DG26" s="18" t="n"/>
      <c r="DH26" s="19">
        <f>IF(COUNTA(CD26:DG26)=0, "", SUMPRODUCT(--ISNUMBER(SEARCH("m", CD26:DG26))))</f>
        <v/>
      </c>
      <c r="DI26" s="6">
        <f>IF(COUNTA(CD26:DG26)=0, "", COUNTA(CD26:DG26) - SUMPRODUCT(--ISNUMBER(SEARCH("m", CD26:DG26))))</f>
        <v/>
      </c>
      <c r="DJ26" s="79" t="n"/>
      <c r="DK26" s="6" t="n"/>
      <c r="DL26" s="79" t="n"/>
      <c r="DM26" s="6" t="n"/>
      <c r="DN26" s="79" t="n"/>
      <c r="DO26" s="6" t="n"/>
      <c r="DP26" s="79" t="n"/>
      <c r="DQ26" s="6" t="n"/>
      <c r="DR26" s="79" t="n"/>
      <c r="DS26" s="18" t="n"/>
      <c r="DT26" s="79" t="n"/>
      <c r="DU26" s="79" t="n"/>
      <c r="DV26" s="79" t="n"/>
      <c r="DW26" s="79" t="n"/>
      <c r="DX26" s="79" t="n"/>
      <c r="DY26" s="79" t="n"/>
      <c r="DZ26" s="79" t="n"/>
      <c r="EA26" s="79" t="n"/>
      <c r="EB26" s="18" t="n"/>
      <c r="EC26" s="19" t="n"/>
      <c r="ED26" s="20">
        <f>IFERROR(ROUND(AVERAGE(DJ26,DL26,DN26,DP26,DR26,DT26,DV26,DX26,DZ26,EB26), 2), "")</f>
        <v/>
      </c>
      <c r="EE26" s="79" t="n"/>
      <c r="EF26" s="6" t="n"/>
      <c r="EG26" s="79" t="n"/>
      <c r="EH26" s="6" t="n"/>
      <c r="EI26" s="79" t="n"/>
      <c r="EJ26" s="6" t="n"/>
      <c r="EK26" s="79" t="n"/>
      <c r="EL26" s="6" t="n"/>
      <c r="EM26" s="79" t="n"/>
      <c r="EN26" s="18" t="n"/>
      <c r="EO26" s="79" t="n"/>
      <c r="EP26" s="79" t="n"/>
      <c r="EQ26" s="79" t="n"/>
      <c r="ER26" s="79" t="n"/>
      <c r="ES26" s="79" t="n"/>
      <c r="ET26" s="79" t="n"/>
      <c r="EU26" s="79" t="n"/>
      <c r="EV26" s="79" t="n"/>
      <c r="EW26" s="18" t="n"/>
      <c r="EX26" s="19" t="n"/>
      <c r="EY26" s="6" t="n"/>
      <c r="EZ26" s="79" t="n"/>
      <c r="FA26" s="6" t="n"/>
      <c r="FB26" s="79" t="n"/>
      <c r="FC26" s="6" t="n"/>
      <c r="FD26" s="79" t="n"/>
      <c r="FE26" s="6" t="n"/>
      <c r="FF26" s="79" t="n"/>
      <c r="FG26" s="6" t="n"/>
      <c r="FH26" s="79" t="n"/>
      <c r="FI26" s="18">
        <f>IF(COUNTA(EE26:FH26)=0, "", SUMPRODUCT(--ISNUMBER(SEARCH("m", EE26:FH26))))</f>
        <v/>
      </c>
      <c r="FJ26" s="79">
        <f>IF(COUNTA(EE26:FH26)=0, "", COUNTA(EE26:FH26) - SUMPRODUCT(--ISNUMBER(SEARCH("m", EE26:FH26))))</f>
        <v/>
      </c>
      <c r="FK26" s="79" t="n"/>
      <c r="FL26" s="79" t="n"/>
      <c r="FM26" s="79" t="n"/>
      <c r="FN26" s="79" t="n"/>
      <c r="FO26" s="79" t="n"/>
      <c r="FP26" s="79" t="n"/>
      <c r="FQ26" s="79" t="n"/>
      <c r="FR26" s="18" t="n"/>
      <c r="FS26" s="19" t="n"/>
      <c r="FT26" s="6" t="n"/>
      <c r="FU26" s="79" t="n"/>
      <c r="FV26" s="6" t="n"/>
      <c r="FW26" s="79" t="n"/>
      <c r="FX26" s="6" t="n"/>
      <c r="FY26" s="79" t="n"/>
      <c r="FZ26" s="6" t="n"/>
      <c r="GA26" s="79" t="n"/>
      <c r="GB26" s="6" t="n"/>
      <c r="GC26" s="79" t="n"/>
      <c r="GD26" s="18" t="n"/>
      <c r="GE26" s="80">
        <f>IFERROR(ROUND(AVERAGE(FK26,FM26,FO26,FQ26,FS26,FU26,FW26,FY26,GA26,GC26), 2), "")</f>
        <v/>
      </c>
      <c r="GF26" s="79" t="n"/>
      <c r="GG26" s="79" t="n"/>
      <c r="GH26" s="79" t="n"/>
      <c r="GI26" s="79" t="n"/>
      <c r="GJ26" s="79" t="n"/>
      <c r="GK26" s="79" t="n"/>
      <c r="GL26" s="79" t="n"/>
      <c r="GM26" s="18" t="n"/>
      <c r="GN26" s="19" t="n"/>
      <c r="GO26" s="6" t="n"/>
      <c r="GP26" s="79" t="n"/>
      <c r="GQ26" s="6" t="n"/>
      <c r="GR26" s="79" t="n"/>
      <c r="GS26" s="6" t="n"/>
      <c r="GT26" s="79" t="n"/>
      <c r="GU26" s="6" t="n"/>
      <c r="GV26" s="79" t="n"/>
      <c r="GW26" s="6" t="n"/>
      <c r="GX26" s="79" t="n"/>
      <c r="GY26" s="18" t="n"/>
      <c r="GZ26" s="79" t="n"/>
      <c r="HA26" s="79" t="n"/>
      <c r="HB26" s="79" t="n"/>
      <c r="HC26" s="79" t="n"/>
      <c r="HD26" s="79" t="n"/>
      <c r="HE26" s="79" t="n"/>
      <c r="HF26" s="79" t="n"/>
      <c r="HG26" s="79" t="n"/>
      <c r="HH26" s="18" t="n"/>
      <c r="HI26" s="19" t="n"/>
      <c r="HJ26" s="6">
        <f>IF(COUNTA(GF26:HI26)=0, "", SUMPRODUCT(--ISNUMBER(SEARCH("m", GF26:HI26))))</f>
        <v/>
      </c>
      <c r="HK26" s="79">
        <f>IF(COUNTA(GF26:HI26)=0, "", COUNTA(GF26:HI26) - SUMPRODUCT(--ISNUMBER(SEARCH("m", GF26:HI26))))</f>
        <v/>
      </c>
      <c r="HL26" s="6" t="n"/>
      <c r="HM26" s="79" t="n"/>
      <c r="HN26" s="6" t="n"/>
      <c r="HO26" s="79" t="n"/>
      <c r="HP26" s="6" t="n"/>
      <c r="HQ26" s="79" t="n"/>
      <c r="HR26" s="6" t="n"/>
      <c r="HS26" s="79" t="n"/>
      <c r="HT26" s="18" t="n"/>
      <c r="HU26" s="79" t="n"/>
      <c r="HV26" s="79" t="n"/>
      <c r="HW26" s="79" t="n"/>
      <c r="HX26" s="79" t="n"/>
      <c r="HY26" s="79" t="n"/>
      <c r="HZ26" s="79" t="n"/>
      <c r="IA26" s="79" t="n"/>
      <c r="IB26" s="79" t="n"/>
      <c r="IC26" s="18" t="n"/>
      <c r="ID26" s="19" t="n"/>
      <c r="IE26" s="6" t="n"/>
      <c r="IF26" s="80">
        <f>IFERROR(ROUND(AVERAGE(HL26,HN26,HP26,HR26,HT26,HV26,HX26,HZ26,IB26,ID26), 2), "")</f>
        <v/>
      </c>
      <c r="IG26" s="6" t="n"/>
      <c r="IH26" s="79" t="n"/>
      <c r="II26" s="6" t="n"/>
      <c r="IJ26" s="79" t="n"/>
      <c r="IK26" s="6" t="n"/>
      <c r="IL26" s="79" t="n"/>
      <c r="IM26" s="6" t="n"/>
      <c r="IN26" s="79" t="n"/>
      <c r="IO26" s="18" t="n"/>
      <c r="IP26" s="79" t="n"/>
      <c r="IQ26" s="79" t="n"/>
      <c r="IR26" s="79" t="n"/>
      <c r="IS26" s="79" t="n"/>
      <c r="IT26" s="79" t="n"/>
      <c r="IU26" s="79" t="n"/>
      <c r="IV26" s="79" t="n"/>
      <c r="IW26" s="79" t="n"/>
      <c r="IX26" s="18" t="n"/>
      <c r="IY26" s="19" t="n"/>
      <c r="IZ26" s="6" t="n"/>
      <c r="JA26" s="79" t="n"/>
      <c r="JB26" s="6" t="n"/>
      <c r="JC26" s="79" t="n"/>
      <c r="JD26" s="6" t="n"/>
      <c r="JE26" s="79" t="n"/>
      <c r="JF26" s="6" t="n"/>
      <c r="JG26" s="79" t="n"/>
      <c r="JH26" s="6" t="n"/>
      <c r="JI26" s="79" t="n"/>
      <c r="JJ26" s="18" t="n"/>
      <c r="JK26" s="79">
        <f>IF(COUNTA(IG26:JJ26)=0, "", SUMPRODUCT(--ISNUMBER(SEARCH("m", IG26:JJ26))))</f>
        <v/>
      </c>
      <c r="JL26" s="79">
        <f>IF(COUNTA(IG26:JJ26)=0, "", COUNTA(IG26:JJ26) - SUMPRODUCT(--ISNUMBER(SEARCH("m", IG26:JJ26))))</f>
        <v/>
      </c>
      <c r="JM26" s="79" t="n"/>
      <c r="JN26" s="79" t="n"/>
      <c r="JO26" s="79" t="n"/>
      <c r="JP26" s="79" t="n"/>
      <c r="JQ26" s="79" t="n"/>
      <c r="JR26" s="79" t="n"/>
      <c r="JS26" s="18" t="n"/>
      <c r="JT26" s="19" t="n"/>
      <c r="JU26" s="6" t="n"/>
      <c r="JV26" s="79" t="n"/>
      <c r="JW26" s="6" t="n"/>
      <c r="JX26" s="79" t="n"/>
      <c r="JY26" s="6" t="n"/>
      <c r="JZ26" s="79" t="n"/>
      <c r="KA26" s="6" t="n"/>
      <c r="KB26" s="79" t="n"/>
      <c r="KC26" s="6" t="n"/>
      <c r="KD26" s="79" t="n"/>
      <c r="KE26" s="18" t="n"/>
      <c r="KF26" s="79" t="n"/>
      <c r="KG26" s="80">
        <f>IFERROR(ROUND(AVERAGE(JM26,JO26,JQ26,JS26,JU26,JW26,JY26,KA26,KC26,KE26), 2), "")</f>
        <v/>
      </c>
      <c r="KH26" s="79" t="n"/>
      <c r="KI26" s="79" t="n"/>
      <c r="KJ26" s="79" t="n"/>
      <c r="KK26" s="79" t="n"/>
      <c r="KL26" s="79" t="n"/>
      <c r="KM26" s="79" t="n"/>
      <c r="KN26" s="18" t="n"/>
      <c r="KO26" s="19" t="n"/>
      <c r="KP26" s="6" t="n"/>
      <c r="KQ26" s="6" t="n"/>
      <c r="KR26" s="6" t="n"/>
      <c r="KS26" s="6" t="n"/>
      <c r="KT26" s="6" t="n"/>
      <c r="KU26" s="6" t="n"/>
      <c r="KV26" s="6" t="n"/>
      <c r="KW26" s="6" t="n"/>
      <c r="KX26" s="6" t="n"/>
      <c r="KY26" s="6" t="n"/>
      <c r="KZ26" s="6" t="n"/>
      <c r="LA26" s="6" t="n"/>
      <c r="LB26" s="6" t="n"/>
      <c r="LC26" s="6" t="n"/>
      <c r="LD26" s="6" t="n"/>
      <c r="LE26" s="6" t="n"/>
      <c r="LF26" s="6" t="n"/>
      <c r="LG26" s="6" t="n"/>
      <c r="LH26" s="6" t="n"/>
      <c r="LI26" s="6" t="n"/>
      <c r="LJ26" s="6" t="n"/>
      <c r="LK26" s="6" t="n"/>
      <c r="LL26" s="6">
        <f>IF(COUNTA(KH26:LK26)=0, "", SUMPRODUCT(--ISNUMBER(SEARCH("m", KH26:LK26))))</f>
        <v/>
      </c>
      <c r="LM26" s="6">
        <f>IF(COUNTA(KH26:LK26)=0, "", COUNTA(KH26:LK26) - SUMPRODUCT(--ISNUMBER(SEARCH("m", KH26:LK26))))</f>
        <v/>
      </c>
      <c r="LN26" s="6" t="n"/>
      <c r="LO26" s="6" t="n"/>
      <c r="LP26" s="6" t="n"/>
      <c r="LQ26" s="6" t="n"/>
      <c r="LR26" s="6" t="n"/>
      <c r="LS26" s="6" t="n"/>
      <c r="LT26" s="6" t="n"/>
      <c r="LU26" s="6" t="n"/>
      <c r="LV26" s="6" t="n"/>
      <c r="LW26" s="6" t="n"/>
      <c r="LX26" s="6" t="n"/>
      <c r="LY26" s="6" t="n"/>
      <c r="LZ26" s="6" t="n"/>
      <c r="MA26" s="6" t="n"/>
      <c r="MB26" s="6" t="n"/>
      <c r="MC26" s="6" t="n"/>
      <c r="MD26" s="6" t="n"/>
      <c r="ME26" s="6" t="n"/>
      <c r="MF26" s="6" t="n"/>
      <c r="MG26" s="6" t="n"/>
      <c r="MH26" s="20">
        <f>IFERROR(ROUND(AVERAGE(LN26,LP26,LR26,LT26,LV26,LX26,LZ26,MB26,MD26,MF26), 2), "")</f>
        <v/>
      </c>
      <c r="MI26" s="6" t="n"/>
      <c r="MJ26" s="6" t="n"/>
      <c r="MK26" s="6" t="n"/>
      <c r="ML26" s="6" t="n"/>
      <c r="MM26" s="6" t="n"/>
      <c r="MN26" s="6" t="n"/>
      <c r="MO26" s="6" t="n"/>
      <c r="MP26" s="6" t="n"/>
      <c r="MQ26" s="6" t="n"/>
      <c r="MR26" s="6" t="n"/>
      <c r="MS26" s="6" t="n"/>
      <c r="MT26" s="6" t="n"/>
      <c r="MU26" s="6" t="n"/>
      <c r="MV26" s="6" t="n"/>
      <c r="MW26" s="6" t="n"/>
      <c r="MX26" s="6" t="n"/>
      <c r="MY26" s="6" t="n"/>
      <c r="MZ26" s="6" t="n"/>
      <c r="NA26" s="6" t="n"/>
      <c r="NB26" s="6" t="n"/>
      <c r="NC26" s="6" t="n"/>
      <c r="ND26" s="6" t="n"/>
      <c r="NE26" s="6" t="n"/>
      <c r="NF26" s="6" t="n"/>
      <c r="NG26" s="6" t="n"/>
      <c r="NH26" s="6" t="n"/>
      <c r="NI26" s="6" t="n"/>
      <c r="NJ26" s="6" t="n"/>
      <c r="NK26" s="6" t="n"/>
      <c r="NL26" s="6" t="n"/>
      <c r="NM26" s="6">
        <f>IF(COUNTA(MI26:NL26)=0, "", SUMPRODUCT(--ISNUMBER(SEARCH("m", MI26:NL26))))</f>
        <v/>
      </c>
      <c r="NN26" s="6">
        <f>IF(COUNTA(MI26:NL26)=0, "", COUNTA(MI26:NL26) - SUMPRODUCT(--ISNUMBER(SEARCH("m", MI26:NL26))))</f>
        <v/>
      </c>
      <c r="NO26" s="6" t="n"/>
      <c r="NP26" s="6" t="n"/>
      <c r="NQ26" s="6" t="n"/>
      <c r="NR26" s="6" t="n"/>
      <c r="NS26" s="6" t="n"/>
      <c r="NT26" s="6" t="n"/>
      <c r="NU26" s="6" t="n"/>
      <c r="NV26" s="6" t="n"/>
      <c r="NW26" s="6" t="n"/>
      <c r="NX26" s="6" t="n"/>
      <c r="NY26" s="6" t="n"/>
      <c r="NZ26" s="6" t="n"/>
      <c r="OA26" s="6" t="n"/>
      <c r="OB26" s="6" t="n"/>
      <c r="OC26" s="6" t="n"/>
      <c r="OD26" s="6" t="n"/>
      <c r="OE26" s="6" t="n"/>
      <c r="OF26" s="6" t="n"/>
      <c r="OG26" s="6" t="n"/>
      <c r="OH26" s="6" t="n"/>
      <c r="OI26" s="20">
        <f>IFERROR(ROUND(AVERAGE(NO26,NQ26,NS26,NU26,NW26,NY26,OA26,OC26,OE26,OG26), 2), "")</f>
        <v/>
      </c>
      <c r="OJ26" s="6" t="n"/>
      <c r="OK26" s="6" t="n"/>
      <c r="OL26" s="6" t="n"/>
      <c r="OM26" s="6" t="n"/>
      <c r="ON26" s="6" t="n"/>
      <c r="OO26" s="6" t="n"/>
      <c r="OP26" s="6" t="n"/>
      <c r="OQ26" s="6" t="n"/>
      <c r="OR26" s="6" t="n"/>
      <c r="OS26" s="6" t="n"/>
      <c r="OT26" s="6" t="n"/>
      <c r="OU26" s="6" t="n"/>
      <c r="OV26" s="6" t="n"/>
      <c r="OW26" s="6" t="n"/>
      <c r="OX26" s="6" t="n"/>
      <c r="OY26" s="6" t="n"/>
      <c r="OZ26" s="6" t="n"/>
      <c r="PA26" s="6" t="n"/>
      <c r="PB26" s="6" t="n"/>
      <c r="PC26" s="6" t="n"/>
      <c r="PD26" s="6" t="n"/>
      <c r="PE26" s="6" t="n"/>
      <c r="PF26" s="6" t="n"/>
      <c r="PG26" s="6" t="n"/>
      <c r="PH26" s="6" t="n"/>
      <c r="PI26" s="6" t="n"/>
      <c r="PJ26" s="6" t="n"/>
      <c r="PK26" s="6" t="n"/>
      <c r="PL26" s="6" t="n"/>
      <c r="PM26" s="6" t="n"/>
      <c r="PN26" s="6">
        <f>IF(COUNTA(OJ26:PM26)=0, "", SUMPRODUCT(--ISNUMBER(SEARCH("m", OJ26:PM26))))</f>
        <v/>
      </c>
      <c r="PO26" s="6">
        <f>IF(COUNTA(OJ26:PM26)=0, "", COUNTA(OJ26:PM26) - SUMPRODUCT(--ISNUMBER(SEARCH("m", OJ26:PM26))))</f>
        <v/>
      </c>
      <c r="PP26" s="6" t="n"/>
      <c r="PQ26" s="6" t="n"/>
      <c r="PR26" s="6" t="n"/>
      <c r="PS26" s="6" t="n"/>
      <c r="PT26" s="6" t="n"/>
      <c r="PU26" s="6" t="n"/>
      <c r="PV26" s="6" t="n"/>
      <c r="PW26" s="6" t="n"/>
      <c r="PX26" s="6" t="n"/>
      <c r="PY26" s="6" t="n"/>
      <c r="PZ26" s="6" t="n"/>
      <c r="QA26" s="6" t="n"/>
      <c r="QB26" s="6" t="n"/>
      <c r="QC26" s="6" t="n"/>
      <c r="QD26" s="6" t="n"/>
      <c r="QE26" s="6" t="n"/>
      <c r="QF26" s="6" t="n"/>
      <c r="QG26" s="6" t="n"/>
      <c r="QH26" s="6" t="n"/>
      <c r="QI26" s="6" t="n"/>
      <c r="QJ26" s="20">
        <f>IFERROR(ROUND(AVERAGE(PP26,PR26,PT26,PV26,PX26,PZ26,QB26,QD26,QF26,QH26), 2), "")</f>
        <v/>
      </c>
      <c r="QK26" s="6" t="n"/>
      <c r="QL26" s="6" t="n"/>
      <c r="QM26" s="6" t="n"/>
      <c r="QN26" s="6" t="n"/>
      <c r="QO26" s="6" t="n"/>
      <c r="QP26" s="6" t="n"/>
      <c r="QQ26" s="6" t="n"/>
      <c r="QR26" s="6" t="n"/>
      <c r="QS26" s="6" t="n"/>
      <c r="QT26" s="6" t="n"/>
      <c r="QU26" s="6" t="n"/>
      <c r="QV26" s="6" t="n"/>
      <c r="QW26" s="6" t="n"/>
      <c r="QX26" s="6" t="n"/>
      <c r="QY26" s="6" t="n"/>
      <c r="QZ26" s="6" t="n"/>
      <c r="RA26" s="6" t="n"/>
      <c r="RB26" s="6" t="n"/>
      <c r="RC26" s="6" t="n"/>
      <c r="RD26" s="6" t="n"/>
      <c r="RE26" s="6" t="n"/>
      <c r="RF26" s="6" t="n"/>
      <c r="RG26" s="6" t="n"/>
      <c r="RH26" s="6" t="n"/>
      <c r="RI26" s="6" t="n"/>
      <c r="RJ26" s="6" t="n"/>
      <c r="RK26" s="6" t="n"/>
      <c r="RL26" s="6" t="n"/>
      <c r="RM26" s="6" t="n"/>
      <c r="RN26" s="6" t="n"/>
      <c r="RO26" s="6">
        <f>IF(COUNTA(QK26:RN26)=0, "", SUMPRODUCT(--ISNUMBER(SEARCH("m", QK26:RN26))))</f>
        <v/>
      </c>
      <c r="RP26" s="6">
        <f>IF(COUNTA(QK26:RN26)=0, "", COUNTA(QK26:RN26) - SUMPRODUCT(--ISNUMBER(SEARCH("m", QK26:RN26))))</f>
        <v/>
      </c>
      <c r="RQ26" s="6" t="n"/>
      <c r="RR26" s="6" t="n"/>
      <c r="RS26" s="6" t="n"/>
      <c r="RT26" s="6" t="n"/>
      <c r="RU26" s="6" t="n"/>
      <c r="RV26" s="6" t="n"/>
      <c r="RW26" s="6" t="n"/>
      <c r="RX26" s="6" t="n"/>
      <c r="RY26" s="6" t="n"/>
      <c r="RZ26" s="6" t="n"/>
      <c r="SA26" s="6" t="n"/>
      <c r="SB26" s="6" t="n"/>
      <c r="SC26" s="6" t="n"/>
      <c r="SD26" s="6" t="n"/>
      <c r="SE26" s="6" t="n"/>
      <c r="SF26" s="6" t="n"/>
      <c r="SG26" s="6" t="n"/>
      <c r="SH26" s="6" t="n"/>
      <c r="SI26" s="6" t="n"/>
      <c r="SJ26" s="6" t="n"/>
      <c r="SK26" s="20">
        <f>IFERROR(ROUND(AVERAGE(RQ26,RS26,RU26,RW26,RY26,SA26,SC26,SE26,SG26,SI26), 2), "")</f>
        <v/>
      </c>
      <c r="SL26" s="6" t="n"/>
      <c r="SM26" s="6" t="n"/>
      <c r="SN26" s="6" t="n"/>
      <c r="SO26" s="6" t="n"/>
      <c r="SP26" s="6" t="n"/>
      <c r="SQ26" s="6" t="n"/>
      <c r="SR26" s="6" t="n"/>
      <c r="SS26" s="6" t="n"/>
      <c r="ST26" s="6" t="n"/>
      <c r="SU26" s="6" t="n"/>
      <c r="SV26" s="6" t="n"/>
      <c r="SW26" s="6" t="n"/>
      <c r="SX26" s="6" t="n"/>
      <c r="SY26" s="6" t="n"/>
      <c r="SZ26" s="6" t="n"/>
      <c r="TA26" s="6" t="n"/>
      <c r="TB26" s="6" t="n"/>
      <c r="TC26" s="6" t="n"/>
      <c r="TD26" s="6" t="n"/>
      <c r="TE26" s="6" t="n"/>
      <c r="TF26" s="6" t="n"/>
      <c r="TG26" s="6" t="n"/>
      <c r="TH26" s="6" t="n"/>
      <c r="TI26" s="6" t="n"/>
      <c r="TJ26" s="6" t="n"/>
      <c r="TK26" s="6" t="n"/>
      <c r="TL26" s="6" t="n"/>
      <c r="TM26" s="6" t="n"/>
      <c r="TN26" s="6" t="n"/>
      <c r="TO26" s="6" t="n"/>
      <c r="TP26" s="6">
        <f>IF(COUNTA(SL26:TO26)=0, "", SUMPRODUCT(--ISNUMBER(SEARCH("m", SL26:TO26))))</f>
        <v/>
      </c>
      <c r="TQ26" s="6">
        <f>IF(COUNTA(SL26:TO26)=0, "", COUNTA(SL26:TO26) - SUMPRODUCT(--ISNUMBER(SEARCH("m", SL26:TO26))))</f>
        <v/>
      </c>
      <c r="TR26" s="6" t="n"/>
      <c r="TS26" s="6" t="n"/>
      <c r="TT26" s="6" t="n"/>
      <c r="TU26" s="6" t="n"/>
      <c r="TV26" s="6" t="n"/>
      <c r="TW26" s="6" t="n"/>
      <c r="TX26" s="6" t="n"/>
      <c r="TY26" s="6" t="n"/>
      <c r="TZ26" s="6" t="n"/>
      <c r="UA26" s="6" t="n"/>
      <c r="UB26" s="6" t="n"/>
      <c r="UC26" s="6" t="n"/>
      <c r="UD26" s="6" t="n"/>
      <c r="UE26" s="6" t="n"/>
      <c r="UF26" s="6" t="n"/>
      <c r="UG26" s="6" t="n"/>
      <c r="UH26" s="6" t="n"/>
      <c r="UI26" s="6" t="n"/>
      <c r="UJ26" s="6" t="n"/>
      <c r="UK26" s="6" t="n"/>
      <c r="UL26" s="20">
        <f>IFERROR(ROUND(AVERAGE(TR26,TT26,TV26,TX26,TZ26,UB26,UD26,UF26,UH26,UJ26), 2), "")</f>
        <v/>
      </c>
      <c r="UM26" s="6" t="n"/>
      <c r="UN26" s="6" t="n"/>
      <c r="UO26" s="6" t="n"/>
      <c r="UP26" s="6" t="n"/>
      <c r="UQ26" s="6" t="n"/>
      <c r="UR26" s="6" t="n"/>
      <c r="US26" s="6" t="n"/>
      <c r="UT26" s="6" t="n"/>
      <c r="UU26" s="6" t="n"/>
      <c r="UV26" s="6" t="n"/>
      <c r="UW26" s="6" t="n"/>
      <c r="UX26" s="6" t="n"/>
      <c r="UY26" s="6" t="n"/>
      <c r="UZ26" s="6" t="n"/>
      <c r="VA26" s="6" t="n"/>
      <c r="VB26" s="6" t="n"/>
      <c r="VC26" s="6" t="n"/>
      <c r="VD26" s="6" t="n"/>
      <c r="VE26" s="6" t="n"/>
      <c r="VF26" s="6" t="n"/>
      <c r="VG26" s="6" t="n"/>
      <c r="VH26" s="6" t="n"/>
      <c r="VI26" s="6" t="n"/>
      <c r="VJ26" s="6" t="n"/>
      <c r="VK26" s="6" t="n"/>
      <c r="VL26" s="6" t="n"/>
      <c r="VM26" s="6" t="n"/>
      <c r="VN26" s="6" t="n"/>
      <c r="VO26" s="6" t="n"/>
      <c r="VP26" s="6" t="n"/>
      <c r="VQ26" s="6">
        <f>IF(COUNTA(UM26:VP26)=0, "", SUMPRODUCT(--ISNUMBER(SEARCH("m", UM26:VP26))))</f>
        <v/>
      </c>
      <c r="VR26" s="6">
        <f>IF(COUNTA(UM26:VP26)=0, "", COUNTA(UM26:VP26) - SUMPRODUCT(--ISNUMBER(SEARCH("m", UM26:VP26))))</f>
        <v/>
      </c>
      <c r="VS26" s="6" t="n"/>
      <c r="VT26" s="6" t="n"/>
      <c r="VU26" s="6" t="n"/>
      <c r="VV26" s="6" t="n"/>
      <c r="VW26" s="6" t="n"/>
      <c r="VX26" s="6" t="n"/>
      <c r="VY26" s="6" t="n"/>
      <c r="VZ26" s="6" t="n"/>
      <c r="WA26" s="6" t="n"/>
      <c r="WB26" s="6" t="n"/>
      <c r="WC26" s="6" t="n"/>
      <c r="WD26" s="6" t="n"/>
      <c r="WE26" s="6" t="n"/>
      <c r="WF26" s="6" t="n"/>
      <c r="WG26" s="6" t="n"/>
      <c r="WH26" s="6" t="n"/>
      <c r="WI26" s="6" t="n"/>
      <c r="WJ26" s="6" t="n"/>
      <c r="WK26" s="6" t="n"/>
      <c r="WL26" s="6" t="n"/>
      <c r="WM26" s="20">
        <f>IFERROR(ROUND(AVERAGE(VS26,VU26,VW26,VY26,WA26,WC26,WE26,WG26,WI26,WK26), 2), "")</f>
        <v/>
      </c>
      <c r="WN26" s="6" t="n"/>
      <c r="WO26" s="6" t="n"/>
      <c r="WP26" s="6" t="n"/>
      <c r="WQ26" s="6" t="n"/>
      <c r="WR26" s="6" t="n"/>
      <c r="WS26" s="6" t="n"/>
      <c r="WT26" s="6" t="n"/>
      <c r="WU26" s="6" t="n"/>
      <c r="WV26" s="6" t="n"/>
      <c r="WW26" s="6" t="n"/>
      <c r="WX26" s="6" t="n"/>
      <c r="WY26" s="6" t="n"/>
      <c r="WZ26" s="6" t="n"/>
      <c r="XA26" s="6" t="n"/>
      <c r="XB26" s="6" t="n"/>
      <c r="XC26" s="6" t="n"/>
      <c r="XD26" s="6" t="n"/>
      <c r="XE26" s="6" t="n"/>
      <c r="XF26" s="6" t="n"/>
      <c r="XG26" s="6" t="n"/>
      <c r="XH26" s="6" t="n"/>
      <c r="XI26" s="6" t="n"/>
      <c r="XJ26" s="6" t="n"/>
      <c r="XK26" s="6" t="n"/>
      <c r="XL26" s="6" t="n"/>
      <c r="XM26" s="6" t="n"/>
      <c r="XN26" s="6" t="n"/>
      <c r="XO26" s="6" t="n"/>
      <c r="XP26" s="6" t="n"/>
      <c r="XQ26" s="6" t="n"/>
      <c r="XR26" s="6">
        <f>IF(COUNTA(WN26:XQ26)=0, "", SUMPRODUCT(--ISNUMBER(SEARCH("m", WN26:XQ26))))</f>
        <v/>
      </c>
      <c r="XS26" s="6">
        <f>IF(COUNTA(WN26:XQ26)=0, "", COUNTA(WN26:XQ26) - SUMPRODUCT(--ISNUMBER(SEARCH("m", WN26:XQ26))))</f>
        <v/>
      </c>
      <c r="XT26" s="6" t="n"/>
      <c r="XU26" s="6" t="n"/>
      <c r="XV26" s="6" t="n"/>
      <c r="XW26" s="6" t="n"/>
      <c r="XX26" s="6" t="n"/>
      <c r="XY26" s="6" t="n"/>
      <c r="XZ26" s="6" t="n"/>
      <c r="YA26" s="6" t="n"/>
      <c r="YB26" s="6" t="n"/>
      <c r="YC26" s="6" t="n"/>
      <c r="YD26" s="6" t="n"/>
      <c r="YE26" s="6" t="n"/>
      <c r="YF26" s="6" t="n"/>
      <c r="YG26" s="6" t="n"/>
      <c r="YH26" s="6" t="n"/>
      <c r="YI26" s="6" t="n"/>
      <c r="YJ26" s="6" t="n"/>
      <c r="YK26" s="6" t="n"/>
      <c r="YL26" s="6" t="n"/>
      <c r="YM26" s="6" t="n"/>
      <c r="YN26" s="20">
        <f>IFERROR(ROUND(AVERAGE(XT26,XV26,XX26,XZ26,YB26,YD26,YF26,YH26,YJ26,YL26), 2), "")</f>
        <v/>
      </c>
      <c r="YO26" s="6" t="n"/>
      <c r="YP26" s="6" t="n"/>
      <c r="YQ26" s="6" t="n"/>
      <c r="YR26" s="6" t="n"/>
      <c r="YS26" s="6" t="n"/>
      <c r="YT26" s="6" t="n"/>
      <c r="YU26" s="6" t="n"/>
      <c r="YV26" s="6" t="n"/>
      <c r="YW26" s="6" t="n"/>
      <c r="YX26" s="6" t="n"/>
      <c r="YY26" s="6" t="n"/>
      <c r="YZ26" s="6" t="n"/>
      <c r="ZA26" s="6" t="n"/>
      <c r="ZB26" s="6" t="n"/>
      <c r="ZC26" s="6" t="n"/>
      <c r="ZD26" s="6" t="n"/>
      <c r="ZE26" s="6" t="n"/>
      <c r="ZF26" s="6" t="n"/>
      <c r="ZG26" s="6" t="n"/>
      <c r="ZH26" s="6" t="n"/>
      <c r="ZI26" s="6" t="n"/>
      <c r="ZJ26" s="6" t="n"/>
      <c r="ZK26" s="6" t="n"/>
      <c r="ZL26" s="6" t="n"/>
      <c r="ZM26" s="6" t="n"/>
      <c r="ZN26" s="6" t="n"/>
      <c r="ZO26" s="6" t="n"/>
      <c r="ZP26" s="6" t="n"/>
      <c r="ZQ26" s="6" t="n"/>
      <c r="ZR26" s="6" t="n"/>
      <c r="ZS26" s="6">
        <f>IF(COUNTA(YO26:ZR26)=0, "", SUMPRODUCT(--ISNUMBER(SEARCH("m", YO26:ZR26))))</f>
        <v/>
      </c>
      <c r="ZT26" s="6">
        <f>IF(COUNTA(YO26:ZR26)=0, "", COUNTA(YO26:ZR26) - SUMPRODUCT(--ISNUMBER(SEARCH("m", YO26:ZR26))))</f>
        <v/>
      </c>
      <c r="ZU26" s="6" t="n"/>
      <c r="ZV26" s="6" t="n"/>
      <c r="ZW26" s="6" t="n"/>
      <c r="ZX26" s="6" t="n"/>
      <c r="ZY26" s="6" t="n"/>
      <c r="ZZ26" s="6" t="n"/>
      <c r="AAA26" s="6" t="n"/>
      <c r="AAB26" s="6" t="n"/>
      <c r="AAC26" s="6" t="n"/>
      <c r="AAD26" s="6" t="n"/>
      <c r="AAE26" s="6" t="n"/>
      <c r="AAF26" s="6" t="n"/>
      <c r="AAG26" s="6" t="n"/>
      <c r="AAH26" s="6" t="n"/>
      <c r="AAI26" s="6" t="n"/>
      <c r="AAJ26" s="6" t="n"/>
      <c r="AAK26" s="6" t="n"/>
      <c r="AAL26" s="6" t="n"/>
      <c r="AAM26" s="6" t="n"/>
      <c r="AAN26" s="6" t="n"/>
      <c r="AAO26" s="20">
        <f>IFERROR(ROUND(AVERAGE(ZU26,ZW26,ZY26,AAA26,AAC26,AAE26,AAG26,AAI26,AAK26,AAM26), 2), "")</f>
        <v/>
      </c>
      <c r="AAP26" s="6" t="n"/>
      <c r="AAQ26" s="6" t="n"/>
      <c r="AAR26" s="6" t="n"/>
      <c r="AAS26" s="6" t="n"/>
      <c r="AAT26" s="6" t="n"/>
      <c r="AAU26" s="6" t="n"/>
      <c r="AAV26" s="6" t="n"/>
      <c r="AAW26" s="6" t="n"/>
      <c r="AAX26" s="6" t="n"/>
      <c r="AAY26" s="6" t="n"/>
      <c r="AAZ26" s="6" t="n"/>
      <c r="ABA26" s="6" t="n"/>
      <c r="ABB26" s="6" t="n"/>
      <c r="ABC26" s="6" t="n"/>
      <c r="ABD26" s="6" t="n"/>
      <c r="ABE26" s="6" t="n"/>
      <c r="ABF26" s="6" t="n"/>
      <c r="ABG26" s="6" t="n"/>
      <c r="ABH26" s="6" t="n"/>
      <c r="ABI26" s="6" t="n"/>
      <c r="ABJ26" s="6" t="n"/>
      <c r="ABK26" s="6" t="n"/>
      <c r="ABL26" s="6" t="n"/>
      <c r="ABM26" s="6" t="n"/>
      <c r="ABN26" s="6" t="n"/>
      <c r="ABO26" s="6" t="n"/>
      <c r="ABP26" s="6" t="n"/>
      <c r="ABQ26" s="6" t="n"/>
      <c r="ABR26" s="6" t="n"/>
      <c r="ABS26" s="6" t="n"/>
      <c r="ABT26" s="6">
        <f>IF(COUNTA(AAP26:ABS26)=0, "", SUMPRODUCT(--ISNUMBER(SEARCH("m", AAP26:ABS26))))</f>
        <v/>
      </c>
      <c r="ABU26" s="6">
        <f>IF(COUNTA(AAP26:ABS26)=0, "", COUNTA(AAP26:ABS26) - SUMPRODUCT(--ISNUMBER(SEARCH("m", AAP26:ABS26))))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8">
        <f>IFERROR(ROUND(AVERAGE(AB27,CC27,ED27,GE27,IF27,KG27,MH27,OI27,QJ27,SK27,UL27,WM27,YN27,AAO27), 2), "")</f>
        <v/>
      </c>
      <c r="F27" s="14">
        <f>IF(SUM(BH27,DI27,FJ27,HK27,JL27,LM27,NN27,PO27,RP27,TQ27,VR27,XS27,ZT27,ABU27)=0, "", SUM(BH27,DI27,FJ27,HK27,JL27,LM27,NN27,PO27,RP27,TQ27,VR27,XS27,ZT27,ABU27))</f>
        <v/>
      </c>
      <c r="G27" s="8">
        <f>IF(SUM(BG27,DH27,FI27,HJ27,JK27,LL27,NM27,PN27,RO27,TP27,VQ27,XR27,ZS27,ABT27)=0, "", SUM(BG27,DH27,FI27,HJ27,JK27,LL27,NM27,PN27,RO27,TP27,VQ27,XR27,ZS27,ABT27))</f>
        <v/>
      </c>
      <c r="H27" s="6" t="n"/>
      <c r="I27" s="79" t="n"/>
      <c r="J27" s="6" t="n"/>
      <c r="K27" s="79" t="n"/>
      <c r="L27" s="6" t="n"/>
      <c r="M27" s="79" t="n"/>
      <c r="N27" s="6" t="n"/>
      <c r="O27" s="79" t="n"/>
      <c r="P27" s="6" t="n"/>
      <c r="Q27" s="79" t="n"/>
      <c r="R27" s="18" t="n"/>
      <c r="S27" s="79" t="n"/>
      <c r="T27" s="79" t="n"/>
      <c r="U27" s="79" t="n"/>
      <c r="V27" s="79" t="n"/>
      <c r="W27" s="79" t="n"/>
      <c r="X27" s="79" t="n"/>
      <c r="Y27" s="79" t="n"/>
      <c r="Z27" s="79" t="n"/>
      <c r="AA27" s="18" t="n"/>
      <c r="AB27" s="14">
        <f>IFERROR(ROUND(AVERAGE(H27,J27,L27,N27,P27,R27,T27,V27,X27,Z27), 2), "")</f>
        <v/>
      </c>
      <c r="AC27" s="6" t="n"/>
      <c r="AD27" s="79" t="n"/>
      <c r="AE27" s="6" t="n"/>
      <c r="AF27" s="79" t="n"/>
      <c r="AG27" s="6" t="n"/>
      <c r="AH27" s="79" t="n"/>
      <c r="AI27" s="6" t="n"/>
      <c r="AJ27" s="79" t="n"/>
      <c r="AK27" s="6" t="n"/>
      <c r="AL27" s="79" t="n"/>
      <c r="AM27" s="18" t="n"/>
      <c r="AN27" s="79" t="n"/>
      <c r="AO27" s="79" t="n"/>
      <c r="AP27" s="79" t="n"/>
      <c r="AQ27" s="79" t="n"/>
      <c r="AR27" s="79" t="n"/>
      <c r="AS27" s="79" t="n"/>
      <c r="AT27" s="79" t="n"/>
      <c r="AU27" s="79" t="n"/>
      <c r="AV27" s="18" t="n"/>
      <c r="AW27" s="19" t="n"/>
      <c r="AX27" s="6" t="n"/>
      <c r="AY27" s="79" t="n"/>
      <c r="AZ27" s="6" t="n"/>
      <c r="BA27" s="79" t="n"/>
      <c r="BB27" s="6" t="n"/>
      <c r="BC27" s="79" t="n"/>
      <c r="BD27" s="6" t="n"/>
      <c r="BE27" s="79" t="n"/>
      <c r="BF27" s="6" t="n"/>
      <c r="BG27" s="79">
        <f>IF(COUNTA(AC27:BF27)=0, "", SUMPRODUCT(--ISNUMBER(SEARCH("m", AC27:BF27))))</f>
        <v/>
      </c>
      <c r="BH27" s="18">
        <f>IF(COUNTA(AC27:BF27)=0, "", COUNTA(AC27:BF27) - SUMPRODUCT(--ISNUMBER(SEARCH("m", AC27:BF27))))</f>
        <v/>
      </c>
      <c r="BI27" s="79" t="n"/>
      <c r="BJ27" s="79" t="n"/>
      <c r="BK27" s="79" t="n"/>
      <c r="BL27" s="79" t="n"/>
      <c r="BM27" s="79" t="n"/>
      <c r="BN27" s="79" t="n"/>
      <c r="BO27" s="79" t="n"/>
      <c r="BP27" s="79" t="n"/>
      <c r="BQ27" s="18" t="n"/>
      <c r="BR27" s="19" t="n"/>
      <c r="BS27" s="6" t="n"/>
      <c r="BT27" s="79" t="n"/>
      <c r="BU27" s="6" t="n"/>
      <c r="BV27" s="79" t="n"/>
      <c r="BW27" s="6" t="n"/>
      <c r="BX27" s="79" t="n"/>
      <c r="BY27" s="6" t="n"/>
      <c r="BZ27" s="79" t="n"/>
      <c r="CA27" s="6" t="n"/>
      <c r="CB27" s="79" t="n"/>
      <c r="CC27" s="8">
        <f>IFERROR(ROUND(AVERAGE(BI27,BK27,BM27,BO27,BQ27,BS27,BU27,BW27,BY27,CA27), 2), "")</f>
        <v/>
      </c>
      <c r="CD27" s="79" t="n"/>
      <c r="CE27" s="79" t="n"/>
      <c r="CF27" s="79" t="n"/>
      <c r="CG27" s="79" t="n"/>
      <c r="CH27" s="79" t="n"/>
      <c r="CI27" s="79" t="n"/>
      <c r="CJ27" s="79" t="n"/>
      <c r="CK27" s="79" t="n"/>
      <c r="CL27" s="18" t="n"/>
      <c r="CM27" s="19" t="n"/>
      <c r="CN27" s="6" t="n"/>
      <c r="CO27" s="79" t="n"/>
      <c r="CP27" s="6" t="n"/>
      <c r="CQ27" s="79" t="n"/>
      <c r="CR27" s="6" t="n"/>
      <c r="CS27" s="79" t="n"/>
      <c r="CT27" s="6" t="n"/>
      <c r="CU27" s="79" t="n"/>
      <c r="CV27" s="6" t="n"/>
      <c r="CW27" s="79" t="n"/>
      <c r="CX27" s="18" t="n"/>
      <c r="CY27" s="79" t="n"/>
      <c r="CZ27" s="79" t="n"/>
      <c r="DA27" s="79" t="n"/>
      <c r="DB27" s="79" t="n"/>
      <c r="DC27" s="79" t="n"/>
      <c r="DD27" s="79" t="n"/>
      <c r="DE27" s="79" t="n"/>
      <c r="DF27" s="79" t="n"/>
      <c r="DG27" s="18" t="n"/>
      <c r="DH27" s="19">
        <f>IF(COUNTA(CD27:DG27)=0, "", SUMPRODUCT(--ISNUMBER(SEARCH("m", CD27:DG27))))</f>
        <v/>
      </c>
      <c r="DI27" s="6">
        <f>IF(COUNTA(CD27:DG27)=0, "", COUNTA(CD27:DG27) - SUMPRODUCT(--ISNUMBER(SEARCH("m", CD27:DG27))))</f>
        <v/>
      </c>
      <c r="DJ27" s="79" t="n"/>
      <c r="DK27" s="6" t="n"/>
      <c r="DL27" s="79" t="n"/>
      <c r="DM27" s="6" t="n"/>
      <c r="DN27" s="79" t="n"/>
      <c r="DO27" s="6" t="n"/>
      <c r="DP27" s="79" t="n"/>
      <c r="DQ27" s="6" t="n"/>
      <c r="DR27" s="79" t="n"/>
      <c r="DS27" s="18" t="n"/>
      <c r="DT27" s="79" t="n"/>
      <c r="DU27" s="79" t="n"/>
      <c r="DV27" s="79" t="n"/>
      <c r="DW27" s="79" t="n"/>
      <c r="DX27" s="79" t="n"/>
      <c r="DY27" s="79" t="n"/>
      <c r="DZ27" s="79" t="n"/>
      <c r="EA27" s="79" t="n"/>
      <c r="EB27" s="18" t="n"/>
      <c r="EC27" s="19" t="n"/>
      <c r="ED27" s="20">
        <f>IFERROR(ROUND(AVERAGE(DJ27,DL27,DN27,DP27,DR27,DT27,DV27,DX27,DZ27,EB27), 2), "")</f>
        <v/>
      </c>
      <c r="EE27" s="79" t="n"/>
      <c r="EF27" s="6" t="n"/>
      <c r="EG27" s="79" t="n"/>
      <c r="EH27" s="6" t="n"/>
      <c r="EI27" s="79" t="n"/>
      <c r="EJ27" s="6" t="n"/>
      <c r="EK27" s="79" t="n"/>
      <c r="EL27" s="6" t="n"/>
      <c r="EM27" s="79" t="n"/>
      <c r="EN27" s="18" t="n"/>
      <c r="EO27" s="79" t="n"/>
      <c r="EP27" s="79" t="n"/>
      <c r="EQ27" s="79" t="n"/>
      <c r="ER27" s="79" t="n"/>
      <c r="ES27" s="79" t="n"/>
      <c r="ET27" s="79" t="n"/>
      <c r="EU27" s="79" t="n"/>
      <c r="EV27" s="79" t="n"/>
      <c r="EW27" s="18" t="n"/>
      <c r="EX27" s="19" t="n"/>
      <c r="EY27" s="6" t="n"/>
      <c r="EZ27" s="79" t="n"/>
      <c r="FA27" s="6" t="n"/>
      <c r="FB27" s="79" t="n"/>
      <c r="FC27" s="6" t="n"/>
      <c r="FD27" s="79" t="n"/>
      <c r="FE27" s="6" t="n"/>
      <c r="FF27" s="79" t="n"/>
      <c r="FG27" s="6" t="n"/>
      <c r="FH27" s="79" t="n"/>
      <c r="FI27" s="18">
        <f>IF(COUNTA(EE27:FH27)=0, "", SUMPRODUCT(--ISNUMBER(SEARCH("m", EE27:FH27))))</f>
        <v/>
      </c>
      <c r="FJ27" s="79">
        <f>IF(COUNTA(EE27:FH27)=0, "", COUNTA(EE27:FH27) - SUMPRODUCT(--ISNUMBER(SEARCH("m", EE27:FH27))))</f>
        <v/>
      </c>
      <c r="FK27" s="79" t="n"/>
      <c r="FL27" s="79" t="n"/>
      <c r="FM27" s="79" t="n"/>
      <c r="FN27" s="79" t="n"/>
      <c r="FO27" s="79" t="n"/>
      <c r="FP27" s="79" t="n"/>
      <c r="FQ27" s="79" t="n"/>
      <c r="FR27" s="18" t="n"/>
      <c r="FS27" s="19" t="n"/>
      <c r="FT27" s="6" t="n"/>
      <c r="FU27" s="79" t="n"/>
      <c r="FV27" s="6" t="n"/>
      <c r="FW27" s="79" t="n"/>
      <c r="FX27" s="6" t="n"/>
      <c r="FY27" s="79" t="n"/>
      <c r="FZ27" s="6" t="n"/>
      <c r="GA27" s="79" t="n"/>
      <c r="GB27" s="6" t="n"/>
      <c r="GC27" s="79" t="n"/>
      <c r="GD27" s="18" t="n"/>
      <c r="GE27" s="80">
        <f>IFERROR(ROUND(AVERAGE(FK27,FM27,FO27,FQ27,FS27,FU27,FW27,FY27,GA27,GC27), 2), "")</f>
        <v/>
      </c>
      <c r="GF27" s="79" t="n"/>
      <c r="GG27" s="79" t="n"/>
      <c r="GH27" s="79" t="n"/>
      <c r="GI27" s="79" t="n"/>
      <c r="GJ27" s="79" t="n"/>
      <c r="GK27" s="79" t="n"/>
      <c r="GL27" s="79" t="n"/>
      <c r="GM27" s="18" t="n"/>
      <c r="GN27" s="19" t="n"/>
      <c r="GO27" s="6" t="n"/>
      <c r="GP27" s="79" t="n"/>
      <c r="GQ27" s="6" t="n"/>
      <c r="GR27" s="79" t="n"/>
      <c r="GS27" s="6" t="n"/>
      <c r="GT27" s="79" t="n"/>
      <c r="GU27" s="6" t="n"/>
      <c r="GV27" s="79" t="n"/>
      <c r="GW27" s="6" t="n"/>
      <c r="GX27" s="79" t="n"/>
      <c r="GY27" s="18" t="n"/>
      <c r="GZ27" s="79" t="n"/>
      <c r="HA27" s="79" t="n"/>
      <c r="HB27" s="79" t="n"/>
      <c r="HC27" s="79" t="n"/>
      <c r="HD27" s="79" t="n"/>
      <c r="HE27" s="79" t="n"/>
      <c r="HF27" s="79" t="n"/>
      <c r="HG27" s="79" t="n"/>
      <c r="HH27" s="18" t="n"/>
      <c r="HI27" s="19" t="n"/>
      <c r="HJ27" s="6">
        <f>IF(COUNTA(GF27:HI27)=0, "", SUMPRODUCT(--ISNUMBER(SEARCH("m", GF27:HI27))))</f>
        <v/>
      </c>
      <c r="HK27" s="79">
        <f>IF(COUNTA(GF27:HI27)=0, "", COUNTA(GF27:HI27) - SUMPRODUCT(--ISNUMBER(SEARCH("m", GF27:HI27))))</f>
        <v/>
      </c>
      <c r="HL27" s="6" t="n"/>
      <c r="HM27" s="79" t="n"/>
      <c r="HN27" s="6" t="n"/>
      <c r="HO27" s="79" t="n"/>
      <c r="HP27" s="6" t="n"/>
      <c r="HQ27" s="79" t="n"/>
      <c r="HR27" s="6" t="n"/>
      <c r="HS27" s="79" t="n"/>
      <c r="HT27" s="18" t="n"/>
      <c r="HU27" s="79" t="n"/>
      <c r="HV27" s="79" t="n"/>
      <c r="HW27" s="79" t="n"/>
      <c r="HX27" s="79" t="n"/>
      <c r="HY27" s="79" t="n"/>
      <c r="HZ27" s="79" t="n"/>
      <c r="IA27" s="79" t="n"/>
      <c r="IB27" s="79" t="n"/>
      <c r="IC27" s="18" t="n"/>
      <c r="ID27" s="19" t="n"/>
      <c r="IE27" s="6" t="n"/>
      <c r="IF27" s="80">
        <f>IFERROR(ROUND(AVERAGE(HL27,HN27,HP27,HR27,HT27,HV27,HX27,HZ27,IB27,ID27), 2), "")</f>
        <v/>
      </c>
      <c r="IG27" s="6" t="n"/>
      <c r="IH27" s="79" t="n"/>
      <c r="II27" s="6" t="n"/>
      <c r="IJ27" s="79" t="n"/>
      <c r="IK27" s="6" t="n"/>
      <c r="IL27" s="79" t="n"/>
      <c r="IM27" s="6" t="n"/>
      <c r="IN27" s="79" t="n"/>
      <c r="IO27" s="18" t="n"/>
      <c r="IP27" s="79" t="n"/>
      <c r="IQ27" s="79" t="n"/>
      <c r="IR27" s="79" t="n"/>
      <c r="IS27" s="79" t="n"/>
      <c r="IT27" s="79" t="n"/>
      <c r="IU27" s="79" t="n"/>
      <c r="IV27" s="79" t="n"/>
      <c r="IW27" s="79" t="n"/>
      <c r="IX27" s="18" t="n"/>
      <c r="IY27" s="19" t="n"/>
      <c r="IZ27" s="6" t="n"/>
      <c r="JA27" s="79" t="n"/>
      <c r="JB27" s="6" t="n"/>
      <c r="JC27" s="79" t="n"/>
      <c r="JD27" s="6" t="n"/>
      <c r="JE27" s="79" t="n"/>
      <c r="JF27" s="6" t="n"/>
      <c r="JG27" s="79" t="n"/>
      <c r="JH27" s="6" t="n"/>
      <c r="JI27" s="79" t="n"/>
      <c r="JJ27" s="18" t="n"/>
      <c r="JK27" s="79">
        <f>IF(COUNTA(IG27:JJ27)=0, "", SUMPRODUCT(--ISNUMBER(SEARCH("m", IG27:JJ27))))</f>
        <v/>
      </c>
      <c r="JL27" s="79">
        <f>IF(COUNTA(IG27:JJ27)=0, "", COUNTA(IG27:JJ27) - SUMPRODUCT(--ISNUMBER(SEARCH("m", IG27:JJ27))))</f>
        <v/>
      </c>
      <c r="JM27" s="79" t="n"/>
      <c r="JN27" s="79" t="n"/>
      <c r="JO27" s="79" t="n"/>
      <c r="JP27" s="79" t="n"/>
      <c r="JQ27" s="79" t="n"/>
      <c r="JR27" s="79" t="n"/>
      <c r="JS27" s="18" t="n"/>
      <c r="JT27" s="19" t="n"/>
      <c r="JU27" s="6" t="n"/>
      <c r="JV27" s="79" t="n"/>
      <c r="JW27" s="6" t="n"/>
      <c r="JX27" s="79" t="n"/>
      <c r="JY27" s="6" t="n"/>
      <c r="JZ27" s="79" t="n"/>
      <c r="KA27" s="6" t="n"/>
      <c r="KB27" s="79" t="n"/>
      <c r="KC27" s="6" t="n"/>
      <c r="KD27" s="79" t="n"/>
      <c r="KE27" s="18" t="n"/>
      <c r="KF27" s="79" t="n"/>
      <c r="KG27" s="80">
        <f>IFERROR(ROUND(AVERAGE(JM27,JO27,JQ27,JS27,JU27,JW27,JY27,KA27,KC27,KE27), 2), "")</f>
        <v/>
      </c>
      <c r="KH27" s="79" t="n"/>
      <c r="KI27" s="79" t="n"/>
      <c r="KJ27" s="79" t="n"/>
      <c r="KK27" s="79" t="n"/>
      <c r="KL27" s="79" t="n"/>
      <c r="KM27" s="79" t="n"/>
      <c r="KN27" s="18" t="n"/>
      <c r="KO27" s="19" t="n"/>
      <c r="KP27" s="6" t="n"/>
      <c r="KQ27" s="6" t="n"/>
      <c r="KR27" s="6" t="n"/>
      <c r="KS27" s="6" t="n"/>
      <c r="KT27" s="6" t="n"/>
      <c r="KU27" s="6" t="n"/>
      <c r="KV27" s="6" t="n"/>
      <c r="KW27" s="6" t="n"/>
      <c r="KX27" s="6" t="n"/>
      <c r="KY27" s="6" t="n"/>
      <c r="KZ27" s="6" t="n"/>
      <c r="LA27" s="6" t="n"/>
      <c r="LB27" s="6" t="n"/>
      <c r="LC27" s="6" t="n"/>
      <c r="LD27" s="6" t="n"/>
      <c r="LE27" s="6" t="n"/>
      <c r="LF27" s="6" t="n"/>
      <c r="LG27" s="6" t="n"/>
      <c r="LH27" s="6" t="n"/>
      <c r="LI27" s="6" t="n"/>
      <c r="LJ27" s="6" t="n"/>
      <c r="LK27" s="6" t="n"/>
      <c r="LL27" s="6">
        <f>IF(COUNTA(KH27:LK27)=0, "", SUMPRODUCT(--ISNUMBER(SEARCH("m", KH27:LK27))))</f>
        <v/>
      </c>
      <c r="LM27" s="6">
        <f>IF(COUNTA(KH27:LK27)=0, "", COUNTA(KH27:LK27) - SUMPRODUCT(--ISNUMBER(SEARCH("m", KH27:LK27))))</f>
        <v/>
      </c>
      <c r="LN27" s="6" t="n"/>
      <c r="LO27" s="6" t="n"/>
      <c r="LP27" s="6" t="n"/>
      <c r="LQ27" s="6" t="n"/>
      <c r="LR27" s="6" t="n"/>
      <c r="LS27" s="6" t="n"/>
      <c r="LT27" s="6" t="n"/>
      <c r="LU27" s="6" t="n"/>
      <c r="LV27" s="6" t="n"/>
      <c r="LW27" s="6" t="n"/>
      <c r="LX27" s="6" t="n"/>
      <c r="LY27" s="6" t="n"/>
      <c r="LZ27" s="6" t="n"/>
      <c r="MA27" s="6" t="n"/>
      <c r="MB27" s="6" t="n"/>
      <c r="MC27" s="6" t="n"/>
      <c r="MD27" s="6" t="n"/>
      <c r="ME27" s="6" t="n"/>
      <c r="MF27" s="6" t="n"/>
      <c r="MG27" s="6" t="n"/>
      <c r="MH27" s="20">
        <f>IFERROR(ROUND(AVERAGE(LN27,LP27,LR27,LT27,LV27,LX27,LZ27,MB27,MD27,MF27), 2), "")</f>
        <v/>
      </c>
      <c r="MI27" s="6" t="n"/>
      <c r="MJ27" s="6" t="n"/>
      <c r="MK27" s="6" t="n"/>
      <c r="ML27" s="6" t="n"/>
      <c r="MM27" s="6" t="n"/>
      <c r="MN27" s="6" t="n"/>
      <c r="MO27" s="6" t="n"/>
      <c r="MP27" s="6" t="n"/>
      <c r="MQ27" s="6" t="n"/>
      <c r="MR27" s="6" t="n"/>
      <c r="MS27" s="6" t="n"/>
      <c r="MT27" s="6" t="n"/>
      <c r="MU27" s="6" t="n"/>
      <c r="MV27" s="6" t="n"/>
      <c r="MW27" s="6" t="n"/>
      <c r="MX27" s="6" t="n"/>
      <c r="MY27" s="6" t="n"/>
      <c r="MZ27" s="6" t="n"/>
      <c r="NA27" s="6" t="n"/>
      <c r="NB27" s="6" t="n"/>
      <c r="NC27" s="6" t="n"/>
      <c r="ND27" s="6" t="n"/>
      <c r="NE27" s="6" t="n"/>
      <c r="NF27" s="6" t="n"/>
      <c r="NG27" s="6" t="n"/>
      <c r="NH27" s="6" t="n"/>
      <c r="NI27" s="6" t="n"/>
      <c r="NJ27" s="6" t="n"/>
      <c r="NK27" s="6" t="n"/>
      <c r="NL27" s="6" t="n"/>
      <c r="NM27" s="6">
        <f>IF(COUNTA(MI27:NL27)=0, "", SUMPRODUCT(--ISNUMBER(SEARCH("m", MI27:NL27))))</f>
        <v/>
      </c>
      <c r="NN27" s="6">
        <f>IF(COUNTA(MI27:NL27)=0, "", COUNTA(MI27:NL27) - SUMPRODUCT(--ISNUMBER(SEARCH("m", MI27:NL27))))</f>
        <v/>
      </c>
      <c r="NO27" s="6" t="n"/>
      <c r="NP27" s="6" t="n"/>
      <c r="NQ27" s="6" t="n"/>
      <c r="NR27" s="6" t="n"/>
      <c r="NS27" s="6" t="n"/>
      <c r="NT27" s="6" t="n"/>
      <c r="NU27" s="6" t="n"/>
      <c r="NV27" s="6" t="n"/>
      <c r="NW27" s="6" t="n"/>
      <c r="NX27" s="6" t="n"/>
      <c r="NY27" s="6" t="n"/>
      <c r="NZ27" s="6" t="n"/>
      <c r="OA27" s="6" t="n"/>
      <c r="OB27" s="6" t="n"/>
      <c r="OC27" s="6" t="n"/>
      <c r="OD27" s="6" t="n"/>
      <c r="OE27" s="6" t="n"/>
      <c r="OF27" s="6" t="n"/>
      <c r="OG27" s="6" t="n"/>
      <c r="OH27" s="6" t="n"/>
      <c r="OI27" s="20">
        <f>IFERROR(ROUND(AVERAGE(NO27,NQ27,NS27,NU27,NW27,NY27,OA27,OC27,OE27,OG27), 2), "")</f>
        <v/>
      </c>
      <c r="OJ27" s="6" t="n"/>
      <c r="OK27" s="6" t="n"/>
      <c r="OL27" s="6" t="n"/>
      <c r="OM27" s="6" t="n"/>
      <c r="ON27" s="6" t="n"/>
      <c r="OO27" s="6" t="n"/>
      <c r="OP27" s="6" t="n"/>
      <c r="OQ27" s="6" t="n"/>
      <c r="OR27" s="6" t="n"/>
      <c r="OS27" s="6" t="n"/>
      <c r="OT27" s="6" t="n"/>
      <c r="OU27" s="6" t="n"/>
      <c r="OV27" s="6" t="n"/>
      <c r="OW27" s="6" t="n"/>
      <c r="OX27" s="6" t="n"/>
      <c r="OY27" s="6" t="n"/>
      <c r="OZ27" s="6" t="n"/>
      <c r="PA27" s="6" t="n"/>
      <c r="PB27" s="6" t="n"/>
      <c r="PC27" s="6" t="n"/>
      <c r="PD27" s="6" t="n"/>
      <c r="PE27" s="6" t="n"/>
      <c r="PF27" s="6" t="n"/>
      <c r="PG27" s="6" t="n"/>
      <c r="PH27" s="6" t="n"/>
      <c r="PI27" s="6" t="n"/>
      <c r="PJ27" s="6" t="n"/>
      <c r="PK27" s="6" t="n"/>
      <c r="PL27" s="6" t="n"/>
      <c r="PM27" s="6" t="n"/>
      <c r="PN27" s="6">
        <f>IF(COUNTA(OJ27:PM27)=0, "", SUMPRODUCT(--ISNUMBER(SEARCH("m", OJ27:PM27))))</f>
        <v/>
      </c>
      <c r="PO27" s="6">
        <f>IF(COUNTA(OJ27:PM27)=0, "", COUNTA(OJ27:PM27) - SUMPRODUCT(--ISNUMBER(SEARCH("m", OJ27:PM27))))</f>
        <v/>
      </c>
      <c r="PP27" s="6" t="n"/>
      <c r="PQ27" s="6" t="n"/>
      <c r="PR27" s="6" t="n"/>
      <c r="PS27" s="6" t="n"/>
      <c r="PT27" s="6" t="n"/>
      <c r="PU27" s="6" t="n"/>
      <c r="PV27" s="6" t="n"/>
      <c r="PW27" s="6" t="n"/>
      <c r="PX27" s="6" t="n"/>
      <c r="PY27" s="6" t="n"/>
      <c r="PZ27" s="6" t="n"/>
      <c r="QA27" s="6" t="n"/>
      <c r="QB27" s="6" t="n"/>
      <c r="QC27" s="6" t="n"/>
      <c r="QD27" s="6" t="n"/>
      <c r="QE27" s="6" t="n"/>
      <c r="QF27" s="6" t="n"/>
      <c r="QG27" s="6" t="n"/>
      <c r="QH27" s="6" t="n"/>
      <c r="QI27" s="6" t="n"/>
      <c r="QJ27" s="20">
        <f>IFERROR(ROUND(AVERAGE(PP27,PR27,PT27,PV27,PX27,PZ27,QB27,QD27,QF27,QH27), 2), "")</f>
        <v/>
      </c>
      <c r="QK27" s="6" t="n"/>
      <c r="QL27" s="6" t="n"/>
      <c r="QM27" s="6" t="n"/>
      <c r="QN27" s="6" t="n"/>
      <c r="QO27" s="6" t="n"/>
      <c r="QP27" s="6" t="n"/>
      <c r="QQ27" s="6" t="n"/>
      <c r="QR27" s="6" t="n"/>
      <c r="QS27" s="6" t="n"/>
      <c r="QT27" s="6" t="n"/>
      <c r="QU27" s="6" t="n"/>
      <c r="QV27" s="6" t="n"/>
      <c r="QW27" s="6" t="n"/>
      <c r="QX27" s="6" t="n"/>
      <c r="QY27" s="6" t="n"/>
      <c r="QZ27" s="6" t="n"/>
      <c r="RA27" s="6" t="n"/>
      <c r="RB27" s="6" t="n"/>
      <c r="RC27" s="6" t="n"/>
      <c r="RD27" s="6" t="n"/>
      <c r="RE27" s="6" t="n"/>
      <c r="RF27" s="6" t="n"/>
      <c r="RG27" s="6" t="n"/>
      <c r="RH27" s="6" t="n"/>
      <c r="RI27" s="6" t="n"/>
      <c r="RJ27" s="6" t="n"/>
      <c r="RK27" s="6" t="n"/>
      <c r="RL27" s="6" t="n"/>
      <c r="RM27" s="6" t="n"/>
      <c r="RN27" s="6" t="n"/>
      <c r="RO27" s="6">
        <f>IF(COUNTA(QK27:RN27)=0, "", SUMPRODUCT(--ISNUMBER(SEARCH("m", QK27:RN27))))</f>
        <v/>
      </c>
      <c r="RP27" s="6">
        <f>IF(COUNTA(QK27:RN27)=0, "", COUNTA(QK27:RN27) - SUMPRODUCT(--ISNUMBER(SEARCH("m", QK27:RN27))))</f>
        <v/>
      </c>
      <c r="RQ27" s="6" t="n"/>
      <c r="RR27" s="6" t="n"/>
      <c r="RS27" s="6" t="n"/>
      <c r="RT27" s="6" t="n"/>
      <c r="RU27" s="6" t="n"/>
      <c r="RV27" s="6" t="n"/>
      <c r="RW27" s="6" t="n"/>
      <c r="RX27" s="6" t="n"/>
      <c r="RY27" s="6" t="n"/>
      <c r="RZ27" s="6" t="n"/>
      <c r="SA27" s="6" t="n"/>
      <c r="SB27" s="6" t="n"/>
      <c r="SC27" s="6" t="n"/>
      <c r="SD27" s="6" t="n"/>
      <c r="SE27" s="6" t="n"/>
      <c r="SF27" s="6" t="n"/>
      <c r="SG27" s="6" t="n"/>
      <c r="SH27" s="6" t="n"/>
      <c r="SI27" s="6" t="n"/>
      <c r="SJ27" s="6" t="n"/>
      <c r="SK27" s="20">
        <f>IFERROR(ROUND(AVERAGE(RQ27,RS27,RU27,RW27,RY27,SA27,SC27,SE27,SG27,SI27), 2), "")</f>
        <v/>
      </c>
      <c r="SL27" s="6" t="n"/>
      <c r="SM27" s="6" t="n"/>
      <c r="SN27" s="6" t="n"/>
      <c r="SO27" s="6" t="n"/>
      <c r="SP27" s="6" t="n"/>
      <c r="SQ27" s="6" t="n"/>
      <c r="SR27" s="6" t="n"/>
      <c r="SS27" s="6" t="n"/>
      <c r="ST27" s="6" t="n"/>
      <c r="SU27" s="6" t="n"/>
      <c r="SV27" s="6" t="n"/>
      <c r="SW27" s="6" t="n"/>
      <c r="SX27" s="6" t="n"/>
      <c r="SY27" s="6" t="n"/>
      <c r="SZ27" s="6" t="n"/>
      <c r="TA27" s="6" t="n"/>
      <c r="TB27" s="6" t="n"/>
      <c r="TC27" s="6" t="n"/>
      <c r="TD27" s="6" t="n"/>
      <c r="TE27" s="6" t="n"/>
      <c r="TF27" s="6" t="n"/>
      <c r="TG27" s="6" t="n"/>
      <c r="TH27" s="6" t="n"/>
      <c r="TI27" s="6" t="n"/>
      <c r="TJ27" s="6" t="n"/>
      <c r="TK27" s="6" t="n"/>
      <c r="TL27" s="6" t="n"/>
      <c r="TM27" s="6" t="n"/>
      <c r="TN27" s="6" t="n"/>
      <c r="TO27" s="6" t="n"/>
      <c r="TP27" s="6">
        <f>IF(COUNTA(SL27:TO27)=0, "", SUMPRODUCT(--ISNUMBER(SEARCH("m", SL27:TO27))))</f>
        <v/>
      </c>
      <c r="TQ27" s="6">
        <f>IF(COUNTA(SL27:TO27)=0, "", COUNTA(SL27:TO27) - SUMPRODUCT(--ISNUMBER(SEARCH("m", SL27:TO27))))</f>
        <v/>
      </c>
      <c r="TR27" s="6" t="n"/>
      <c r="TS27" s="6" t="n"/>
      <c r="TT27" s="6" t="n"/>
      <c r="TU27" s="6" t="n"/>
      <c r="TV27" s="6" t="n"/>
      <c r="TW27" s="6" t="n"/>
      <c r="TX27" s="6" t="n"/>
      <c r="TY27" s="6" t="n"/>
      <c r="TZ27" s="6" t="n"/>
      <c r="UA27" s="6" t="n"/>
      <c r="UB27" s="6" t="n"/>
      <c r="UC27" s="6" t="n"/>
      <c r="UD27" s="6" t="n"/>
      <c r="UE27" s="6" t="n"/>
      <c r="UF27" s="6" t="n"/>
      <c r="UG27" s="6" t="n"/>
      <c r="UH27" s="6" t="n"/>
      <c r="UI27" s="6" t="n"/>
      <c r="UJ27" s="6" t="n"/>
      <c r="UK27" s="6" t="n"/>
      <c r="UL27" s="20">
        <f>IFERROR(ROUND(AVERAGE(TR27,TT27,TV27,TX27,TZ27,UB27,UD27,UF27,UH27,UJ27), 2), "")</f>
        <v/>
      </c>
      <c r="UM27" s="6" t="n"/>
      <c r="UN27" s="6" t="n"/>
      <c r="UO27" s="6" t="n"/>
      <c r="UP27" s="6" t="n"/>
      <c r="UQ27" s="6" t="n"/>
      <c r="UR27" s="6" t="n"/>
      <c r="US27" s="6" t="n"/>
      <c r="UT27" s="6" t="n"/>
      <c r="UU27" s="6" t="n"/>
      <c r="UV27" s="6" t="n"/>
      <c r="UW27" s="6" t="n"/>
      <c r="UX27" s="6" t="n"/>
      <c r="UY27" s="6" t="n"/>
      <c r="UZ27" s="6" t="n"/>
      <c r="VA27" s="6" t="n"/>
      <c r="VB27" s="6" t="n"/>
      <c r="VC27" s="6" t="n"/>
      <c r="VD27" s="6" t="n"/>
      <c r="VE27" s="6" t="n"/>
      <c r="VF27" s="6" t="n"/>
      <c r="VG27" s="6" t="n"/>
      <c r="VH27" s="6" t="n"/>
      <c r="VI27" s="6" t="n"/>
      <c r="VJ27" s="6" t="n"/>
      <c r="VK27" s="6" t="n"/>
      <c r="VL27" s="6" t="n"/>
      <c r="VM27" s="6" t="n"/>
      <c r="VN27" s="6" t="n"/>
      <c r="VO27" s="6" t="n"/>
      <c r="VP27" s="6" t="n"/>
      <c r="VQ27" s="6">
        <f>IF(COUNTA(UM27:VP27)=0, "", SUMPRODUCT(--ISNUMBER(SEARCH("m", UM27:VP27))))</f>
        <v/>
      </c>
      <c r="VR27" s="6">
        <f>IF(COUNTA(UM27:VP27)=0, "", COUNTA(UM27:VP27) - SUMPRODUCT(--ISNUMBER(SEARCH("m", UM27:VP27))))</f>
        <v/>
      </c>
      <c r="VS27" s="6" t="n"/>
      <c r="VT27" s="6" t="n"/>
      <c r="VU27" s="6" t="n"/>
      <c r="VV27" s="6" t="n"/>
      <c r="VW27" s="6" t="n"/>
      <c r="VX27" s="6" t="n"/>
      <c r="VY27" s="6" t="n"/>
      <c r="VZ27" s="6" t="n"/>
      <c r="WA27" s="6" t="n"/>
      <c r="WB27" s="6" t="n"/>
      <c r="WC27" s="6" t="n"/>
      <c r="WD27" s="6" t="n"/>
      <c r="WE27" s="6" t="n"/>
      <c r="WF27" s="6" t="n"/>
      <c r="WG27" s="6" t="n"/>
      <c r="WH27" s="6" t="n"/>
      <c r="WI27" s="6" t="n"/>
      <c r="WJ27" s="6" t="n"/>
      <c r="WK27" s="6" t="n"/>
      <c r="WL27" s="6" t="n"/>
      <c r="WM27" s="20">
        <f>IFERROR(ROUND(AVERAGE(VS27,VU27,VW27,VY27,WA27,WC27,WE27,WG27,WI27,WK27), 2), "")</f>
        <v/>
      </c>
      <c r="WN27" s="6" t="n"/>
      <c r="WO27" s="6" t="n"/>
      <c r="WP27" s="6" t="n"/>
      <c r="WQ27" s="6" t="n"/>
      <c r="WR27" s="6" t="n"/>
      <c r="WS27" s="6" t="n"/>
      <c r="WT27" s="6" t="n"/>
      <c r="WU27" s="6" t="n"/>
      <c r="WV27" s="6" t="n"/>
      <c r="WW27" s="6" t="n"/>
      <c r="WX27" s="6" t="n"/>
      <c r="WY27" s="6" t="n"/>
      <c r="WZ27" s="6" t="n"/>
      <c r="XA27" s="6" t="n"/>
      <c r="XB27" s="6" t="n"/>
      <c r="XC27" s="6" t="n"/>
      <c r="XD27" s="6" t="n"/>
      <c r="XE27" s="6" t="n"/>
      <c r="XF27" s="6" t="n"/>
      <c r="XG27" s="6" t="n"/>
      <c r="XH27" s="6" t="n"/>
      <c r="XI27" s="6" t="n"/>
      <c r="XJ27" s="6" t="n"/>
      <c r="XK27" s="6" t="n"/>
      <c r="XL27" s="6" t="n"/>
      <c r="XM27" s="6" t="n"/>
      <c r="XN27" s="6" t="n"/>
      <c r="XO27" s="6" t="n"/>
      <c r="XP27" s="6" t="n"/>
      <c r="XQ27" s="6" t="n"/>
      <c r="XR27" s="6">
        <f>IF(COUNTA(WN27:XQ27)=0, "", SUMPRODUCT(--ISNUMBER(SEARCH("m", WN27:XQ27))))</f>
        <v/>
      </c>
      <c r="XS27" s="6">
        <f>IF(COUNTA(WN27:XQ27)=0, "", COUNTA(WN27:XQ27) - SUMPRODUCT(--ISNUMBER(SEARCH("m", WN27:XQ27))))</f>
        <v/>
      </c>
      <c r="XT27" s="6" t="n"/>
      <c r="XU27" s="6" t="n"/>
      <c r="XV27" s="6" t="n"/>
      <c r="XW27" s="6" t="n"/>
      <c r="XX27" s="6" t="n"/>
      <c r="XY27" s="6" t="n"/>
      <c r="XZ27" s="6" t="n"/>
      <c r="YA27" s="6" t="n"/>
      <c r="YB27" s="6" t="n"/>
      <c r="YC27" s="6" t="n"/>
      <c r="YD27" s="6" t="n"/>
      <c r="YE27" s="6" t="n"/>
      <c r="YF27" s="6" t="n"/>
      <c r="YG27" s="6" t="n"/>
      <c r="YH27" s="6" t="n"/>
      <c r="YI27" s="6" t="n"/>
      <c r="YJ27" s="6" t="n"/>
      <c r="YK27" s="6" t="n"/>
      <c r="YL27" s="6" t="n"/>
      <c r="YM27" s="6" t="n"/>
      <c r="YN27" s="20">
        <f>IFERROR(ROUND(AVERAGE(XT27,XV27,XX27,XZ27,YB27,YD27,YF27,YH27,YJ27,YL27), 2), "")</f>
        <v/>
      </c>
      <c r="YO27" s="6" t="n"/>
      <c r="YP27" s="6" t="n"/>
      <c r="YQ27" s="6" t="n"/>
      <c r="YR27" s="6" t="n"/>
      <c r="YS27" s="6" t="n"/>
      <c r="YT27" s="6" t="n"/>
      <c r="YU27" s="6" t="n"/>
      <c r="YV27" s="6" t="n"/>
      <c r="YW27" s="6" t="n"/>
      <c r="YX27" s="6" t="n"/>
      <c r="YY27" s="6" t="n"/>
      <c r="YZ27" s="6" t="n"/>
      <c r="ZA27" s="6" t="n"/>
      <c r="ZB27" s="6" t="n"/>
      <c r="ZC27" s="6" t="n"/>
      <c r="ZD27" s="6" t="n"/>
      <c r="ZE27" s="6" t="n"/>
      <c r="ZF27" s="6" t="n"/>
      <c r="ZG27" s="6" t="n"/>
      <c r="ZH27" s="6" t="n"/>
      <c r="ZI27" s="6" t="n"/>
      <c r="ZJ27" s="6" t="n"/>
      <c r="ZK27" s="6" t="n"/>
      <c r="ZL27" s="6" t="n"/>
      <c r="ZM27" s="6" t="n"/>
      <c r="ZN27" s="6" t="n"/>
      <c r="ZO27" s="6" t="n"/>
      <c r="ZP27" s="6" t="n"/>
      <c r="ZQ27" s="6" t="n"/>
      <c r="ZR27" s="6" t="n"/>
      <c r="ZS27" s="6">
        <f>IF(COUNTA(YO27:ZR27)=0, "", SUMPRODUCT(--ISNUMBER(SEARCH("m", YO27:ZR27))))</f>
        <v/>
      </c>
      <c r="ZT27" s="6">
        <f>IF(COUNTA(YO27:ZR27)=0, "", COUNTA(YO27:ZR27) - SUMPRODUCT(--ISNUMBER(SEARCH("m", YO27:ZR27))))</f>
        <v/>
      </c>
      <c r="ZU27" s="6" t="n"/>
      <c r="ZV27" s="6" t="n"/>
      <c r="ZW27" s="6" t="n"/>
      <c r="ZX27" s="6" t="n"/>
      <c r="ZY27" s="6" t="n"/>
      <c r="ZZ27" s="6" t="n"/>
      <c r="AAA27" s="6" t="n"/>
      <c r="AAB27" s="6" t="n"/>
      <c r="AAC27" s="6" t="n"/>
      <c r="AAD27" s="6" t="n"/>
      <c r="AAE27" s="6" t="n"/>
      <c r="AAF27" s="6" t="n"/>
      <c r="AAG27" s="6" t="n"/>
      <c r="AAH27" s="6" t="n"/>
      <c r="AAI27" s="6" t="n"/>
      <c r="AAJ27" s="6" t="n"/>
      <c r="AAK27" s="6" t="n"/>
      <c r="AAL27" s="6" t="n"/>
      <c r="AAM27" s="6" t="n"/>
      <c r="AAN27" s="6" t="n"/>
      <c r="AAO27" s="20">
        <f>IFERROR(ROUND(AVERAGE(ZU27,ZW27,ZY27,AAA27,AAC27,AAE27,AAG27,AAI27,AAK27,AAM27), 2), "")</f>
        <v/>
      </c>
      <c r="AAP27" s="6" t="n"/>
      <c r="AAQ27" s="6" t="n"/>
      <c r="AAR27" s="6" t="n"/>
      <c r="AAS27" s="6" t="n"/>
      <c r="AAT27" s="6" t="n"/>
      <c r="AAU27" s="6" t="n"/>
      <c r="AAV27" s="6" t="n"/>
      <c r="AAW27" s="6" t="n"/>
      <c r="AAX27" s="6" t="n"/>
      <c r="AAY27" s="6" t="n"/>
      <c r="AAZ27" s="6" t="n"/>
      <c r="ABA27" s="6" t="n"/>
      <c r="ABB27" s="6" t="n"/>
      <c r="ABC27" s="6" t="n"/>
      <c r="ABD27" s="6" t="n"/>
      <c r="ABE27" s="6" t="n"/>
      <c r="ABF27" s="6" t="n"/>
      <c r="ABG27" s="6" t="n"/>
      <c r="ABH27" s="6" t="n"/>
      <c r="ABI27" s="6" t="n"/>
      <c r="ABJ27" s="6" t="n"/>
      <c r="ABK27" s="6" t="n"/>
      <c r="ABL27" s="6" t="n"/>
      <c r="ABM27" s="6" t="n"/>
      <c r="ABN27" s="6" t="n"/>
      <c r="ABO27" s="6" t="n"/>
      <c r="ABP27" s="6" t="n"/>
      <c r="ABQ27" s="6" t="n"/>
      <c r="ABR27" s="6" t="n"/>
      <c r="ABS27" s="6" t="n"/>
      <c r="ABT27" s="6">
        <f>IF(COUNTA(AAP27:ABS27)=0, "", SUMPRODUCT(--ISNUMBER(SEARCH("m", AAP27:ABS27))))</f>
        <v/>
      </c>
      <c r="ABU27" s="6">
        <f>IF(COUNTA(AAP27:ABS27)=0, "", COUNTA(AAP27:ABS27) - SUMPRODUCT(--ISNUMBER(SEARCH("m", AAP27:ABS27))))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8">
        <f>IFERROR(ROUND(AVERAGE(AB28,CC28,ED28,GE28,IF28,KG28,MH28,OI28,QJ28,SK28,UL28,WM28,YN28,AAO28), 2), "")</f>
        <v/>
      </c>
      <c r="F28" s="14">
        <f>IF(SUM(BH28,DI28,FJ28,HK28,JL28,LM28,NN28,PO28,RP28,TQ28,VR28,XS28,ZT28,ABU28)=0, "", SUM(BH28,DI28,FJ28,HK28,JL28,LM28,NN28,PO28,RP28,TQ28,VR28,XS28,ZT28,ABU28))</f>
        <v/>
      </c>
      <c r="G28" s="8">
        <f>IF(SUM(BG28,DH28,FI28,HJ28,JK28,LL28,NM28,PN28,RO28,TP28,VQ28,XR28,ZS28,ABT28)=0, "", SUM(BG28,DH28,FI28,HJ28,JK28,LL28,NM28,PN28,RO28,TP28,VQ28,XR28,ZS28,ABT28))</f>
        <v/>
      </c>
      <c r="H28" s="6" t="n"/>
      <c r="I28" s="79" t="n"/>
      <c r="J28" s="6" t="n"/>
      <c r="K28" s="79" t="n"/>
      <c r="L28" s="6" t="n"/>
      <c r="M28" s="79" t="n"/>
      <c r="N28" s="6" t="n"/>
      <c r="O28" s="79" t="n"/>
      <c r="P28" s="6" t="n"/>
      <c r="Q28" s="79" t="n"/>
      <c r="R28" s="18" t="n"/>
      <c r="S28" s="79" t="n"/>
      <c r="T28" s="79" t="n"/>
      <c r="U28" s="79" t="n"/>
      <c r="V28" s="79" t="n"/>
      <c r="W28" s="79" t="n"/>
      <c r="X28" s="79" t="n"/>
      <c r="Y28" s="79" t="n"/>
      <c r="Z28" s="79" t="n"/>
      <c r="AA28" s="18" t="n"/>
      <c r="AB28" s="14">
        <f>IFERROR(ROUND(AVERAGE(H28,J28,L28,N28,P28,R28,T28,V28,X28,Z28), 2), "")</f>
        <v/>
      </c>
      <c r="AC28" s="6" t="n"/>
      <c r="AD28" s="79" t="n"/>
      <c r="AE28" s="6" t="n"/>
      <c r="AF28" s="79" t="n"/>
      <c r="AG28" s="6" t="n"/>
      <c r="AH28" s="79" t="n"/>
      <c r="AI28" s="6" t="n"/>
      <c r="AJ28" s="79" t="n"/>
      <c r="AK28" s="6" t="n"/>
      <c r="AL28" s="79" t="n"/>
      <c r="AM28" s="18" t="n"/>
      <c r="AN28" s="79" t="n"/>
      <c r="AO28" s="79" t="n"/>
      <c r="AP28" s="79" t="n"/>
      <c r="AQ28" s="79" t="n"/>
      <c r="AR28" s="79" t="n"/>
      <c r="AS28" s="79" t="n"/>
      <c r="AT28" s="79" t="n"/>
      <c r="AU28" s="79" t="n"/>
      <c r="AV28" s="18" t="n"/>
      <c r="AW28" s="19" t="n"/>
      <c r="AX28" s="6" t="n"/>
      <c r="AY28" s="79" t="n"/>
      <c r="AZ28" s="6" t="n"/>
      <c r="BA28" s="79" t="n"/>
      <c r="BB28" s="6" t="n"/>
      <c r="BC28" s="79" t="n"/>
      <c r="BD28" s="6" t="n"/>
      <c r="BE28" s="79" t="n"/>
      <c r="BF28" s="6" t="n"/>
      <c r="BG28" s="79">
        <f>IF(COUNTA(AC28:BF28)=0, "", SUMPRODUCT(--ISNUMBER(SEARCH("m", AC28:BF28))))</f>
        <v/>
      </c>
      <c r="BH28" s="18">
        <f>IF(COUNTA(AC28:BF28)=0, "", COUNTA(AC28:BF28) - SUMPRODUCT(--ISNUMBER(SEARCH("m", AC28:BF28))))</f>
        <v/>
      </c>
      <c r="BI28" s="79" t="n"/>
      <c r="BJ28" s="79" t="n"/>
      <c r="BK28" s="79" t="n"/>
      <c r="BL28" s="79" t="n"/>
      <c r="BM28" s="79" t="n"/>
      <c r="BN28" s="79" t="n"/>
      <c r="BO28" s="79" t="n"/>
      <c r="BP28" s="79" t="n"/>
      <c r="BQ28" s="18" t="n"/>
      <c r="BR28" s="19" t="n"/>
      <c r="BS28" s="6" t="n"/>
      <c r="BT28" s="79" t="n"/>
      <c r="BU28" s="6" t="n"/>
      <c r="BV28" s="79" t="n"/>
      <c r="BW28" s="6" t="n"/>
      <c r="BX28" s="79" t="n"/>
      <c r="BY28" s="6" t="n"/>
      <c r="BZ28" s="79" t="n"/>
      <c r="CA28" s="6" t="n"/>
      <c r="CB28" s="79" t="n"/>
      <c r="CC28" s="8">
        <f>IFERROR(ROUND(AVERAGE(BI28,BK28,BM28,BO28,BQ28,BS28,BU28,BW28,BY28,CA28), 2), "")</f>
        <v/>
      </c>
      <c r="CD28" s="79" t="n"/>
      <c r="CE28" s="79" t="n"/>
      <c r="CF28" s="79" t="n"/>
      <c r="CG28" s="79" t="n"/>
      <c r="CH28" s="79" t="n"/>
      <c r="CI28" s="79" t="n"/>
      <c r="CJ28" s="79" t="n"/>
      <c r="CK28" s="79" t="n"/>
      <c r="CL28" s="18" t="n"/>
      <c r="CM28" s="19" t="n"/>
      <c r="CN28" s="6" t="n"/>
      <c r="CO28" s="79" t="n"/>
      <c r="CP28" s="6" t="n"/>
      <c r="CQ28" s="79" t="n"/>
      <c r="CR28" s="6" t="n"/>
      <c r="CS28" s="79" t="n"/>
      <c r="CT28" s="6" t="n"/>
      <c r="CU28" s="79" t="n"/>
      <c r="CV28" s="6" t="n"/>
      <c r="CW28" s="79" t="n"/>
      <c r="CX28" s="18" t="n"/>
      <c r="CY28" s="79" t="n"/>
      <c r="CZ28" s="79" t="n"/>
      <c r="DA28" s="79" t="n"/>
      <c r="DB28" s="79" t="n"/>
      <c r="DC28" s="79" t="n"/>
      <c r="DD28" s="79" t="n"/>
      <c r="DE28" s="79" t="n"/>
      <c r="DF28" s="79" t="n"/>
      <c r="DG28" s="18" t="n"/>
      <c r="DH28" s="19">
        <f>IF(COUNTA(CD28:DG28)=0, "", SUMPRODUCT(--ISNUMBER(SEARCH("m", CD28:DG28))))</f>
        <v/>
      </c>
      <c r="DI28" s="6">
        <f>IF(COUNTA(CD28:DG28)=0, "", COUNTA(CD28:DG28) - SUMPRODUCT(--ISNUMBER(SEARCH("m", CD28:DG28))))</f>
        <v/>
      </c>
      <c r="DJ28" s="79" t="n"/>
      <c r="DK28" s="6" t="n"/>
      <c r="DL28" s="79" t="n"/>
      <c r="DM28" s="6" t="n"/>
      <c r="DN28" s="79" t="n"/>
      <c r="DO28" s="6" t="n"/>
      <c r="DP28" s="79" t="n"/>
      <c r="DQ28" s="6" t="n"/>
      <c r="DR28" s="79" t="n"/>
      <c r="DS28" s="18" t="n"/>
      <c r="DT28" s="79" t="n"/>
      <c r="DU28" s="79" t="n"/>
      <c r="DV28" s="79" t="n"/>
      <c r="DW28" s="79" t="n"/>
      <c r="DX28" s="79" t="n"/>
      <c r="DY28" s="79" t="n"/>
      <c r="DZ28" s="79" t="n"/>
      <c r="EA28" s="79" t="n"/>
      <c r="EB28" s="18" t="n"/>
      <c r="EC28" s="19" t="n"/>
      <c r="ED28" s="20">
        <f>IFERROR(ROUND(AVERAGE(DJ28,DL28,DN28,DP28,DR28,DT28,DV28,DX28,DZ28,EB28), 2), "")</f>
        <v/>
      </c>
      <c r="EE28" s="79" t="n"/>
      <c r="EF28" s="6" t="n"/>
      <c r="EG28" s="79" t="n"/>
      <c r="EH28" s="6" t="n"/>
      <c r="EI28" s="79" t="n"/>
      <c r="EJ28" s="6" t="n"/>
      <c r="EK28" s="79" t="n"/>
      <c r="EL28" s="6" t="n"/>
      <c r="EM28" s="79" t="n"/>
      <c r="EN28" s="18" t="n"/>
      <c r="EO28" s="79" t="n"/>
      <c r="EP28" s="79" t="n"/>
      <c r="EQ28" s="79" t="n"/>
      <c r="ER28" s="79" t="n"/>
      <c r="ES28" s="79" t="n"/>
      <c r="ET28" s="79" t="n"/>
      <c r="EU28" s="79" t="n"/>
      <c r="EV28" s="79" t="n"/>
      <c r="EW28" s="18" t="n"/>
      <c r="EX28" s="19" t="n"/>
      <c r="EY28" s="6" t="n"/>
      <c r="EZ28" s="79" t="n"/>
      <c r="FA28" s="6" t="n"/>
      <c r="FB28" s="79" t="n"/>
      <c r="FC28" s="6" t="n"/>
      <c r="FD28" s="79" t="n"/>
      <c r="FE28" s="6" t="n"/>
      <c r="FF28" s="79" t="n"/>
      <c r="FG28" s="6" t="n"/>
      <c r="FH28" s="79" t="n"/>
      <c r="FI28" s="18">
        <f>IF(COUNTA(EE28:FH28)=0, "", SUMPRODUCT(--ISNUMBER(SEARCH("m", EE28:FH28))))</f>
        <v/>
      </c>
      <c r="FJ28" s="79">
        <f>IF(COUNTA(EE28:FH28)=0, "", COUNTA(EE28:FH28) - SUMPRODUCT(--ISNUMBER(SEARCH("m", EE28:FH28))))</f>
        <v/>
      </c>
      <c r="FK28" s="79" t="n"/>
      <c r="FL28" s="79" t="n"/>
      <c r="FM28" s="79" t="n"/>
      <c r="FN28" s="79" t="n"/>
      <c r="FO28" s="79" t="n"/>
      <c r="FP28" s="79" t="n"/>
      <c r="FQ28" s="79" t="n"/>
      <c r="FR28" s="18" t="n"/>
      <c r="FS28" s="19" t="n"/>
      <c r="FT28" s="6" t="n"/>
      <c r="FU28" s="79" t="n"/>
      <c r="FV28" s="6" t="n"/>
      <c r="FW28" s="79" t="n"/>
      <c r="FX28" s="6" t="n"/>
      <c r="FY28" s="79" t="n"/>
      <c r="FZ28" s="6" t="n"/>
      <c r="GA28" s="79" t="n"/>
      <c r="GB28" s="6" t="n"/>
      <c r="GC28" s="79" t="n"/>
      <c r="GD28" s="18" t="n"/>
      <c r="GE28" s="80">
        <f>IFERROR(ROUND(AVERAGE(FK28,FM28,FO28,FQ28,FS28,FU28,FW28,FY28,GA28,GC28), 2), "")</f>
        <v/>
      </c>
      <c r="GF28" s="79" t="n"/>
      <c r="GG28" s="79" t="n"/>
      <c r="GH28" s="79" t="n"/>
      <c r="GI28" s="79" t="n"/>
      <c r="GJ28" s="79" t="n"/>
      <c r="GK28" s="79" t="n"/>
      <c r="GL28" s="79" t="n"/>
      <c r="GM28" s="18" t="n"/>
      <c r="GN28" s="19" t="n"/>
      <c r="GO28" s="6" t="n"/>
      <c r="GP28" s="79" t="n"/>
      <c r="GQ28" s="6" t="n"/>
      <c r="GR28" s="79" t="n"/>
      <c r="GS28" s="6" t="n"/>
      <c r="GT28" s="79" t="n"/>
      <c r="GU28" s="6" t="n"/>
      <c r="GV28" s="79" t="n"/>
      <c r="GW28" s="6" t="n"/>
      <c r="GX28" s="79" t="n"/>
      <c r="GY28" s="18" t="n"/>
      <c r="GZ28" s="79" t="n"/>
      <c r="HA28" s="79" t="n"/>
      <c r="HB28" s="79" t="n"/>
      <c r="HC28" s="79" t="n"/>
      <c r="HD28" s="79" t="n"/>
      <c r="HE28" s="79" t="n"/>
      <c r="HF28" s="79" t="n"/>
      <c r="HG28" s="79" t="n"/>
      <c r="HH28" s="18" t="n"/>
      <c r="HI28" s="19" t="n"/>
      <c r="HJ28" s="6">
        <f>IF(COUNTA(GF28:HI28)=0, "", SUMPRODUCT(--ISNUMBER(SEARCH("m", GF28:HI28))))</f>
        <v/>
      </c>
      <c r="HK28" s="79">
        <f>IF(COUNTA(GF28:HI28)=0, "", COUNTA(GF28:HI28) - SUMPRODUCT(--ISNUMBER(SEARCH("m", GF28:HI28))))</f>
        <v/>
      </c>
      <c r="HL28" s="6" t="n"/>
      <c r="HM28" s="79" t="n"/>
      <c r="HN28" s="6" t="n"/>
      <c r="HO28" s="79" t="n"/>
      <c r="HP28" s="6" t="n"/>
      <c r="HQ28" s="79" t="n"/>
      <c r="HR28" s="6" t="n"/>
      <c r="HS28" s="79" t="n"/>
      <c r="HT28" s="18" t="n"/>
      <c r="HU28" s="79" t="n"/>
      <c r="HV28" s="79" t="n"/>
      <c r="HW28" s="79" t="n"/>
      <c r="HX28" s="79" t="n"/>
      <c r="HY28" s="79" t="n"/>
      <c r="HZ28" s="79" t="n"/>
      <c r="IA28" s="79" t="n"/>
      <c r="IB28" s="79" t="n"/>
      <c r="IC28" s="18" t="n"/>
      <c r="ID28" s="19" t="n"/>
      <c r="IE28" s="6" t="n"/>
      <c r="IF28" s="80">
        <f>IFERROR(ROUND(AVERAGE(HL28,HN28,HP28,HR28,HT28,HV28,HX28,HZ28,IB28,ID28), 2), "")</f>
        <v/>
      </c>
      <c r="IG28" s="6" t="n"/>
      <c r="IH28" s="79" t="n"/>
      <c r="II28" s="6" t="n"/>
      <c r="IJ28" s="79" t="n"/>
      <c r="IK28" s="6" t="n"/>
      <c r="IL28" s="79" t="n"/>
      <c r="IM28" s="6" t="n"/>
      <c r="IN28" s="79" t="n"/>
      <c r="IO28" s="18" t="n"/>
      <c r="IP28" s="79" t="n"/>
      <c r="IQ28" s="79" t="n"/>
      <c r="IR28" s="79" t="n"/>
      <c r="IS28" s="79" t="n"/>
      <c r="IT28" s="79" t="n"/>
      <c r="IU28" s="79" t="n"/>
      <c r="IV28" s="79" t="n"/>
      <c r="IW28" s="79" t="n"/>
      <c r="IX28" s="18" t="n"/>
      <c r="IY28" s="19" t="n"/>
      <c r="IZ28" s="6" t="n"/>
      <c r="JA28" s="79" t="n"/>
      <c r="JB28" s="6" t="n"/>
      <c r="JC28" s="79" t="n"/>
      <c r="JD28" s="6" t="n"/>
      <c r="JE28" s="79" t="n"/>
      <c r="JF28" s="6" t="n"/>
      <c r="JG28" s="79" t="n"/>
      <c r="JH28" s="6" t="n"/>
      <c r="JI28" s="79" t="n"/>
      <c r="JJ28" s="18" t="n"/>
      <c r="JK28" s="79">
        <f>IF(COUNTA(IG28:JJ28)=0, "", SUMPRODUCT(--ISNUMBER(SEARCH("m", IG28:JJ28))))</f>
        <v/>
      </c>
      <c r="JL28" s="79">
        <f>IF(COUNTA(IG28:JJ28)=0, "", COUNTA(IG28:JJ28) - SUMPRODUCT(--ISNUMBER(SEARCH("m", IG28:JJ28))))</f>
        <v/>
      </c>
      <c r="JM28" s="79" t="n"/>
      <c r="JN28" s="79" t="n"/>
      <c r="JO28" s="79" t="n"/>
      <c r="JP28" s="79" t="n"/>
      <c r="JQ28" s="79" t="n"/>
      <c r="JR28" s="79" t="n"/>
      <c r="JS28" s="18" t="n"/>
      <c r="JT28" s="19" t="n"/>
      <c r="JU28" s="6" t="n"/>
      <c r="JV28" s="79" t="n"/>
      <c r="JW28" s="6" t="n"/>
      <c r="JX28" s="79" t="n"/>
      <c r="JY28" s="6" t="n"/>
      <c r="JZ28" s="79" t="n"/>
      <c r="KA28" s="6" t="n"/>
      <c r="KB28" s="79" t="n"/>
      <c r="KC28" s="6" t="n"/>
      <c r="KD28" s="79" t="n"/>
      <c r="KE28" s="18" t="n"/>
      <c r="KF28" s="79" t="n"/>
      <c r="KG28" s="80">
        <f>IFERROR(ROUND(AVERAGE(JM28,JO28,JQ28,JS28,JU28,JW28,JY28,KA28,KC28,KE28), 2), "")</f>
        <v/>
      </c>
      <c r="KH28" s="79" t="n"/>
      <c r="KI28" s="79" t="n"/>
      <c r="KJ28" s="79" t="n"/>
      <c r="KK28" s="79" t="n"/>
      <c r="KL28" s="79" t="n"/>
      <c r="KM28" s="79" t="n"/>
      <c r="KN28" s="18" t="n"/>
      <c r="KO28" s="19" t="n"/>
      <c r="KP28" s="6" t="n"/>
      <c r="KQ28" s="6" t="n"/>
      <c r="KR28" s="6" t="n"/>
      <c r="KS28" s="6" t="n"/>
      <c r="KT28" s="6" t="n"/>
      <c r="KU28" s="6" t="n"/>
      <c r="KV28" s="6" t="n"/>
      <c r="KW28" s="6" t="n"/>
      <c r="KX28" s="6" t="n"/>
      <c r="KY28" s="6" t="n"/>
      <c r="KZ28" s="6" t="n"/>
      <c r="LA28" s="6" t="n"/>
      <c r="LB28" s="6" t="n"/>
      <c r="LC28" s="6" t="n"/>
      <c r="LD28" s="6" t="n"/>
      <c r="LE28" s="6" t="n"/>
      <c r="LF28" s="6" t="n"/>
      <c r="LG28" s="6" t="n"/>
      <c r="LH28" s="6" t="n"/>
      <c r="LI28" s="6" t="n"/>
      <c r="LJ28" s="6" t="n"/>
      <c r="LK28" s="6" t="n"/>
      <c r="LL28" s="6">
        <f>IF(COUNTA(KH28:LK28)=0, "", SUMPRODUCT(--ISNUMBER(SEARCH("m", KH28:LK28))))</f>
        <v/>
      </c>
      <c r="LM28" s="6">
        <f>IF(COUNTA(KH28:LK28)=0, "", COUNTA(KH28:LK28) - SUMPRODUCT(--ISNUMBER(SEARCH("m", KH28:LK28))))</f>
        <v/>
      </c>
      <c r="LN28" s="6" t="n"/>
      <c r="LO28" s="6" t="n"/>
      <c r="LP28" s="6" t="n"/>
      <c r="LQ28" s="6" t="n"/>
      <c r="LR28" s="6" t="n"/>
      <c r="LS28" s="6" t="n"/>
      <c r="LT28" s="6" t="n"/>
      <c r="LU28" s="6" t="n"/>
      <c r="LV28" s="6" t="n"/>
      <c r="LW28" s="6" t="n"/>
      <c r="LX28" s="6" t="n"/>
      <c r="LY28" s="6" t="n"/>
      <c r="LZ28" s="6" t="n"/>
      <c r="MA28" s="6" t="n"/>
      <c r="MB28" s="6" t="n"/>
      <c r="MC28" s="6" t="n"/>
      <c r="MD28" s="6" t="n"/>
      <c r="ME28" s="6" t="n"/>
      <c r="MF28" s="6" t="n"/>
      <c r="MG28" s="6" t="n"/>
      <c r="MH28" s="20">
        <f>IFERROR(ROUND(AVERAGE(LN28,LP28,LR28,LT28,LV28,LX28,LZ28,MB28,MD28,MF28), 2), "")</f>
        <v/>
      </c>
      <c r="MI28" s="6" t="n"/>
      <c r="MJ28" s="6" t="n"/>
      <c r="MK28" s="6" t="n"/>
      <c r="ML28" s="6" t="n"/>
      <c r="MM28" s="6" t="n"/>
      <c r="MN28" s="6" t="n"/>
      <c r="MO28" s="6" t="n"/>
      <c r="MP28" s="6" t="n"/>
      <c r="MQ28" s="6" t="n"/>
      <c r="MR28" s="6" t="n"/>
      <c r="MS28" s="6" t="n"/>
      <c r="MT28" s="6" t="n"/>
      <c r="MU28" s="6" t="n"/>
      <c r="MV28" s="6" t="n"/>
      <c r="MW28" s="6" t="n"/>
      <c r="MX28" s="6" t="n"/>
      <c r="MY28" s="6" t="n"/>
      <c r="MZ28" s="6" t="n"/>
      <c r="NA28" s="6" t="n"/>
      <c r="NB28" s="6" t="n"/>
      <c r="NC28" s="6" t="n"/>
      <c r="ND28" s="6" t="n"/>
      <c r="NE28" s="6" t="n"/>
      <c r="NF28" s="6" t="n"/>
      <c r="NG28" s="6" t="n"/>
      <c r="NH28" s="6" t="n"/>
      <c r="NI28" s="6" t="n"/>
      <c r="NJ28" s="6" t="n"/>
      <c r="NK28" s="6" t="n"/>
      <c r="NL28" s="6" t="n"/>
      <c r="NM28" s="6">
        <f>IF(COUNTA(MI28:NL28)=0, "", SUMPRODUCT(--ISNUMBER(SEARCH("m", MI28:NL28))))</f>
        <v/>
      </c>
      <c r="NN28" s="6">
        <f>IF(COUNTA(MI28:NL28)=0, "", COUNTA(MI28:NL28) - SUMPRODUCT(--ISNUMBER(SEARCH("m", MI28:NL28))))</f>
        <v/>
      </c>
      <c r="NO28" s="6" t="n"/>
      <c r="NP28" s="6" t="n"/>
      <c r="NQ28" s="6" t="n"/>
      <c r="NR28" s="6" t="n"/>
      <c r="NS28" s="6" t="n"/>
      <c r="NT28" s="6" t="n"/>
      <c r="NU28" s="6" t="n"/>
      <c r="NV28" s="6" t="n"/>
      <c r="NW28" s="6" t="n"/>
      <c r="NX28" s="6" t="n"/>
      <c r="NY28" s="6" t="n"/>
      <c r="NZ28" s="6" t="n"/>
      <c r="OA28" s="6" t="n"/>
      <c r="OB28" s="6" t="n"/>
      <c r="OC28" s="6" t="n"/>
      <c r="OD28" s="6" t="n"/>
      <c r="OE28" s="6" t="n"/>
      <c r="OF28" s="6" t="n"/>
      <c r="OG28" s="6" t="n"/>
      <c r="OH28" s="6" t="n"/>
      <c r="OI28" s="20">
        <f>IFERROR(ROUND(AVERAGE(NO28,NQ28,NS28,NU28,NW28,NY28,OA28,OC28,OE28,OG28), 2), "")</f>
        <v/>
      </c>
      <c r="OJ28" s="6" t="n"/>
      <c r="OK28" s="6" t="n"/>
      <c r="OL28" s="6" t="n"/>
      <c r="OM28" s="6" t="n"/>
      <c r="ON28" s="6" t="n"/>
      <c r="OO28" s="6" t="n"/>
      <c r="OP28" s="6" t="n"/>
      <c r="OQ28" s="6" t="n"/>
      <c r="OR28" s="6" t="n"/>
      <c r="OS28" s="6" t="n"/>
      <c r="OT28" s="6" t="n"/>
      <c r="OU28" s="6" t="n"/>
      <c r="OV28" s="6" t="n"/>
      <c r="OW28" s="6" t="n"/>
      <c r="OX28" s="6" t="n"/>
      <c r="OY28" s="6" t="n"/>
      <c r="OZ28" s="6" t="n"/>
      <c r="PA28" s="6" t="n"/>
      <c r="PB28" s="6" t="n"/>
      <c r="PC28" s="6" t="n"/>
      <c r="PD28" s="6" t="n"/>
      <c r="PE28" s="6" t="n"/>
      <c r="PF28" s="6" t="n"/>
      <c r="PG28" s="6" t="n"/>
      <c r="PH28" s="6" t="n"/>
      <c r="PI28" s="6" t="n"/>
      <c r="PJ28" s="6" t="n"/>
      <c r="PK28" s="6" t="n"/>
      <c r="PL28" s="6" t="n"/>
      <c r="PM28" s="6" t="n"/>
      <c r="PN28" s="6">
        <f>IF(COUNTA(OJ28:PM28)=0, "", SUMPRODUCT(--ISNUMBER(SEARCH("m", OJ28:PM28))))</f>
        <v/>
      </c>
      <c r="PO28" s="6">
        <f>IF(COUNTA(OJ28:PM28)=0, "", COUNTA(OJ28:PM28) - SUMPRODUCT(--ISNUMBER(SEARCH("m", OJ28:PM28))))</f>
        <v/>
      </c>
      <c r="PP28" s="6" t="n"/>
      <c r="PQ28" s="6" t="n"/>
      <c r="PR28" s="6" t="n"/>
      <c r="PS28" s="6" t="n"/>
      <c r="PT28" s="6" t="n"/>
      <c r="PU28" s="6" t="n"/>
      <c r="PV28" s="6" t="n"/>
      <c r="PW28" s="6" t="n"/>
      <c r="PX28" s="6" t="n"/>
      <c r="PY28" s="6" t="n"/>
      <c r="PZ28" s="6" t="n"/>
      <c r="QA28" s="6" t="n"/>
      <c r="QB28" s="6" t="n"/>
      <c r="QC28" s="6" t="n"/>
      <c r="QD28" s="6" t="n"/>
      <c r="QE28" s="6" t="n"/>
      <c r="QF28" s="6" t="n"/>
      <c r="QG28" s="6" t="n"/>
      <c r="QH28" s="6" t="n"/>
      <c r="QI28" s="6" t="n"/>
      <c r="QJ28" s="20">
        <f>IFERROR(ROUND(AVERAGE(PP28,PR28,PT28,PV28,PX28,PZ28,QB28,QD28,QF28,QH28), 2), "")</f>
        <v/>
      </c>
      <c r="QK28" s="6" t="n"/>
      <c r="QL28" s="6" t="n"/>
      <c r="QM28" s="6" t="n"/>
      <c r="QN28" s="6" t="n"/>
      <c r="QO28" s="6" t="n"/>
      <c r="QP28" s="6" t="n"/>
      <c r="QQ28" s="6" t="n"/>
      <c r="QR28" s="6" t="n"/>
      <c r="QS28" s="6" t="n"/>
      <c r="QT28" s="6" t="n"/>
      <c r="QU28" s="6" t="n"/>
      <c r="QV28" s="6" t="n"/>
      <c r="QW28" s="6" t="n"/>
      <c r="QX28" s="6" t="n"/>
      <c r="QY28" s="6" t="n"/>
      <c r="QZ28" s="6" t="n"/>
      <c r="RA28" s="6" t="n"/>
      <c r="RB28" s="6" t="n"/>
      <c r="RC28" s="6" t="n"/>
      <c r="RD28" s="6" t="n"/>
      <c r="RE28" s="6" t="n"/>
      <c r="RF28" s="6" t="n"/>
      <c r="RG28" s="6" t="n"/>
      <c r="RH28" s="6" t="n"/>
      <c r="RI28" s="6" t="n"/>
      <c r="RJ28" s="6" t="n"/>
      <c r="RK28" s="6" t="n"/>
      <c r="RL28" s="6" t="n"/>
      <c r="RM28" s="6" t="n"/>
      <c r="RN28" s="6" t="n"/>
      <c r="RO28" s="6">
        <f>IF(COUNTA(QK28:RN28)=0, "", SUMPRODUCT(--ISNUMBER(SEARCH("m", QK28:RN28))))</f>
        <v/>
      </c>
      <c r="RP28" s="6">
        <f>IF(COUNTA(QK28:RN28)=0, "", COUNTA(QK28:RN28) - SUMPRODUCT(--ISNUMBER(SEARCH("m", QK28:RN28))))</f>
        <v/>
      </c>
      <c r="RQ28" s="6" t="n"/>
      <c r="RR28" s="6" t="n"/>
      <c r="RS28" s="6" t="n"/>
      <c r="RT28" s="6" t="n"/>
      <c r="RU28" s="6" t="n"/>
      <c r="RV28" s="6" t="n"/>
      <c r="RW28" s="6" t="n"/>
      <c r="RX28" s="6" t="n"/>
      <c r="RY28" s="6" t="n"/>
      <c r="RZ28" s="6" t="n"/>
      <c r="SA28" s="6" t="n"/>
      <c r="SB28" s="6" t="n"/>
      <c r="SC28" s="6" t="n"/>
      <c r="SD28" s="6" t="n"/>
      <c r="SE28" s="6" t="n"/>
      <c r="SF28" s="6" t="n"/>
      <c r="SG28" s="6" t="n"/>
      <c r="SH28" s="6" t="n"/>
      <c r="SI28" s="6" t="n"/>
      <c r="SJ28" s="6" t="n"/>
      <c r="SK28" s="20">
        <f>IFERROR(ROUND(AVERAGE(RQ28,RS28,RU28,RW28,RY28,SA28,SC28,SE28,SG28,SI28), 2), "")</f>
        <v/>
      </c>
      <c r="SL28" s="6" t="n"/>
      <c r="SM28" s="6" t="n"/>
      <c r="SN28" s="6" t="n"/>
      <c r="SO28" s="6" t="n"/>
      <c r="SP28" s="6" t="n"/>
      <c r="SQ28" s="6" t="n"/>
      <c r="SR28" s="6" t="n"/>
      <c r="SS28" s="6" t="n"/>
      <c r="ST28" s="6" t="n"/>
      <c r="SU28" s="6" t="n"/>
      <c r="SV28" s="6" t="n"/>
      <c r="SW28" s="6" t="n"/>
      <c r="SX28" s="6" t="n"/>
      <c r="SY28" s="6" t="n"/>
      <c r="SZ28" s="6" t="n"/>
      <c r="TA28" s="6" t="n"/>
      <c r="TB28" s="6" t="n"/>
      <c r="TC28" s="6" t="n"/>
      <c r="TD28" s="6" t="n"/>
      <c r="TE28" s="6" t="n"/>
      <c r="TF28" s="6" t="n"/>
      <c r="TG28" s="6" t="n"/>
      <c r="TH28" s="6" t="n"/>
      <c r="TI28" s="6" t="n"/>
      <c r="TJ28" s="6" t="n"/>
      <c r="TK28" s="6" t="n"/>
      <c r="TL28" s="6" t="n"/>
      <c r="TM28" s="6" t="n"/>
      <c r="TN28" s="6" t="n"/>
      <c r="TO28" s="6" t="n"/>
      <c r="TP28" s="6">
        <f>IF(COUNTA(SL28:TO28)=0, "", SUMPRODUCT(--ISNUMBER(SEARCH("m", SL28:TO28))))</f>
        <v/>
      </c>
      <c r="TQ28" s="6">
        <f>IF(COUNTA(SL28:TO28)=0, "", COUNTA(SL28:TO28) - SUMPRODUCT(--ISNUMBER(SEARCH("m", SL28:TO28))))</f>
        <v/>
      </c>
      <c r="TR28" s="6" t="n"/>
      <c r="TS28" s="6" t="n"/>
      <c r="TT28" s="6" t="n"/>
      <c r="TU28" s="6" t="n"/>
      <c r="TV28" s="6" t="n"/>
      <c r="TW28" s="6" t="n"/>
      <c r="TX28" s="6" t="n"/>
      <c r="TY28" s="6" t="n"/>
      <c r="TZ28" s="6" t="n"/>
      <c r="UA28" s="6" t="n"/>
      <c r="UB28" s="6" t="n"/>
      <c r="UC28" s="6" t="n"/>
      <c r="UD28" s="6" t="n"/>
      <c r="UE28" s="6" t="n"/>
      <c r="UF28" s="6" t="n"/>
      <c r="UG28" s="6" t="n"/>
      <c r="UH28" s="6" t="n"/>
      <c r="UI28" s="6" t="n"/>
      <c r="UJ28" s="6" t="n"/>
      <c r="UK28" s="6" t="n"/>
      <c r="UL28" s="20">
        <f>IFERROR(ROUND(AVERAGE(TR28,TT28,TV28,TX28,TZ28,UB28,UD28,UF28,UH28,UJ28), 2), "")</f>
        <v/>
      </c>
      <c r="UM28" s="6" t="n"/>
      <c r="UN28" s="6" t="n"/>
      <c r="UO28" s="6" t="n"/>
      <c r="UP28" s="6" t="n"/>
      <c r="UQ28" s="6" t="n"/>
      <c r="UR28" s="6" t="n"/>
      <c r="US28" s="6" t="n"/>
      <c r="UT28" s="6" t="n"/>
      <c r="UU28" s="6" t="n"/>
      <c r="UV28" s="6" t="n"/>
      <c r="UW28" s="6" t="n"/>
      <c r="UX28" s="6" t="n"/>
      <c r="UY28" s="6" t="n"/>
      <c r="UZ28" s="6" t="n"/>
      <c r="VA28" s="6" t="n"/>
      <c r="VB28" s="6" t="n"/>
      <c r="VC28" s="6" t="n"/>
      <c r="VD28" s="6" t="n"/>
      <c r="VE28" s="6" t="n"/>
      <c r="VF28" s="6" t="n"/>
      <c r="VG28" s="6" t="n"/>
      <c r="VH28" s="6" t="n"/>
      <c r="VI28" s="6" t="n"/>
      <c r="VJ28" s="6" t="n"/>
      <c r="VK28" s="6" t="n"/>
      <c r="VL28" s="6" t="n"/>
      <c r="VM28" s="6" t="n"/>
      <c r="VN28" s="6" t="n"/>
      <c r="VO28" s="6" t="n"/>
      <c r="VP28" s="6" t="n"/>
      <c r="VQ28" s="6">
        <f>IF(COUNTA(UM28:VP28)=0, "", SUMPRODUCT(--ISNUMBER(SEARCH("m", UM28:VP28))))</f>
        <v/>
      </c>
      <c r="VR28" s="6">
        <f>IF(COUNTA(UM28:VP28)=0, "", COUNTA(UM28:VP28) - SUMPRODUCT(--ISNUMBER(SEARCH("m", UM28:VP28))))</f>
        <v/>
      </c>
      <c r="VS28" s="6" t="n"/>
      <c r="VT28" s="6" t="n"/>
      <c r="VU28" s="6" t="n"/>
      <c r="VV28" s="6" t="n"/>
      <c r="VW28" s="6" t="n"/>
      <c r="VX28" s="6" t="n"/>
      <c r="VY28" s="6" t="n"/>
      <c r="VZ28" s="6" t="n"/>
      <c r="WA28" s="6" t="n"/>
      <c r="WB28" s="6" t="n"/>
      <c r="WC28" s="6" t="n"/>
      <c r="WD28" s="6" t="n"/>
      <c r="WE28" s="6" t="n"/>
      <c r="WF28" s="6" t="n"/>
      <c r="WG28" s="6" t="n"/>
      <c r="WH28" s="6" t="n"/>
      <c r="WI28" s="6" t="n"/>
      <c r="WJ28" s="6" t="n"/>
      <c r="WK28" s="6" t="n"/>
      <c r="WL28" s="6" t="n"/>
      <c r="WM28" s="20">
        <f>IFERROR(ROUND(AVERAGE(VS28,VU28,VW28,VY28,WA28,WC28,WE28,WG28,WI28,WK28), 2), "")</f>
        <v/>
      </c>
      <c r="WN28" s="6" t="n"/>
      <c r="WO28" s="6" t="n"/>
      <c r="WP28" s="6" t="n"/>
      <c r="WQ28" s="6" t="n"/>
      <c r="WR28" s="6" t="n"/>
      <c r="WS28" s="6" t="n"/>
      <c r="WT28" s="6" t="n"/>
      <c r="WU28" s="6" t="n"/>
      <c r="WV28" s="6" t="n"/>
      <c r="WW28" s="6" t="n"/>
      <c r="WX28" s="6" t="n"/>
      <c r="WY28" s="6" t="n"/>
      <c r="WZ28" s="6" t="n"/>
      <c r="XA28" s="6" t="n"/>
      <c r="XB28" s="6" t="n"/>
      <c r="XC28" s="6" t="n"/>
      <c r="XD28" s="6" t="n"/>
      <c r="XE28" s="6" t="n"/>
      <c r="XF28" s="6" t="n"/>
      <c r="XG28" s="6" t="n"/>
      <c r="XH28" s="6" t="n"/>
      <c r="XI28" s="6" t="n"/>
      <c r="XJ28" s="6" t="n"/>
      <c r="XK28" s="6" t="n"/>
      <c r="XL28" s="6" t="n"/>
      <c r="XM28" s="6" t="n"/>
      <c r="XN28" s="6" t="n"/>
      <c r="XO28" s="6" t="n"/>
      <c r="XP28" s="6" t="n"/>
      <c r="XQ28" s="6" t="n"/>
      <c r="XR28" s="6">
        <f>IF(COUNTA(WN28:XQ28)=0, "", SUMPRODUCT(--ISNUMBER(SEARCH("m", WN28:XQ28))))</f>
        <v/>
      </c>
      <c r="XS28" s="6">
        <f>IF(COUNTA(WN28:XQ28)=0, "", COUNTA(WN28:XQ28) - SUMPRODUCT(--ISNUMBER(SEARCH("m", WN28:XQ28))))</f>
        <v/>
      </c>
      <c r="XT28" s="6" t="n"/>
      <c r="XU28" s="6" t="n"/>
      <c r="XV28" s="6" t="n"/>
      <c r="XW28" s="6" t="n"/>
      <c r="XX28" s="6" t="n"/>
      <c r="XY28" s="6" t="n"/>
      <c r="XZ28" s="6" t="n"/>
      <c r="YA28" s="6" t="n"/>
      <c r="YB28" s="6" t="n"/>
      <c r="YC28" s="6" t="n"/>
      <c r="YD28" s="6" t="n"/>
      <c r="YE28" s="6" t="n"/>
      <c r="YF28" s="6" t="n"/>
      <c r="YG28" s="6" t="n"/>
      <c r="YH28" s="6" t="n"/>
      <c r="YI28" s="6" t="n"/>
      <c r="YJ28" s="6" t="n"/>
      <c r="YK28" s="6" t="n"/>
      <c r="YL28" s="6" t="n"/>
      <c r="YM28" s="6" t="n"/>
      <c r="YN28" s="20">
        <f>IFERROR(ROUND(AVERAGE(XT28,XV28,XX28,XZ28,YB28,YD28,YF28,YH28,YJ28,YL28), 2), "")</f>
        <v/>
      </c>
      <c r="YO28" s="6" t="n"/>
      <c r="YP28" s="6" t="n"/>
      <c r="YQ28" s="6" t="n"/>
      <c r="YR28" s="6" t="n"/>
      <c r="YS28" s="6" t="n"/>
      <c r="YT28" s="6" t="n"/>
      <c r="YU28" s="6" t="n"/>
      <c r="YV28" s="6" t="n"/>
      <c r="YW28" s="6" t="n"/>
      <c r="YX28" s="6" t="n"/>
      <c r="YY28" s="6" t="n"/>
      <c r="YZ28" s="6" t="n"/>
      <c r="ZA28" s="6" t="n"/>
      <c r="ZB28" s="6" t="n"/>
      <c r="ZC28" s="6" t="n"/>
      <c r="ZD28" s="6" t="n"/>
      <c r="ZE28" s="6" t="n"/>
      <c r="ZF28" s="6" t="n"/>
      <c r="ZG28" s="6" t="n"/>
      <c r="ZH28" s="6" t="n"/>
      <c r="ZI28" s="6" t="n"/>
      <c r="ZJ28" s="6" t="n"/>
      <c r="ZK28" s="6" t="n"/>
      <c r="ZL28" s="6" t="n"/>
      <c r="ZM28" s="6" t="n"/>
      <c r="ZN28" s="6" t="n"/>
      <c r="ZO28" s="6" t="n"/>
      <c r="ZP28" s="6" t="n"/>
      <c r="ZQ28" s="6" t="n"/>
      <c r="ZR28" s="6" t="n"/>
      <c r="ZS28" s="6">
        <f>IF(COUNTA(YO28:ZR28)=0, "", SUMPRODUCT(--ISNUMBER(SEARCH("m", YO28:ZR28))))</f>
        <v/>
      </c>
      <c r="ZT28" s="6">
        <f>IF(COUNTA(YO28:ZR28)=0, "", COUNTA(YO28:ZR28) - SUMPRODUCT(--ISNUMBER(SEARCH("m", YO28:ZR28))))</f>
        <v/>
      </c>
      <c r="ZU28" s="6" t="n"/>
      <c r="ZV28" s="6" t="n"/>
      <c r="ZW28" s="6" t="n"/>
      <c r="ZX28" s="6" t="n"/>
      <c r="ZY28" s="6" t="n"/>
      <c r="ZZ28" s="6" t="n"/>
      <c r="AAA28" s="6" t="n"/>
      <c r="AAB28" s="6" t="n"/>
      <c r="AAC28" s="6" t="n"/>
      <c r="AAD28" s="6" t="n"/>
      <c r="AAE28" s="6" t="n"/>
      <c r="AAF28" s="6" t="n"/>
      <c r="AAG28" s="6" t="n"/>
      <c r="AAH28" s="6" t="n"/>
      <c r="AAI28" s="6" t="n"/>
      <c r="AAJ28" s="6" t="n"/>
      <c r="AAK28" s="6" t="n"/>
      <c r="AAL28" s="6" t="n"/>
      <c r="AAM28" s="6" t="n"/>
      <c r="AAN28" s="6" t="n"/>
      <c r="AAO28" s="20">
        <f>IFERROR(ROUND(AVERAGE(ZU28,ZW28,ZY28,AAA28,AAC28,AAE28,AAG28,AAI28,AAK28,AAM28), 2), "")</f>
        <v/>
      </c>
      <c r="AAP28" s="6" t="n"/>
      <c r="AAQ28" s="6" t="n"/>
      <c r="AAR28" s="6" t="n"/>
      <c r="AAS28" s="6" t="n"/>
      <c r="AAT28" s="6" t="n"/>
      <c r="AAU28" s="6" t="n"/>
      <c r="AAV28" s="6" t="n"/>
      <c r="AAW28" s="6" t="n"/>
      <c r="AAX28" s="6" t="n"/>
      <c r="AAY28" s="6" t="n"/>
      <c r="AAZ28" s="6" t="n"/>
      <c r="ABA28" s="6" t="n"/>
      <c r="ABB28" s="6" t="n"/>
      <c r="ABC28" s="6" t="n"/>
      <c r="ABD28" s="6" t="n"/>
      <c r="ABE28" s="6" t="n"/>
      <c r="ABF28" s="6" t="n"/>
      <c r="ABG28" s="6" t="n"/>
      <c r="ABH28" s="6" t="n"/>
      <c r="ABI28" s="6" t="n"/>
      <c r="ABJ28" s="6" t="n"/>
      <c r="ABK28" s="6" t="n"/>
      <c r="ABL28" s="6" t="n"/>
      <c r="ABM28" s="6" t="n"/>
      <c r="ABN28" s="6" t="n"/>
      <c r="ABO28" s="6" t="n"/>
      <c r="ABP28" s="6" t="n"/>
      <c r="ABQ28" s="6" t="n"/>
      <c r="ABR28" s="6" t="n"/>
      <c r="ABS28" s="6" t="n"/>
      <c r="ABT28" s="6">
        <f>IF(COUNTA(AAP28:ABS28)=0, "", SUMPRODUCT(--ISNUMBER(SEARCH("m", AAP28:ABS28))))</f>
        <v/>
      </c>
      <c r="ABU28" s="6">
        <f>IF(COUNTA(AAP28:ABS28)=0, "", COUNTA(AAP28:ABS28) - SUMPRODUCT(--ISNUMBER(SEARCH("m", AAP28:ABS28))))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8">
        <f>IFERROR(ROUND(AVERAGE(AB29,CC29,ED29,GE29,IF29,KG29,MH29,OI29,QJ29,SK29,UL29,WM29,YN29,AAO29), 2), "")</f>
        <v/>
      </c>
      <c r="F29" s="14">
        <f>IF(SUM(BH29,DI29,FJ29,HK29,JL29,LM29,NN29,PO29,RP29,TQ29,VR29,XS29,ZT29,ABU29)=0, "", SUM(BH29,DI29,FJ29,HK29,JL29,LM29,NN29,PO29,RP29,TQ29,VR29,XS29,ZT29,ABU29))</f>
        <v/>
      </c>
      <c r="G29" s="8">
        <f>IF(SUM(BG29,DH29,FI29,HJ29,JK29,LL29,NM29,PN29,RO29,TP29,VQ29,XR29,ZS29,ABT29)=0, "", SUM(BG29,DH29,FI29,HJ29,JK29,LL29,NM29,PN29,RO29,TP29,VQ29,XR29,ZS29,ABT29))</f>
        <v/>
      </c>
      <c r="H29" s="6" t="n"/>
      <c r="I29" s="79" t="n"/>
      <c r="J29" s="6" t="n"/>
      <c r="K29" s="79" t="n"/>
      <c r="L29" s="6" t="n"/>
      <c r="M29" s="79" t="n"/>
      <c r="N29" s="6" t="n"/>
      <c r="O29" s="79" t="n"/>
      <c r="P29" s="6" t="n"/>
      <c r="Q29" s="79" t="n"/>
      <c r="R29" s="18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18" t="n"/>
      <c r="AB29" s="14">
        <f>IFERROR(ROUND(AVERAGE(H29,J29,L29,N29,P29,R29,T29,V29,X29,Z29), 2), "")</f>
        <v/>
      </c>
      <c r="AC29" s="6" t="n"/>
      <c r="AD29" s="79" t="n"/>
      <c r="AE29" s="6" t="n"/>
      <c r="AF29" s="79" t="n"/>
      <c r="AG29" s="6" t="n"/>
      <c r="AH29" s="79" t="n"/>
      <c r="AI29" s="6" t="n"/>
      <c r="AJ29" s="79" t="n"/>
      <c r="AK29" s="6" t="n"/>
      <c r="AL29" s="79" t="n"/>
      <c r="AM29" s="18" t="n"/>
      <c r="AN29" s="79" t="n"/>
      <c r="AO29" s="79" t="n"/>
      <c r="AP29" s="79" t="n"/>
      <c r="AQ29" s="79" t="n"/>
      <c r="AR29" s="79" t="n"/>
      <c r="AS29" s="79" t="n"/>
      <c r="AT29" s="79" t="n"/>
      <c r="AU29" s="79" t="n"/>
      <c r="AV29" s="18" t="n"/>
      <c r="AW29" s="19" t="n"/>
      <c r="AX29" s="6" t="n"/>
      <c r="AY29" s="79" t="n"/>
      <c r="AZ29" s="6" t="n"/>
      <c r="BA29" s="79" t="n"/>
      <c r="BB29" s="6" t="n"/>
      <c r="BC29" s="79" t="n"/>
      <c r="BD29" s="6" t="n"/>
      <c r="BE29" s="79" t="n"/>
      <c r="BF29" s="6" t="n"/>
      <c r="BG29" s="79">
        <f>IF(COUNTA(AC29:BF29)=0, "", SUMPRODUCT(--ISNUMBER(SEARCH("m", AC29:BF29))))</f>
        <v/>
      </c>
      <c r="BH29" s="18">
        <f>IF(COUNTA(AC29:BF29)=0, "", COUNTA(AC29:BF29) - SUMPRODUCT(--ISNUMBER(SEARCH("m", AC29:BF29))))</f>
        <v/>
      </c>
      <c r="BI29" s="79" t="n"/>
      <c r="BJ29" s="79" t="n"/>
      <c r="BK29" s="79" t="n"/>
      <c r="BL29" s="79" t="n"/>
      <c r="BM29" s="79" t="n"/>
      <c r="BN29" s="79" t="n"/>
      <c r="BO29" s="79" t="n"/>
      <c r="BP29" s="79" t="n"/>
      <c r="BQ29" s="18" t="n"/>
      <c r="BR29" s="19" t="n"/>
      <c r="BS29" s="6" t="n"/>
      <c r="BT29" s="79" t="n"/>
      <c r="BU29" s="6" t="n"/>
      <c r="BV29" s="79" t="n"/>
      <c r="BW29" s="6" t="n"/>
      <c r="BX29" s="79" t="n"/>
      <c r="BY29" s="6" t="n"/>
      <c r="BZ29" s="79" t="n"/>
      <c r="CA29" s="6" t="n"/>
      <c r="CB29" s="79" t="n"/>
      <c r="CC29" s="8">
        <f>IFERROR(ROUND(AVERAGE(BI29,BK29,BM29,BO29,BQ29,BS29,BU29,BW29,BY29,CA29), 2), "")</f>
        <v/>
      </c>
      <c r="CD29" s="79" t="n"/>
      <c r="CE29" s="79" t="n"/>
      <c r="CF29" s="79" t="n"/>
      <c r="CG29" s="79" t="n"/>
      <c r="CH29" s="79" t="n"/>
      <c r="CI29" s="79" t="n"/>
      <c r="CJ29" s="79" t="n"/>
      <c r="CK29" s="79" t="n"/>
      <c r="CL29" s="18" t="n"/>
      <c r="CM29" s="19" t="n"/>
      <c r="CN29" s="6" t="n"/>
      <c r="CO29" s="79" t="n"/>
      <c r="CP29" s="6" t="n"/>
      <c r="CQ29" s="79" t="n"/>
      <c r="CR29" s="6" t="n"/>
      <c r="CS29" s="79" t="n"/>
      <c r="CT29" s="6" t="n"/>
      <c r="CU29" s="79" t="n"/>
      <c r="CV29" s="6" t="n"/>
      <c r="CW29" s="79" t="n"/>
      <c r="CX29" s="18" t="n"/>
      <c r="CY29" s="79" t="n"/>
      <c r="CZ29" s="79" t="n"/>
      <c r="DA29" s="79" t="n"/>
      <c r="DB29" s="79" t="n"/>
      <c r="DC29" s="79" t="n"/>
      <c r="DD29" s="79" t="n"/>
      <c r="DE29" s="79" t="n"/>
      <c r="DF29" s="79" t="n"/>
      <c r="DG29" s="18" t="n"/>
      <c r="DH29" s="19">
        <f>IF(COUNTA(CD29:DG29)=0, "", SUMPRODUCT(--ISNUMBER(SEARCH("m", CD29:DG29))))</f>
        <v/>
      </c>
      <c r="DI29" s="6">
        <f>IF(COUNTA(CD29:DG29)=0, "", COUNTA(CD29:DG29) - SUMPRODUCT(--ISNUMBER(SEARCH("m", CD29:DG29))))</f>
        <v/>
      </c>
      <c r="DJ29" s="79" t="n"/>
      <c r="DK29" s="6" t="n"/>
      <c r="DL29" s="79" t="n"/>
      <c r="DM29" s="6" t="n"/>
      <c r="DN29" s="79" t="n"/>
      <c r="DO29" s="6" t="n"/>
      <c r="DP29" s="79" t="n"/>
      <c r="DQ29" s="6" t="n"/>
      <c r="DR29" s="79" t="n"/>
      <c r="DS29" s="18" t="n"/>
      <c r="DT29" s="79" t="n"/>
      <c r="DU29" s="79" t="n"/>
      <c r="DV29" s="79" t="n"/>
      <c r="DW29" s="79" t="n"/>
      <c r="DX29" s="79" t="n"/>
      <c r="DY29" s="79" t="n"/>
      <c r="DZ29" s="79" t="n"/>
      <c r="EA29" s="79" t="n"/>
      <c r="EB29" s="18" t="n"/>
      <c r="EC29" s="19" t="n"/>
      <c r="ED29" s="20">
        <f>IFERROR(ROUND(AVERAGE(DJ29,DL29,DN29,DP29,DR29,DT29,DV29,DX29,DZ29,EB29), 2), "")</f>
        <v/>
      </c>
      <c r="EE29" s="79" t="n"/>
      <c r="EF29" s="6" t="n"/>
      <c r="EG29" s="79" t="n"/>
      <c r="EH29" s="6" t="n"/>
      <c r="EI29" s="79" t="n"/>
      <c r="EJ29" s="6" t="n"/>
      <c r="EK29" s="79" t="n"/>
      <c r="EL29" s="6" t="n"/>
      <c r="EM29" s="79" t="n"/>
      <c r="EN29" s="18" t="n"/>
      <c r="EO29" s="79" t="n"/>
      <c r="EP29" s="79" t="n"/>
      <c r="EQ29" s="79" t="n"/>
      <c r="ER29" s="79" t="n"/>
      <c r="ES29" s="79" t="n"/>
      <c r="ET29" s="79" t="n"/>
      <c r="EU29" s="79" t="n"/>
      <c r="EV29" s="79" t="n"/>
      <c r="EW29" s="18" t="n"/>
      <c r="EX29" s="19" t="n"/>
      <c r="EY29" s="6" t="n"/>
      <c r="EZ29" s="79" t="n"/>
      <c r="FA29" s="6" t="n"/>
      <c r="FB29" s="79" t="n"/>
      <c r="FC29" s="6" t="n"/>
      <c r="FD29" s="79" t="n"/>
      <c r="FE29" s="6" t="n"/>
      <c r="FF29" s="79" t="n"/>
      <c r="FG29" s="6" t="n"/>
      <c r="FH29" s="79" t="n"/>
      <c r="FI29" s="18">
        <f>IF(COUNTA(EE29:FH29)=0, "", SUMPRODUCT(--ISNUMBER(SEARCH("m", EE29:FH29))))</f>
        <v/>
      </c>
      <c r="FJ29" s="79">
        <f>IF(COUNTA(EE29:FH29)=0, "", COUNTA(EE29:FH29) - SUMPRODUCT(--ISNUMBER(SEARCH("m", EE29:FH29))))</f>
        <v/>
      </c>
      <c r="FK29" s="79" t="n"/>
      <c r="FL29" s="79" t="n"/>
      <c r="FM29" s="79" t="n"/>
      <c r="FN29" s="79" t="n"/>
      <c r="FO29" s="79" t="n"/>
      <c r="FP29" s="79" t="n"/>
      <c r="FQ29" s="79" t="n"/>
      <c r="FR29" s="18" t="n"/>
      <c r="FS29" s="19" t="n"/>
      <c r="FT29" s="6" t="n"/>
      <c r="FU29" s="79" t="n"/>
      <c r="FV29" s="6" t="n"/>
      <c r="FW29" s="79" t="n"/>
      <c r="FX29" s="6" t="n"/>
      <c r="FY29" s="79" t="n"/>
      <c r="FZ29" s="6" t="n"/>
      <c r="GA29" s="79" t="n"/>
      <c r="GB29" s="6" t="n"/>
      <c r="GC29" s="79" t="n"/>
      <c r="GD29" s="18" t="n"/>
      <c r="GE29" s="80">
        <f>IFERROR(ROUND(AVERAGE(FK29,FM29,FO29,FQ29,FS29,FU29,FW29,FY29,GA29,GC29), 2), "")</f>
        <v/>
      </c>
      <c r="GF29" s="79" t="n"/>
      <c r="GG29" s="79" t="n"/>
      <c r="GH29" s="79" t="n"/>
      <c r="GI29" s="79" t="n"/>
      <c r="GJ29" s="79" t="n"/>
      <c r="GK29" s="79" t="n"/>
      <c r="GL29" s="79" t="n"/>
      <c r="GM29" s="18" t="n"/>
      <c r="GN29" s="19" t="n"/>
      <c r="GO29" s="6" t="n"/>
      <c r="GP29" s="79" t="n"/>
      <c r="GQ29" s="6" t="n"/>
      <c r="GR29" s="79" t="n"/>
      <c r="GS29" s="6" t="n"/>
      <c r="GT29" s="79" t="n"/>
      <c r="GU29" s="6" t="n"/>
      <c r="GV29" s="79" t="n"/>
      <c r="GW29" s="6" t="n"/>
      <c r="GX29" s="79" t="n"/>
      <c r="GY29" s="18" t="n"/>
      <c r="GZ29" s="79" t="n"/>
      <c r="HA29" s="79" t="n"/>
      <c r="HB29" s="79" t="n"/>
      <c r="HC29" s="79" t="n"/>
      <c r="HD29" s="79" t="n"/>
      <c r="HE29" s="79" t="n"/>
      <c r="HF29" s="79" t="n"/>
      <c r="HG29" s="79" t="n"/>
      <c r="HH29" s="18" t="n"/>
      <c r="HI29" s="19" t="n"/>
      <c r="HJ29" s="6">
        <f>IF(COUNTA(GF29:HI29)=0, "", SUMPRODUCT(--ISNUMBER(SEARCH("m", GF29:HI29))))</f>
        <v/>
      </c>
      <c r="HK29" s="79">
        <f>IF(COUNTA(GF29:HI29)=0, "", COUNTA(GF29:HI29) - SUMPRODUCT(--ISNUMBER(SEARCH("m", GF29:HI29))))</f>
        <v/>
      </c>
      <c r="HL29" s="6" t="n"/>
      <c r="HM29" s="79" t="n"/>
      <c r="HN29" s="6" t="n"/>
      <c r="HO29" s="79" t="n"/>
      <c r="HP29" s="6" t="n"/>
      <c r="HQ29" s="79" t="n"/>
      <c r="HR29" s="6" t="n"/>
      <c r="HS29" s="79" t="n"/>
      <c r="HT29" s="18" t="n"/>
      <c r="HU29" s="79" t="n"/>
      <c r="HV29" s="79" t="n"/>
      <c r="HW29" s="79" t="n"/>
      <c r="HX29" s="79" t="n"/>
      <c r="HY29" s="79" t="n"/>
      <c r="HZ29" s="79" t="n"/>
      <c r="IA29" s="79" t="n"/>
      <c r="IB29" s="79" t="n"/>
      <c r="IC29" s="18" t="n"/>
      <c r="ID29" s="19" t="n"/>
      <c r="IE29" s="6" t="n"/>
      <c r="IF29" s="80">
        <f>IFERROR(ROUND(AVERAGE(HL29,HN29,HP29,HR29,HT29,HV29,HX29,HZ29,IB29,ID29), 2), "")</f>
        <v/>
      </c>
      <c r="IG29" s="6" t="n"/>
      <c r="IH29" s="79" t="n"/>
      <c r="II29" s="6" t="n"/>
      <c r="IJ29" s="79" t="n"/>
      <c r="IK29" s="6" t="n"/>
      <c r="IL29" s="79" t="n"/>
      <c r="IM29" s="6" t="n"/>
      <c r="IN29" s="79" t="n"/>
      <c r="IO29" s="18" t="n"/>
      <c r="IP29" s="79" t="n"/>
      <c r="IQ29" s="79" t="n"/>
      <c r="IR29" s="79" t="n"/>
      <c r="IS29" s="79" t="n"/>
      <c r="IT29" s="79" t="n"/>
      <c r="IU29" s="79" t="n"/>
      <c r="IV29" s="79" t="n"/>
      <c r="IW29" s="79" t="n"/>
      <c r="IX29" s="18" t="n"/>
      <c r="IY29" s="19" t="n"/>
      <c r="IZ29" s="6" t="n"/>
      <c r="JA29" s="79" t="n"/>
      <c r="JB29" s="6" t="n"/>
      <c r="JC29" s="79" t="n"/>
      <c r="JD29" s="6" t="n"/>
      <c r="JE29" s="79" t="n"/>
      <c r="JF29" s="6" t="n"/>
      <c r="JG29" s="79" t="n"/>
      <c r="JH29" s="6" t="n"/>
      <c r="JI29" s="79" t="n"/>
      <c r="JJ29" s="18" t="n"/>
      <c r="JK29" s="79">
        <f>IF(COUNTA(IG29:JJ29)=0, "", SUMPRODUCT(--ISNUMBER(SEARCH("m", IG29:JJ29))))</f>
        <v/>
      </c>
      <c r="JL29" s="79">
        <f>IF(COUNTA(IG29:JJ29)=0, "", COUNTA(IG29:JJ29) - SUMPRODUCT(--ISNUMBER(SEARCH("m", IG29:JJ29))))</f>
        <v/>
      </c>
      <c r="JM29" s="79" t="n"/>
      <c r="JN29" s="79" t="n"/>
      <c r="JO29" s="79" t="n"/>
      <c r="JP29" s="79" t="n"/>
      <c r="JQ29" s="79" t="n"/>
      <c r="JR29" s="79" t="n"/>
      <c r="JS29" s="18" t="n"/>
      <c r="JT29" s="19" t="n"/>
      <c r="JU29" s="6" t="n"/>
      <c r="JV29" s="79" t="n"/>
      <c r="JW29" s="6" t="n"/>
      <c r="JX29" s="79" t="n"/>
      <c r="JY29" s="6" t="n"/>
      <c r="JZ29" s="79" t="n"/>
      <c r="KA29" s="6" t="n"/>
      <c r="KB29" s="79" t="n"/>
      <c r="KC29" s="6" t="n"/>
      <c r="KD29" s="79" t="n"/>
      <c r="KE29" s="18" t="n"/>
      <c r="KF29" s="79" t="n"/>
      <c r="KG29" s="80">
        <f>IFERROR(ROUND(AVERAGE(JM29,JO29,JQ29,JS29,JU29,JW29,JY29,KA29,KC29,KE29), 2), "")</f>
        <v/>
      </c>
      <c r="KH29" s="79" t="n"/>
      <c r="KI29" s="79" t="n"/>
      <c r="KJ29" s="79" t="n"/>
      <c r="KK29" s="79" t="n"/>
      <c r="KL29" s="79" t="n"/>
      <c r="KM29" s="79" t="n"/>
      <c r="KN29" s="18" t="n"/>
      <c r="KO29" s="19" t="n"/>
      <c r="KP29" s="6" t="n"/>
      <c r="KQ29" s="6" t="n"/>
      <c r="KR29" s="6" t="n"/>
      <c r="KS29" s="6" t="n"/>
      <c r="KT29" s="6" t="n"/>
      <c r="KU29" s="6" t="n"/>
      <c r="KV29" s="6" t="n"/>
      <c r="KW29" s="6" t="n"/>
      <c r="KX29" s="6" t="n"/>
      <c r="KY29" s="6" t="n"/>
      <c r="KZ29" s="6" t="n"/>
      <c r="LA29" s="6" t="n"/>
      <c r="LB29" s="6" t="n"/>
      <c r="LC29" s="6" t="n"/>
      <c r="LD29" s="6" t="n"/>
      <c r="LE29" s="6" t="n"/>
      <c r="LF29" s="6" t="n"/>
      <c r="LG29" s="6" t="n"/>
      <c r="LH29" s="6" t="n"/>
      <c r="LI29" s="6" t="n"/>
      <c r="LJ29" s="6" t="n"/>
      <c r="LK29" s="6" t="n"/>
      <c r="LL29" s="6">
        <f>IF(COUNTA(KH29:LK29)=0, "", SUMPRODUCT(--ISNUMBER(SEARCH("m", KH29:LK29))))</f>
        <v/>
      </c>
      <c r="LM29" s="6">
        <f>IF(COUNTA(KH29:LK29)=0, "", COUNTA(KH29:LK29) - SUMPRODUCT(--ISNUMBER(SEARCH("m", KH29:LK29))))</f>
        <v/>
      </c>
      <c r="LN29" s="6" t="n"/>
      <c r="LO29" s="6" t="n"/>
      <c r="LP29" s="6" t="n"/>
      <c r="LQ29" s="6" t="n"/>
      <c r="LR29" s="6" t="n"/>
      <c r="LS29" s="6" t="n"/>
      <c r="LT29" s="6" t="n"/>
      <c r="LU29" s="6" t="n"/>
      <c r="LV29" s="6" t="n"/>
      <c r="LW29" s="6" t="n"/>
      <c r="LX29" s="6" t="n"/>
      <c r="LY29" s="6" t="n"/>
      <c r="LZ29" s="6" t="n"/>
      <c r="MA29" s="6" t="n"/>
      <c r="MB29" s="6" t="n"/>
      <c r="MC29" s="6" t="n"/>
      <c r="MD29" s="6" t="n"/>
      <c r="ME29" s="6" t="n"/>
      <c r="MF29" s="6" t="n"/>
      <c r="MG29" s="6" t="n"/>
      <c r="MH29" s="20">
        <f>IFERROR(ROUND(AVERAGE(LN29,LP29,LR29,LT29,LV29,LX29,LZ29,MB29,MD29,MF29), 2), "")</f>
        <v/>
      </c>
      <c r="MI29" s="6" t="n"/>
      <c r="MJ29" s="6" t="n"/>
      <c r="MK29" s="6" t="n"/>
      <c r="ML29" s="6" t="n"/>
      <c r="MM29" s="6" t="n"/>
      <c r="MN29" s="6" t="n"/>
      <c r="MO29" s="6" t="n"/>
      <c r="MP29" s="6" t="n"/>
      <c r="MQ29" s="6" t="n"/>
      <c r="MR29" s="6" t="n"/>
      <c r="MS29" s="6" t="n"/>
      <c r="MT29" s="6" t="n"/>
      <c r="MU29" s="6" t="n"/>
      <c r="MV29" s="6" t="n"/>
      <c r="MW29" s="6" t="n"/>
      <c r="MX29" s="6" t="n"/>
      <c r="MY29" s="6" t="n"/>
      <c r="MZ29" s="6" t="n"/>
      <c r="NA29" s="6" t="n"/>
      <c r="NB29" s="6" t="n"/>
      <c r="NC29" s="6" t="n"/>
      <c r="ND29" s="6" t="n"/>
      <c r="NE29" s="6" t="n"/>
      <c r="NF29" s="6" t="n"/>
      <c r="NG29" s="6" t="n"/>
      <c r="NH29" s="6" t="n"/>
      <c r="NI29" s="6" t="n"/>
      <c r="NJ29" s="6" t="n"/>
      <c r="NK29" s="6" t="n"/>
      <c r="NL29" s="6" t="n"/>
      <c r="NM29" s="6">
        <f>IF(COUNTA(MI29:NL29)=0, "", SUMPRODUCT(--ISNUMBER(SEARCH("m", MI29:NL29))))</f>
        <v/>
      </c>
      <c r="NN29" s="6">
        <f>IF(COUNTA(MI29:NL29)=0, "", COUNTA(MI29:NL29) - SUMPRODUCT(--ISNUMBER(SEARCH("m", MI29:NL29))))</f>
        <v/>
      </c>
      <c r="NO29" s="6" t="n"/>
      <c r="NP29" s="6" t="n"/>
      <c r="NQ29" s="6" t="n"/>
      <c r="NR29" s="6" t="n"/>
      <c r="NS29" s="6" t="n"/>
      <c r="NT29" s="6" t="n"/>
      <c r="NU29" s="6" t="n"/>
      <c r="NV29" s="6" t="n"/>
      <c r="NW29" s="6" t="n"/>
      <c r="NX29" s="6" t="n"/>
      <c r="NY29" s="6" t="n"/>
      <c r="NZ29" s="6" t="n"/>
      <c r="OA29" s="6" t="n"/>
      <c r="OB29" s="6" t="n"/>
      <c r="OC29" s="6" t="n"/>
      <c r="OD29" s="6" t="n"/>
      <c r="OE29" s="6" t="n"/>
      <c r="OF29" s="6" t="n"/>
      <c r="OG29" s="6" t="n"/>
      <c r="OH29" s="6" t="n"/>
      <c r="OI29" s="20">
        <f>IFERROR(ROUND(AVERAGE(NO29,NQ29,NS29,NU29,NW29,NY29,OA29,OC29,OE29,OG29), 2), "")</f>
        <v/>
      </c>
      <c r="OJ29" s="6" t="n"/>
      <c r="OK29" s="6" t="n"/>
      <c r="OL29" s="6" t="n"/>
      <c r="OM29" s="6" t="n"/>
      <c r="ON29" s="6" t="n"/>
      <c r="OO29" s="6" t="n"/>
      <c r="OP29" s="6" t="n"/>
      <c r="OQ29" s="6" t="n"/>
      <c r="OR29" s="6" t="n"/>
      <c r="OS29" s="6" t="n"/>
      <c r="OT29" s="6" t="n"/>
      <c r="OU29" s="6" t="n"/>
      <c r="OV29" s="6" t="n"/>
      <c r="OW29" s="6" t="n"/>
      <c r="OX29" s="6" t="n"/>
      <c r="OY29" s="6" t="n"/>
      <c r="OZ29" s="6" t="n"/>
      <c r="PA29" s="6" t="n"/>
      <c r="PB29" s="6" t="n"/>
      <c r="PC29" s="6" t="n"/>
      <c r="PD29" s="6" t="n"/>
      <c r="PE29" s="6" t="n"/>
      <c r="PF29" s="6" t="n"/>
      <c r="PG29" s="6" t="n"/>
      <c r="PH29" s="6" t="n"/>
      <c r="PI29" s="6" t="n"/>
      <c r="PJ29" s="6" t="n"/>
      <c r="PK29" s="6" t="n"/>
      <c r="PL29" s="6" t="n"/>
      <c r="PM29" s="6" t="n"/>
      <c r="PN29" s="6">
        <f>IF(COUNTA(OJ29:PM29)=0, "", SUMPRODUCT(--ISNUMBER(SEARCH("m", OJ29:PM29))))</f>
        <v/>
      </c>
      <c r="PO29" s="6">
        <f>IF(COUNTA(OJ29:PM29)=0, "", COUNTA(OJ29:PM29) - SUMPRODUCT(--ISNUMBER(SEARCH("m", OJ29:PM29))))</f>
        <v/>
      </c>
      <c r="PP29" s="6" t="n"/>
      <c r="PQ29" s="6" t="n"/>
      <c r="PR29" s="6" t="n"/>
      <c r="PS29" s="6" t="n"/>
      <c r="PT29" s="6" t="n"/>
      <c r="PU29" s="6" t="n"/>
      <c r="PV29" s="6" t="n"/>
      <c r="PW29" s="6" t="n"/>
      <c r="PX29" s="6" t="n"/>
      <c r="PY29" s="6" t="n"/>
      <c r="PZ29" s="6" t="n"/>
      <c r="QA29" s="6" t="n"/>
      <c r="QB29" s="6" t="n"/>
      <c r="QC29" s="6" t="n"/>
      <c r="QD29" s="6" t="n"/>
      <c r="QE29" s="6" t="n"/>
      <c r="QF29" s="6" t="n"/>
      <c r="QG29" s="6" t="n"/>
      <c r="QH29" s="6" t="n"/>
      <c r="QI29" s="6" t="n"/>
      <c r="QJ29" s="20">
        <f>IFERROR(ROUND(AVERAGE(PP29,PR29,PT29,PV29,PX29,PZ29,QB29,QD29,QF29,QH29), 2), "")</f>
        <v/>
      </c>
      <c r="QK29" s="6" t="n"/>
      <c r="QL29" s="6" t="n"/>
      <c r="QM29" s="6" t="n"/>
      <c r="QN29" s="6" t="n"/>
      <c r="QO29" s="6" t="n"/>
      <c r="QP29" s="6" t="n"/>
      <c r="QQ29" s="6" t="n"/>
      <c r="QR29" s="6" t="n"/>
      <c r="QS29" s="6" t="n"/>
      <c r="QT29" s="6" t="n"/>
      <c r="QU29" s="6" t="n"/>
      <c r="QV29" s="6" t="n"/>
      <c r="QW29" s="6" t="n"/>
      <c r="QX29" s="6" t="n"/>
      <c r="QY29" s="6" t="n"/>
      <c r="QZ29" s="6" t="n"/>
      <c r="RA29" s="6" t="n"/>
      <c r="RB29" s="6" t="n"/>
      <c r="RC29" s="6" t="n"/>
      <c r="RD29" s="6" t="n"/>
      <c r="RE29" s="6" t="n"/>
      <c r="RF29" s="6" t="n"/>
      <c r="RG29" s="6" t="n"/>
      <c r="RH29" s="6" t="n"/>
      <c r="RI29" s="6" t="n"/>
      <c r="RJ29" s="6" t="n"/>
      <c r="RK29" s="6" t="n"/>
      <c r="RL29" s="6" t="n"/>
      <c r="RM29" s="6" t="n"/>
      <c r="RN29" s="6" t="n"/>
      <c r="RO29" s="6">
        <f>IF(COUNTA(QK29:RN29)=0, "", SUMPRODUCT(--ISNUMBER(SEARCH("m", QK29:RN29))))</f>
        <v/>
      </c>
      <c r="RP29" s="6">
        <f>IF(COUNTA(QK29:RN29)=0, "", COUNTA(QK29:RN29) - SUMPRODUCT(--ISNUMBER(SEARCH("m", QK29:RN29))))</f>
        <v/>
      </c>
      <c r="RQ29" s="6" t="n"/>
      <c r="RR29" s="6" t="n"/>
      <c r="RS29" s="6" t="n"/>
      <c r="RT29" s="6" t="n"/>
      <c r="RU29" s="6" t="n"/>
      <c r="RV29" s="6" t="n"/>
      <c r="RW29" s="6" t="n"/>
      <c r="RX29" s="6" t="n"/>
      <c r="RY29" s="6" t="n"/>
      <c r="RZ29" s="6" t="n"/>
      <c r="SA29" s="6" t="n"/>
      <c r="SB29" s="6" t="n"/>
      <c r="SC29" s="6" t="n"/>
      <c r="SD29" s="6" t="n"/>
      <c r="SE29" s="6" t="n"/>
      <c r="SF29" s="6" t="n"/>
      <c r="SG29" s="6" t="n"/>
      <c r="SH29" s="6" t="n"/>
      <c r="SI29" s="6" t="n"/>
      <c r="SJ29" s="6" t="n"/>
      <c r="SK29" s="20">
        <f>IFERROR(ROUND(AVERAGE(RQ29,RS29,RU29,RW29,RY29,SA29,SC29,SE29,SG29,SI29), 2), "")</f>
        <v/>
      </c>
      <c r="SL29" s="6" t="n"/>
      <c r="SM29" s="6" t="n"/>
      <c r="SN29" s="6" t="n"/>
      <c r="SO29" s="6" t="n"/>
      <c r="SP29" s="6" t="n"/>
      <c r="SQ29" s="6" t="n"/>
      <c r="SR29" s="6" t="n"/>
      <c r="SS29" s="6" t="n"/>
      <c r="ST29" s="6" t="n"/>
      <c r="SU29" s="6" t="n"/>
      <c r="SV29" s="6" t="n"/>
      <c r="SW29" s="6" t="n"/>
      <c r="SX29" s="6" t="n"/>
      <c r="SY29" s="6" t="n"/>
      <c r="SZ29" s="6" t="n"/>
      <c r="TA29" s="6" t="n"/>
      <c r="TB29" s="6" t="n"/>
      <c r="TC29" s="6" t="n"/>
      <c r="TD29" s="6" t="n"/>
      <c r="TE29" s="6" t="n"/>
      <c r="TF29" s="6" t="n"/>
      <c r="TG29" s="6" t="n"/>
      <c r="TH29" s="6" t="n"/>
      <c r="TI29" s="6" t="n"/>
      <c r="TJ29" s="6" t="n"/>
      <c r="TK29" s="6" t="n"/>
      <c r="TL29" s="6" t="n"/>
      <c r="TM29" s="6" t="n"/>
      <c r="TN29" s="6" t="n"/>
      <c r="TO29" s="6" t="n"/>
      <c r="TP29" s="6">
        <f>IF(COUNTA(SL29:TO29)=0, "", SUMPRODUCT(--ISNUMBER(SEARCH("m", SL29:TO29))))</f>
        <v/>
      </c>
      <c r="TQ29" s="6">
        <f>IF(COUNTA(SL29:TO29)=0, "", COUNTA(SL29:TO29) - SUMPRODUCT(--ISNUMBER(SEARCH("m", SL29:TO29))))</f>
        <v/>
      </c>
      <c r="TR29" s="6" t="n"/>
      <c r="TS29" s="6" t="n"/>
      <c r="TT29" s="6" t="n"/>
      <c r="TU29" s="6" t="n"/>
      <c r="TV29" s="6" t="n"/>
      <c r="TW29" s="6" t="n"/>
      <c r="TX29" s="6" t="n"/>
      <c r="TY29" s="6" t="n"/>
      <c r="TZ29" s="6" t="n"/>
      <c r="UA29" s="6" t="n"/>
      <c r="UB29" s="6" t="n"/>
      <c r="UC29" s="6" t="n"/>
      <c r="UD29" s="6" t="n"/>
      <c r="UE29" s="6" t="n"/>
      <c r="UF29" s="6" t="n"/>
      <c r="UG29" s="6" t="n"/>
      <c r="UH29" s="6" t="n"/>
      <c r="UI29" s="6" t="n"/>
      <c r="UJ29" s="6" t="n"/>
      <c r="UK29" s="6" t="n"/>
      <c r="UL29" s="20">
        <f>IFERROR(ROUND(AVERAGE(TR29,TT29,TV29,TX29,TZ29,UB29,UD29,UF29,UH29,UJ29), 2), "")</f>
        <v/>
      </c>
      <c r="UM29" s="6" t="n"/>
      <c r="UN29" s="6" t="n"/>
      <c r="UO29" s="6" t="n"/>
      <c r="UP29" s="6" t="n"/>
      <c r="UQ29" s="6" t="n"/>
      <c r="UR29" s="6" t="n"/>
      <c r="US29" s="6" t="n"/>
      <c r="UT29" s="6" t="n"/>
      <c r="UU29" s="6" t="n"/>
      <c r="UV29" s="6" t="n"/>
      <c r="UW29" s="6" t="n"/>
      <c r="UX29" s="6" t="n"/>
      <c r="UY29" s="6" t="n"/>
      <c r="UZ29" s="6" t="n"/>
      <c r="VA29" s="6" t="n"/>
      <c r="VB29" s="6" t="n"/>
      <c r="VC29" s="6" t="n"/>
      <c r="VD29" s="6" t="n"/>
      <c r="VE29" s="6" t="n"/>
      <c r="VF29" s="6" t="n"/>
      <c r="VG29" s="6" t="n"/>
      <c r="VH29" s="6" t="n"/>
      <c r="VI29" s="6" t="n"/>
      <c r="VJ29" s="6" t="n"/>
      <c r="VK29" s="6" t="n"/>
      <c r="VL29" s="6" t="n"/>
      <c r="VM29" s="6" t="n"/>
      <c r="VN29" s="6" t="n"/>
      <c r="VO29" s="6" t="n"/>
      <c r="VP29" s="6" t="n"/>
      <c r="VQ29" s="6">
        <f>IF(COUNTA(UM29:VP29)=0, "", SUMPRODUCT(--ISNUMBER(SEARCH("m", UM29:VP29))))</f>
        <v/>
      </c>
      <c r="VR29" s="6">
        <f>IF(COUNTA(UM29:VP29)=0, "", COUNTA(UM29:VP29) - SUMPRODUCT(--ISNUMBER(SEARCH("m", UM29:VP29))))</f>
        <v/>
      </c>
      <c r="VS29" s="6" t="n"/>
      <c r="VT29" s="6" t="n"/>
      <c r="VU29" s="6" t="n"/>
      <c r="VV29" s="6" t="n"/>
      <c r="VW29" s="6" t="n"/>
      <c r="VX29" s="6" t="n"/>
      <c r="VY29" s="6" t="n"/>
      <c r="VZ29" s="6" t="n"/>
      <c r="WA29" s="6" t="n"/>
      <c r="WB29" s="6" t="n"/>
      <c r="WC29" s="6" t="n"/>
      <c r="WD29" s="6" t="n"/>
      <c r="WE29" s="6" t="n"/>
      <c r="WF29" s="6" t="n"/>
      <c r="WG29" s="6" t="n"/>
      <c r="WH29" s="6" t="n"/>
      <c r="WI29" s="6" t="n"/>
      <c r="WJ29" s="6" t="n"/>
      <c r="WK29" s="6" t="n"/>
      <c r="WL29" s="6" t="n"/>
      <c r="WM29" s="20">
        <f>IFERROR(ROUND(AVERAGE(VS29,VU29,VW29,VY29,WA29,WC29,WE29,WG29,WI29,WK29), 2), "")</f>
        <v/>
      </c>
      <c r="WN29" s="6" t="n"/>
      <c r="WO29" s="6" t="n"/>
      <c r="WP29" s="6" t="n"/>
      <c r="WQ29" s="6" t="n"/>
      <c r="WR29" s="6" t="n"/>
      <c r="WS29" s="6" t="n"/>
      <c r="WT29" s="6" t="n"/>
      <c r="WU29" s="6" t="n"/>
      <c r="WV29" s="6" t="n"/>
      <c r="WW29" s="6" t="n"/>
      <c r="WX29" s="6" t="n"/>
      <c r="WY29" s="6" t="n"/>
      <c r="WZ29" s="6" t="n"/>
      <c r="XA29" s="6" t="n"/>
      <c r="XB29" s="6" t="n"/>
      <c r="XC29" s="6" t="n"/>
      <c r="XD29" s="6" t="n"/>
      <c r="XE29" s="6" t="n"/>
      <c r="XF29" s="6" t="n"/>
      <c r="XG29" s="6" t="n"/>
      <c r="XH29" s="6" t="n"/>
      <c r="XI29" s="6" t="n"/>
      <c r="XJ29" s="6" t="n"/>
      <c r="XK29" s="6" t="n"/>
      <c r="XL29" s="6" t="n"/>
      <c r="XM29" s="6" t="n"/>
      <c r="XN29" s="6" t="n"/>
      <c r="XO29" s="6" t="n"/>
      <c r="XP29" s="6" t="n"/>
      <c r="XQ29" s="6" t="n"/>
      <c r="XR29" s="6">
        <f>IF(COUNTA(WN29:XQ29)=0, "", SUMPRODUCT(--ISNUMBER(SEARCH("m", WN29:XQ29))))</f>
        <v/>
      </c>
      <c r="XS29" s="6">
        <f>IF(COUNTA(WN29:XQ29)=0, "", COUNTA(WN29:XQ29) - SUMPRODUCT(--ISNUMBER(SEARCH("m", WN29:XQ29))))</f>
        <v/>
      </c>
      <c r="XT29" s="6" t="n"/>
      <c r="XU29" s="6" t="n"/>
      <c r="XV29" s="6" t="n"/>
      <c r="XW29" s="6" t="n"/>
      <c r="XX29" s="6" t="n"/>
      <c r="XY29" s="6" t="n"/>
      <c r="XZ29" s="6" t="n"/>
      <c r="YA29" s="6" t="n"/>
      <c r="YB29" s="6" t="n"/>
      <c r="YC29" s="6" t="n"/>
      <c r="YD29" s="6" t="n"/>
      <c r="YE29" s="6" t="n"/>
      <c r="YF29" s="6" t="n"/>
      <c r="YG29" s="6" t="n"/>
      <c r="YH29" s="6" t="n"/>
      <c r="YI29" s="6" t="n"/>
      <c r="YJ29" s="6" t="n"/>
      <c r="YK29" s="6" t="n"/>
      <c r="YL29" s="6" t="n"/>
      <c r="YM29" s="6" t="n"/>
      <c r="YN29" s="20">
        <f>IFERROR(ROUND(AVERAGE(XT29,XV29,XX29,XZ29,YB29,YD29,YF29,YH29,YJ29,YL29), 2), "")</f>
        <v/>
      </c>
      <c r="YO29" s="6" t="n"/>
      <c r="YP29" s="6" t="n"/>
      <c r="YQ29" s="6" t="n"/>
      <c r="YR29" s="6" t="n"/>
      <c r="YS29" s="6" t="n"/>
      <c r="YT29" s="6" t="n"/>
      <c r="YU29" s="6" t="n"/>
      <c r="YV29" s="6" t="n"/>
      <c r="YW29" s="6" t="n"/>
      <c r="YX29" s="6" t="n"/>
      <c r="YY29" s="6" t="n"/>
      <c r="YZ29" s="6" t="n"/>
      <c r="ZA29" s="6" t="n"/>
      <c r="ZB29" s="6" t="n"/>
      <c r="ZC29" s="6" t="n"/>
      <c r="ZD29" s="6" t="n"/>
      <c r="ZE29" s="6" t="n"/>
      <c r="ZF29" s="6" t="n"/>
      <c r="ZG29" s="6" t="n"/>
      <c r="ZH29" s="6" t="n"/>
      <c r="ZI29" s="6" t="n"/>
      <c r="ZJ29" s="6" t="n"/>
      <c r="ZK29" s="6" t="n"/>
      <c r="ZL29" s="6" t="n"/>
      <c r="ZM29" s="6" t="n"/>
      <c r="ZN29" s="6" t="n"/>
      <c r="ZO29" s="6" t="n"/>
      <c r="ZP29" s="6" t="n"/>
      <c r="ZQ29" s="6" t="n"/>
      <c r="ZR29" s="6" t="n"/>
      <c r="ZS29" s="6">
        <f>IF(COUNTA(YO29:ZR29)=0, "", SUMPRODUCT(--ISNUMBER(SEARCH("m", YO29:ZR29))))</f>
        <v/>
      </c>
      <c r="ZT29" s="6">
        <f>IF(COUNTA(YO29:ZR29)=0, "", COUNTA(YO29:ZR29) - SUMPRODUCT(--ISNUMBER(SEARCH("m", YO29:ZR29))))</f>
        <v/>
      </c>
      <c r="ZU29" s="6" t="n"/>
      <c r="ZV29" s="6" t="n"/>
      <c r="ZW29" s="6" t="n"/>
      <c r="ZX29" s="6" t="n"/>
      <c r="ZY29" s="6" t="n"/>
      <c r="ZZ29" s="6" t="n"/>
      <c r="AAA29" s="6" t="n"/>
      <c r="AAB29" s="6" t="n"/>
      <c r="AAC29" s="6" t="n"/>
      <c r="AAD29" s="6" t="n"/>
      <c r="AAE29" s="6" t="n"/>
      <c r="AAF29" s="6" t="n"/>
      <c r="AAG29" s="6" t="n"/>
      <c r="AAH29" s="6" t="n"/>
      <c r="AAI29" s="6" t="n"/>
      <c r="AAJ29" s="6" t="n"/>
      <c r="AAK29" s="6" t="n"/>
      <c r="AAL29" s="6" t="n"/>
      <c r="AAM29" s="6" t="n"/>
      <c r="AAN29" s="6" t="n"/>
      <c r="AAO29" s="20">
        <f>IFERROR(ROUND(AVERAGE(ZU29,ZW29,ZY29,AAA29,AAC29,AAE29,AAG29,AAI29,AAK29,AAM29), 2), "")</f>
        <v/>
      </c>
      <c r="AAP29" s="6" t="n"/>
      <c r="AAQ29" s="6" t="n"/>
      <c r="AAR29" s="6" t="n"/>
      <c r="AAS29" s="6" t="n"/>
      <c r="AAT29" s="6" t="n"/>
      <c r="AAU29" s="6" t="n"/>
      <c r="AAV29" s="6" t="n"/>
      <c r="AAW29" s="6" t="n"/>
      <c r="AAX29" s="6" t="n"/>
      <c r="AAY29" s="6" t="n"/>
      <c r="AAZ29" s="6" t="n"/>
      <c r="ABA29" s="6" t="n"/>
      <c r="ABB29" s="6" t="n"/>
      <c r="ABC29" s="6" t="n"/>
      <c r="ABD29" s="6" t="n"/>
      <c r="ABE29" s="6" t="n"/>
      <c r="ABF29" s="6" t="n"/>
      <c r="ABG29" s="6" t="n"/>
      <c r="ABH29" s="6" t="n"/>
      <c r="ABI29" s="6" t="n"/>
      <c r="ABJ29" s="6" t="n"/>
      <c r="ABK29" s="6" t="n"/>
      <c r="ABL29" s="6" t="n"/>
      <c r="ABM29" s="6" t="n"/>
      <c r="ABN29" s="6" t="n"/>
      <c r="ABO29" s="6" t="n"/>
      <c r="ABP29" s="6" t="n"/>
      <c r="ABQ29" s="6" t="n"/>
      <c r="ABR29" s="6" t="n"/>
      <c r="ABS29" s="6" t="n"/>
      <c r="ABT29" s="6">
        <f>IF(COUNTA(AAP29:ABS29)=0, "", SUMPRODUCT(--ISNUMBER(SEARCH("m", AAP29:ABS29))))</f>
        <v/>
      </c>
      <c r="ABU29" s="6">
        <f>IF(COUNTA(AAP29:ABS29)=0, "", COUNTA(AAP29:ABS29) - SUMPRODUCT(--ISNUMBER(SEARCH("m", AAP29:ABS29))))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8">
        <f>IFERROR(ROUND(AVERAGE(AB30,CC30,ED30,GE30,IF30,KG30,MH30,OI30,QJ30,SK30,UL30,WM30,YN30,AAO30), 2), "")</f>
        <v/>
      </c>
      <c r="F30" s="14">
        <f>IF(SUM(BH30,DI30,FJ30,HK30,JL30,LM30,NN30,PO30,RP30,TQ30,VR30,XS30,ZT30,ABU30)=0, "", SUM(BH30,DI30,FJ30,HK30,JL30,LM30,NN30,PO30,RP30,TQ30,VR30,XS30,ZT30,ABU30))</f>
        <v/>
      </c>
      <c r="G30" s="8">
        <f>IF(SUM(BG30,DH30,FI30,HJ30,JK30,LL30,NM30,PN30,RO30,TP30,VQ30,XR30,ZS30,ABT30)=0, "", SUM(BG30,DH30,FI30,HJ30,JK30,LL30,NM30,PN30,RO30,TP30,VQ30,XR30,ZS30,ABT30))</f>
        <v/>
      </c>
      <c r="H30" s="6" t="n"/>
      <c r="I30" s="79" t="n"/>
      <c r="J30" s="6" t="n"/>
      <c r="K30" s="79" t="n"/>
      <c r="L30" s="6" t="n"/>
      <c r="M30" s="79" t="n"/>
      <c r="N30" s="6" t="n"/>
      <c r="O30" s="79" t="n"/>
      <c r="P30" s="6" t="n"/>
      <c r="Q30" s="79" t="n"/>
      <c r="R30" s="18" t="n"/>
      <c r="S30" s="79" t="n"/>
      <c r="T30" s="79" t="n"/>
      <c r="U30" s="79" t="n"/>
      <c r="V30" s="79" t="n"/>
      <c r="W30" s="79" t="n"/>
      <c r="X30" s="79" t="n"/>
      <c r="Y30" s="79" t="n"/>
      <c r="Z30" s="79" t="n"/>
      <c r="AA30" s="18" t="n"/>
      <c r="AB30" s="14">
        <f>IFERROR(ROUND(AVERAGE(H30,J30,L30,N30,P30,R30,T30,V30,X30,Z30), 2), "")</f>
        <v/>
      </c>
      <c r="AC30" s="6" t="n"/>
      <c r="AD30" s="79" t="n"/>
      <c r="AE30" s="6" t="n"/>
      <c r="AF30" s="79" t="n"/>
      <c r="AG30" s="6" t="n"/>
      <c r="AH30" s="79" t="n"/>
      <c r="AI30" s="6" t="n"/>
      <c r="AJ30" s="79" t="n"/>
      <c r="AK30" s="6" t="n"/>
      <c r="AL30" s="79" t="n"/>
      <c r="AM30" s="18" t="n"/>
      <c r="AN30" s="79" t="n"/>
      <c r="AO30" s="79" t="n"/>
      <c r="AP30" s="79" t="n"/>
      <c r="AQ30" s="79" t="n"/>
      <c r="AR30" s="79" t="n"/>
      <c r="AS30" s="79" t="n"/>
      <c r="AT30" s="79" t="n"/>
      <c r="AU30" s="79" t="n"/>
      <c r="AV30" s="18" t="n"/>
      <c r="AW30" s="19" t="n"/>
      <c r="AX30" s="6" t="n"/>
      <c r="AY30" s="79" t="n"/>
      <c r="AZ30" s="6" t="n"/>
      <c r="BA30" s="79" t="n"/>
      <c r="BB30" s="6" t="n"/>
      <c r="BC30" s="79" t="n"/>
      <c r="BD30" s="6" t="n"/>
      <c r="BE30" s="79" t="n"/>
      <c r="BF30" s="6" t="n"/>
      <c r="BG30" s="79">
        <f>IF(COUNTA(AC30:BF30)=0, "", SUMPRODUCT(--ISNUMBER(SEARCH("m", AC30:BF30))))</f>
        <v/>
      </c>
      <c r="BH30" s="18">
        <f>IF(COUNTA(AC30:BF30)=0, "", COUNTA(AC30:BF30) - SUMPRODUCT(--ISNUMBER(SEARCH("m", AC30:BF30))))</f>
        <v/>
      </c>
      <c r="BI30" s="79" t="n"/>
      <c r="BJ30" s="79" t="n"/>
      <c r="BK30" s="79" t="n"/>
      <c r="BL30" s="79" t="n"/>
      <c r="BM30" s="79" t="n"/>
      <c r="BN30" s="79" t="n"/>
      <c r="BO30" s="79" t="n"/>
      <c r="BP30" s="79" t="n"/>
      <c r="BQ30" s="18" t="n"/>
      <c r="BR30" s="19" t="n"/>
      <c r="BS30" s="6" t="n"/>
      <c r="BT30" s="79" t="n"/>
      <c r="BU30" s="6" t="n"/>
      <c r="BV30" s="79" t="n"/>
      <c r="BW30" s="6" t="n"/>
      <c r="BX30" s="79" t="n"/>
      <c r="BY30" s="6" t="n"/>
      <c r="BZ30" s="79" t="n"/>
      <c r="CA30" s="6" t="n"/>
      <c r="CB30" s="79" t="n"/>
      <c r="CC30" s="8">
        <f>IFERROR(ROUND(AVERAGE(BI30,BK30,BM30,BO30,BQ30,BS30,BU30,BW30,BY30,CA30), 2), "")</f>
        <v/>
      </c>
      <c r="CD30" s="79" t="n"/>
      <c r="CE30" s="79" t="n"/>
      <c r="CF30" s="79" t="n"/>
      <c r="CG30" s="79" t="n"/>
      <c r="CH30" s="79" t="n"/>
      <c r="CI30" s="79" t="n"/>
      <c r="CJ30" s="79" t="n"/>
      <c r="CK30" s="79" t="n"/>
      <c r="CL30" s="18" t="n"/>
      <c r="CM30" s="19" t="n"/>
      <c r="CN30" s="6" t="n"/>
      <c r="CO30" s="79" t="n"/>
      <c r="CP30" s="6" t="n"/>
      <c r="CQ30" s="79" t="n"/>
      <c r="CR30" s="6" t="n"/>
      <c r="CS30" s="79" t="n"/>
      <c r="CT30" s="6" t="n"/>
      <c r="CU30" s="79" t="n"/>
      <c r="CV30" s="6" t="n"/>
      <c r="CW30" s="79" t="n"/>
      <c r="CX30" s="18" t="n"/>
      <c r="CY30" s="79" t="n"/>
      <c r="CZ30" s="79" t="n"/>
      <c r="DA30" s="79" t="n"/>
      <c r="DB30" s="79" t="n"/>
      <c r="DC30" s="79" t="n"/>
      <c r="DD30" s="79" t="n"/>
      <c r="DE30" s="79" t="n"/>
      <c r="DF30" s="79" t="n"/>
      <c r="DG30" s="18" t="n"/>
      <c r="DH30" s="19">
        <f>IF(COUNTA(CD30:DG30)=0, "", SUMPRODUCT(--ISNUMBER(SEARCH("m", CD30:DG30))))</f>
        <v/>
      </c>
      <c r="DI30" s="6">
        <f>IF(COUNTA(CD30:DG30)=0, "", COUNTA(CD30:DG30) - SUMPRODUCT(--ISNUMBER(SEARCH("m", CD30:DG30))))</f>
        <v/>
      </c>
      <c r="DJ30" s="79" t="n"/>
      <c r="DK30" s="6" t="n"/>
      <c r="DL30" s="79" t="n"/>
      <c r="DM30" s="6" t="n"/>
      <c r="DN30" s="79" t="n"/>
      <c r="DO30" s="6" t="n"/>
      <c r="DP30" s="79" t="n"/>
      <c r="DQ30" s="6" t="n"/>
      <c r="DR30" s="79" t="n"/>
      <c r="DS30" s="18" t="n"/>
      <c r="DT30" s="79" t="n"/>
      <c r="DU30" s="79" t="n"/>
      <c r="DV30" s="79" t="n"/>
      <c r="DW30" s="79" t="n"/>
      <c r="DX30" s="79" t="n"/>
      <c r="DY30" s="79" t="n"/>
      <c r="DZ30" s="79" t="n"/>
      <c r="EA30" s="79" t="n"/>
      <c r="EB30" s="18" t="n"/>
      <c r="EC30" s="19" t="n"/>
      <c r="ED30" s="20">
        <f>IFERROR(ROUND(AVERAGE(DJ30,DL30,DN30,DP30,DR30,DT30,DV30,DX30,DZ30,EB30), 2), "")</f>
        <v/>
      </c>
      <c r="EE30" s="79" t="n"/>
      <c r="EF30" s="6" t="n"/>
      <c r="EG30" s="79" t="n"/>
      <c r="EH30" s="6" t="n"/>
      <c r="EI30" s="79" t="n"/>
      <c r="EJ30" s="6" t="n"/>
      <c r="EK30" s="79" t="n"/>
      <c r="EL30" s="6" t="n"/>
      <c r="EM30" s="79" t="n"/>
      <c r="EN30" s="18" t="n"/>
      <c r="EO30" s="79" t="n"/>
      <c r="EP30" s="79" t="n"/>
      <c r="EQ30" s="79" t="n"/>
      <c r="ER30" s="79" t="n"/>
      <c r="ES30" s="79" t="n"/>
      <c r="ET30" s="79" t="n"/>
      <c r="EU30" s="79" t="n"/>
      <c r="EV30" s="79" t="n"/>
      <c r="EW30" s="18" t="n"/>
      <c r="EX30" s="19" t="n"/>
      <c r="EY30" s="6" t="n"/>
      <c r="EZ30" s="79" t="n"/>
      <c r="FA30" s="6" t="n"/>
      <c r="FB30" s="79" t="n"/>
      <c r="FC30" s="6" t="n"/>
      <c r="FD30" s="79" t="n"/>
      <c r="FE30" s="6" t="n"/>
      <c r="FF30" s="79" t="n"/>
      <c r="FG30" s="6" t="n"/>
      <c r="FH30" s="79" t="n"/>
      <c r="FI30" s="18">
        <f>IF(COUNTA(EE30:FH30)=0, "", SUMPRODUCT(--ISNUMBER(SEARCH("m", EE30:FH30))))</f>
        <v/>
      </c>
      <c r="FJ30" s="79">
        <f>IF(COUNTA(EE30:FH30)=0, "", COUNTA(EE30:FH30) - SUMPRODUCT(--ISNUMBER(SEARCH("m", EE30:FH30))))</f>
        <v/>
      </c>
      <c r="FK30" s="79" t="n"/>
      <c r="FL30" s="79" t="n"/>
      <c r="FM30" s="79" t="n"/>
      <c r="FN30" s="79" t="n"/>
      <c r="FO30" s="79" t="n"/>
      <c r="FP30" s="79" t="n"/>
      <c r="FQ30" s="79" t="n"/>
      <c r="FR30" s="18" t="n"/>
      <c r="FS30" s="19" t="n"/>
      <c r="FT30" s="6" t="n"/>
      <c r="FU30" s="79" t="n"/>
      <c r="FV30" s="6" t="n"/>
      <c r="FW30" s="79" t="n"/>
      <c r="FX30" s="6" t="n"/>
      <c r="FY30" s="79" t="n"/>
      <c r="FZ30" s="6" t="n"/>
      <c r="GA30" s="79" t="n"/>
      <c r="GB30" s="6" t="n"/>
      <c r="GC30" s="79" t="n"/>
      <c r="GD30" s="18" t="n"/>
      <c r="GE30" s="80">
        <f>IFERROR(ROUND(AVERAGE(FK30,FM30,FO30,FQ30,FS30,FU30,FW30,FY30,GA30,GC30), 2), "")</f>
        <v/>
      </c>
      <c r="GF30" s="79" t="n"/>
      <c r="GG30" s="79" t="n"/>
      <c r="GH30" s="79" t="n"/>
      <c r="GI30" s="79" t="n"/>
      <c r="GJ30" s="79" t="n"/>
      <c r="GK30" s="79" t="n"/>
      <c r="GL30" s="79" t="n"/>
      <c r="GM30" s="18" t="n"/>
      <c r="GN30" s="19" t="n"/>
      <c r="GO30" s="6" t="n"/>
      <c r="GP30" s="79" t="n"/>
      <c r="GQ30" s="6" t="n"/>
      <c r="GR30" s="79" t="n"/>
      <c r="GS30" s="6" t="n"/>
      <c r="GT30" s="79" t="n"/>
      <c r="GU30" s="6" t="n"/>
      <c r="GV30" s="79" t="n"/>
      <c r="GW30" s="6" t="n"/>
      <c r="GX30" s="79" t="n"/>
      <c r="GY30" s="18" t="n"/>
      <c r="GZ30" s="79" t="n"/>
      <c r="HA30" s="79" t="n"/>
      <c r="HB30" s="79" t="n"/>
      <c r="HC30" s="79" t="n"/>
      <c r="HD30" s="79" t="n"/>
      <c r="HE30" s="79" t="n"/>
      <c r="HF30" s="79" t="n"/>
      <c r="HG30" s="79" t="n"/>
      <c r="HH30" s="18" t="n"/>
      <c r="HI30" s="19" t="n"/>
      <c r="HJ30" s="6">
        <f>IF(COUNTA(GF30:HI30)=0, "", SUMPRODUCT(--ISNUMBER(SEARCH("m", GF30:HI30))))</f>
        <v/>
      </c>
      <c r="HK30" s="79">
        <f>IF(COUNTA(GF30:HI30)=0, "", COUNTA(GF30:HI30) - SUMPRODUCT(--ISNUMBER(SEARCH("m", GF30:HI30))))</f>
        <v/>
      </c>
      <c r="HL30" s="6" t="n"/>
      <c r="HM30" s="79" t="n"/>
      <c r="HN30" s="6" t="n"/>
      <c r="HO30" s="79" t="n"/>
      <c r="HP30" s="6" t="n"/>
      <c r="HQ30" s="79" t="n"/>
      <c r="HR30" s="6" t="n"/>
      <c r="HS30" s="79" t="n"/>
      <c r="HT30" s="18" t="n"/>
      <c r="HU30" s="79" t="n"/>
      <c r="HV30" s="79" t="n"/>
      <c r="HW30" s="79" t="n"/>
      <c r="HX30" s="79" t="n"/>
      <c r="HY30" s="79" t="n"/>
      <c r="HZ30" s="79" t="n"/>
      <c r="IA30" s="79" t="n"/>
      <c r="IB30" s="79" t="n"/>
      <c r="IC30" s="18" t="n"/>
      <c r="ID30" s="19" t="n"/>
      <c r="IE30" s="6" t="n"/>
      <c r="IF30" s="80">
        <f>IFERROR(ROUND(AVERAGE(HL30,HN30,HP30,HR30,HT30,HV30,HX30,HZ30,IB30,ID30), 2), "")</f>
        <v/>
      </c>
      <c r="IG30" s="6" t="n"/>
      <c r="IH30" s="79" t="n"/>
      <c r="II30" s="6" t="n"/>
      <c r="IJ30" s="79" t="n"/>
      <c r="IK30" s="6" t="n"/>
      <c r="IL30" s="79" t="n"/>
      <c r="IM30" s="6" t="n"/>
      <c r="IN30" s="79" t="n"/>
      <c r="IO30" s="18" t="n"/>
      <c r="IP30" s="79" t="n"/>
      <c r="IQ30" s="79" t="n"/>
      <c r="IR30" s="79" t="n"/>
      <c r="IS30" s="79" t="n"/>
      <c r="IT30" s="79" t="n"/>
      <c r="IU30" s="79" t="n"/>
      <c r="IV30" s="79" t="n"/>
      <c r="IW30" s="79" t="n"/>
      <c r="IX30" s="18" t="n"/>
      <c r="IY30" s="19" t="n"/>
      <c r="IZ30" s="6" t="n"/>
      <c r="JA30" s="79" t="n"/>
      <c r="JB30" s="6" t="n"/>
      <c r="JC30" s="79" t="n"/>
      <c r="JD30" s="6" t="n"/>
      <c r="JE30" s="79" t="n"/>
      <c r="JF30" s="6" t="n"/>
      <c r="JG30" s="79" t="n"/>
      <c r="JH30" s="6" t="n"/>
      <c r="JI30" s="79" t="n"/>
      <c r="JJ30" s="18" t="n"/>
      <c r="JK30" s="79">
        <f>IF(COUNTA(IG30:JJ30)=0, "", SUMPRODUCT(--ISNUMBER(SEARCH("m", IG30:JJ30))))</f>
        <v/>
      </c>
      <c r="JL30" s="79">
        <f>IF(COUNTA(IG30:JJ30)=0, "", COUNTA(IG30:JJ30) - SUMPRODUCT(--ISNUMBER(SEARCH("m", IG30:JJ30))))</f>
        <v/>
      </c>
      <c r="JM30" s="79" t="n"/>
      <c r="JN30" s="79" t="n"/>
      <c r="JO30" s="79" t="n"/>
      <c r="JP30" s="79" t="n"/>
      <c r="JQ30" s="79" t="n"/>
      <c r="JR30" s="79" t="n"/>
      <c r="JS30" s="18" t="n"/>
      <c r="JT30" s="19" t="n"/>
      <c r="JU30" s="6" t="n"/>
      <c r="JV30" s="79" t="n"/>
      <c r="JW30" s="6" t="n"/>
      <c r="JX30" s="79" t="n"/>
      <c r="JY30" s="6" t="n"/>
      <c r="JZ30" s="79" t="n"/>
      <c r="KA30" s="6" t="n"/>
      <c r="KB30" s="79" t="n"/>
      <c r="KC30" s="6" t="n"/>
      <c r="KD30" s="79" t="n"/>
      <c r="KE30" s="18" t="n"/>
      <c r="KF30" s="79" t="n"/>
      <c r="KG30" s="80">
        <f>IFERROR(ROUND(AVERAGE(JM30,JO30,JQ30,JS30,JU30,JW30,JY30,KA30,KC30,KE30), 2), "")</f>
        <v/>
      </c>
      <c r="KH30" s="79" t="n"/>
      <c r="KI30" s="79" t="n"/>
      <c r="KJ30" s="79" t="n"/>
      <c r="KK30" s="79" t="n"/>
      <c r="KL30" s="79" t="n"/>
      <c r="KM30" s="79" t="n"/>
      <c r="KN30" s="18" t="n"/>
      <c r="KO30" s="19" t="n"/>
      <c r="KP30" s="6" t="n"/>
      <c r="KQ30" s="6" t="n"/>
      <c r="KR30" s="6" t="n"/>
      <c r="KS30" s="6" t="n"/>
      <c r="KT30" s="6" t="n"/>
      <c r="KU30" s="6" t="n"/>
      <c r="KV30" s="6" t="n"/>
      <c r="KW30" s="6" t="n"/>
      <c r="KX30" s="6" t="n"/>
      <c r="KY30" s="6" t="n"/>
      <c r="KZ30" s="6" t="n"/>
      <c r="LA30" s="6" t="n"/>
      <c r="LB30" s="6" t="n"/>
      <c r="LC30" s="6" t="n"/>
      <c r="LD30" s="6" t="n"/>
      <c r="LE30" s="6" t="n"/>
      <c r="LF30" s="6" t="n"/>
      <c r="LG30" s="6" t="n"/>
      <c r="LH30" s="6" t="n"/>
      <c r="LI30" s="6" t="n"/>
      <c r="LJ30" s="6" t="n"/>
      <c r="LK30" s="6" t="n"/>
      <c r="LL30" s="6">
        <f>IF(COUNTA(KH30:LK30)=0, "", SUMPRODUCT(--ISNUMBER(SEARCH("m", KH30:LK30))))</f>
        <v/>
      </c>
      <c r="LM30" s="6">
        <f>IF(COUNTA(KH30:LK30)=0, "", COUNTA(KH30:LK30) - SUMPRODUCT(--ISNUMBER(SEARCH("m", KH30:LK30))))</f>
        <v/>
      </c>
      <c r="LN30" s="6" t="n"/>
      <c r="LO30" s="6" t="n"/>
      <c r="LP30" s="6" t="n"/>
      <c r="LQ30" s="6" t="n"/>
      <c r="LR30" s="6" t="n"/>
      <c r="LS30" s="6" t="n"/>
      <c r="LT30" s="6" t="n"/>
      <c r="LU30" s="6" t="n"/>
      <c r="LV30" s="6" t="n"/>
      <c r="LW30" s="6" t="n"/>
      <c r="LX30" s="6" t="n"/>
      <c r="LY30" s="6" t="n"/>
      <c r="LZ30" s="6" t="n"/>
      <c r="MA30" s="6" t="n"/>
      <c r="MB30" s="6" t="n"/>
      <c r="MC30" s="6" t="n"/>
      <c r="MD30" s="6" t="n"/>
      <c r="ME30" s="6" t="n"/>
      <c r="MF30" s="6" t="n"/>
      <c r="MG30" s="6" t="n"/>
      <c r="MH30" s="20">
        <f>IFERROR(ROUND(AVERAGE(LN30,LP30,LR30,LT30,LV30,LX30,LZ30,MB30,MD30,MF30), 2), "")</f>
        <v/>
      </c>
      <c r="MI30" s="6" t="n"/>
      <c r="MJ30" s="6" t="n"/>
      <c r="MK30" s="6" t="n"/>
      <c r="ML30" s="6" t="n"/>
      <c r="MM30" s="6" t="n"/>
      <c r="MN30" s="6" t="n"/>
      <c r="MO30" s="6" t="n"/>
      <c r="MP30" s="6" t="n"/>
      <c r="MQ30" s="6" t="n"/>
      <c r="MR30" s="6" t="n"/>
      <c r="MS30" s="6" t="n"/>
      <c r="MT30" s="6" t="n"/>
      <c r="MU30" s="6" t="n"/>
      <c r="MV30" s="6" t="n"/>
      <c r="MW30" s="6" t="n"/>
      <c r="MX30" s="6" t="n"/>
      <c r="MY30" s="6" t="n"/>
      <c r="MZ30" s="6" t="n"/>
      <c r="NA30" s="6" t="n"/>
      <c r="NB30" s="6" t="n"/>
      <c r="NC30" s="6" t="n"/>
      <c r="ND30" s="6" t="n"/>
      <c r="NE30" s="6" t="n"/>
      <c r="NF30" s="6" t="n"/>
      <c r="NG30" s="6" t="n"/>
      <c r="NH30" s="6" t="n"/>
      <c r="NI30" s="6" t="n"/>
      <c r="NJ30" s="6" t="n"/>
      <c r="NK30" s="6" t="n"/>
      <c r="NL30" s="6" t="n"/>
      <c r="NM30" s="6">
        <f>IF(COUNTA(MI30:NL30)=0, "", SUMPRODUCT(--ISNUMBER(SEARCH("m", MI30:NL30))))</f>
        <v/>
      </c>
      <c r="NN30" s="6">
        <f>IF(COUNTA(MI30:NL30)=0, "", COUNTA(MI30:NL30) - SUMPRODUCT(--ISNUMBER(SEARCH("m", MI30:NL30))))</f>
        <v/>
      </c>
      <c r="NO30" s="6" t="n"/>
      <c r="NP30" s="6" t="n"/>
      <c r="NQ30" s="6" t="n"/>
      <c r="NR30" s="6" t="n"/>
      <c r="NS30" s="6" t="n"/>
      <c r="NT30" s="6" t="n"/>
      <c r="NU30" s="6" t="n"/>
      <c r="NV30" s="6" t="n"/>
      <c r="NW30" s="6" t="n"/>
      <c r="NX30" s="6" t="n"/>
      <c r="NY30" s="6" t="n"/>
      <c r="NZ30" s="6" t="n"/>
      <c r="OA30" s="6" t="n"/>
      <c r="OB30" s="6" t="n"/>
      <c r="OC30" s="6" t="n"/>
      <c r="OD30" s="6" t="n"/>
      <c r="OE30" s="6" t="n"/>
      <c r="OF30" s="6" t="n"/>
      <c r="OG30" s="6" t="n"/>
      <c r="OH30" s="6" t="n"/>
      <c r="OI30" s="20">
        <f>IFERROR(ROUND(AVERAGE(NO30,NQ30,NS30,NU30,NW30,NY30,OA30,OC30,OE30,OG30), 2), "")</f>
        <v/>
      </c>
      <c r="OJ30" s="6" t="n"/>
      <c r="OK30" s="6" t="n"/>
      <c r="OL30" s="6" t="n"/>
      <c r="OM30" s="6" t="n"/>
      <c r="ON30" s="6" t="n"/>
      <c r="OO30" s="6" t="n"/>
      <c r="OP30" s="6" t="n"/>
      <c r="OQ30" s="6" t="n"/>
      <c r="OR30" s="6" t="n"/>
      <c r="OS30" s="6" t="n"/>
      <c r="OT30" s="6" t="n"/>
      <c r="OU30" s="6" t="n"/>
      <c r="OV30" s="6" t="n"/>
      <c r="OW30" s="6" t="n"/>
      <c r="OX30" s="6" t="n"/>
      <c r="OY30" s="6" t="n"/>
      <c r="OZ30" s="6" t="n"/>
      <c r="PA30" s="6" t="n"/>
      <c r="PB30" s="6" t="n"/>
      <c r="PC30" s="6" t="n"/>
      <c r="PD30" s="6" t="n"/>
      <c r="PE30" s="6" t="n"/>
      <c r="PF30" s="6" t="n"/>
      <c r="PG30" s="6" t="n"/>
      <c r="PH30" s="6" t="n"/>
      <c r="PI30" s="6" t="n"/>
      <c r="PJ30" s="6" t="n"/>
      <c r="PK30" s="6" t="n"/>
      <c r="PL30" s="6" t="n"/>
      <c r="PM30" s="6" t="n"/>
      <c r="PN30" s="6">
        <f>IF(COUNTA(OJ30:PM30)=0, "", SUMPRODUCT(--ISNUMBER(SEARCH("m", OJ30:PM30))))</f>
        <v/>
      </c>
      <c r="PO30" s="6">
        <f>IF(COUNTA(OJ30:PM30)=0, "", COUNTA(OJ30:PM30) - SUMPRODUCT(--ISNUMBER(SEARCH("m", OJ30:PM30))))</f>
        <v/>
      </c>
      <c r="PP30" s="6" t="n"/>
      <c r="PQ30" s="6" t="n"/>
      <c r="PR30" s="6" t="n"/>
      <c r="PS30" s="6" t="n"/>
      <c r="PT30" s="6" t="n"/>
      <c r="PU30" s="6" t="n"/>
      <c r="PV30" s="6" t="n"/>
      <c r="PW30" s="6" t="n"/>
      <c r="PX30" s="6" t="n"/>
      <c r="PY30" s="6" t="n"/>
      <c r="PZ30" s="6" t="n"/>
      <c r="QA30" s="6" t="n"/>
      <c r="QB30" s="6" t="n"/>
      <c r="QC30" s="6" t="n"/>
      <c r="QD30" s="6" t="n"/>
      <c r="QE30" s="6" t="n"/>
      <c r="QF30" s="6" t="n"/>
      <c r="QG30" s="6" t="n"/>
      <c r="QH30" s="6" t="n"/>
      <c r="QI30" s="6" t="n"/>
      <c r="QJ30" s="20">
        <f>IFERROR(ROUND(AVERAGE(PP30,PR30,PT30,PV30,PX30,PZ30,QB30,QD30,QF30,QH30), 2), "")</f>
        <v/>
      </c>
      <c r="QK30" s="6" t="n"/>
      <c r="QL30" s="6" t="n"/>
      <c r="QM30" s="6" t="n"/>
      <c r="QN30" s="6" t="n"/>
      <c r="QO30" s="6" t="n"/>
      <c r="QP30" s="6" t="n"/>
      <c r="QQ30" s="6" t="n"/>
      <c r="QR30" s="6" t="n"/>
      <c r="QS30" s="6" t="n"/>
      <c r="QT30" s="6" t="n"/>
      <c r="QU30" s="6" t="n"/>
      <c r="QV30" s="6" t="n"/>
      <c r="QW30" s="6" t="n"/>
      <c r="QX30" s="6" t="n"/>
      <c r="QY30" s="6" t="n"/>
      <c r="QZ30" s="6" t="n"/>
      <c r="RA30" s="6" t="n"/>
      <c r="RB30" s="6" t="n"/>
      <c r="RC30" s="6" t="n"/>
      <c r="RD30" s="6" t="n"/>
      <c r="RE30" s="6" t="n"/>
      <c r="RF30" s="6" t="n"/>
      <c r="RG30" s="6" t="n"/>
      <c r="RH30" s="6" t="n"/>
      <c r="RI30" s="6" t="n"/>
      <c r="RJ30" s="6" t="n"/>
      <c r="RK30" s="6" t="n"/>
      <c r="RL30" s="6" t="n"/>
      <c r="RM30" s="6" t="n"/>
      <c r="RN30" s="6" t="n"/>
      <c r="RO30" s="6">
        <f>IF(COUNTA(QK30:RN30)=0, "", SUMPRODUCT(--ISNUMBER(SEARCH("m", QK30:RN30))))</f>
        <v/>
      </c>
      <c r="RP30" s="6">
        <f>IF(COUNTA(QK30:RN30)=0, "", COUNTA(QK30:RN30) - SUMPRODUCT(--ISNUMBER(SEARCH("m", QK30:RN30))))</f>
        <v/>
      </c>
      <c r="RQ30" s="6" t="n"/>
      <c r="RR30" s="6" t="n"/>
      <c r="RS30" s="6" t="n"/>
      <c r="RT30" s="6" t="n"/>
      <c r="RU30" s="6" t="n"/>
      <c r="RV30" s="6" t="n"/>
      <c r="RW30" s="6" t="n"/>
      <c r="RX30" s="6" t="n"/>
      <c r="RY30" s="6" t="n"/>
      <c r="RZ30" s="6" t="n"/>
      <c r="SA30" s="6" t="n"/>
      <c r="SB30" s="6" t="n"/>
      <c r="SC30" s="6" t="n"/>
      <c r="SD30" s="6" t="n"/>
      <c r="SE30" s="6" t="n"/>
      <c r="SF30" s="6" t="n"/>
      <c r="SG30" s="6" t="n"/>
      <c r="SH30" s="6" t="n"/>
      <c r="SI30" s="6" t="n"/>
      <c r="SJ30" s="6" t="n"/>
      <c r="SK30" s="20">
        <f>IFERROR(ROUND(AVERAGE(RQ30,RS30,RU30,RW30,RY30,SA30,SC30,SE30,SG30,SI30), 2), "")</f>
        <v/>
      </c>
      <c r="SL30" s="6" t="n"/>
      <c r="SM30" s="6" t="n"/>
      <c r="SN30" s="6" t="n"/>
      <c r="SO30" s="6" t="n"/>
      <c r="SP30" s="6" t="n"/>
      <c r="SQ30" s="6" t="n"/>
      <c r="SR30" s="6" t="n"/>
      <c r="SS30" s="6" t="n"/>
      <c r="ST30" s="6" t="n"/>
      <c r="SU30" s="6" t="n"/>
      <c r="SV30" s="6" t="n"/>
      <c r="SW30" s="6" t="n"/>
      <c r="SX30" s="6" t="n"/>
      <c r="SY30" s="6" t="n"/>
      <c r="SZ30" s="6" t="n"/>
      <c r="TA30" s="6" t="n"/>
      <c r="TB30" s="6" t="n"/>
      <c r="TC30" s="6" t="n"/>
      <c r="TD30" s="6" t="n"/>
      <c r="TE30" s="6" t="n"/>
      <c r="TF30" s="6" t="n"/>
      <c r="TG30" s="6" t="n"/>
      <c r="TH30" s="6" t="n"/>
      <c r="TI30" s="6" t="n"/>
      <c r="TJ30" s="6" t="n"/>
      <c r="TK30" s="6" t="n"/>
      <c r="TL30" s="6" t="n"/>
      <c r="TM30" s="6" t="n"/>
      <c r="TN30" s="6" t="n"/>
      <c r="TO30" s="6" t="n"/>
      <c r="TP30" s="6">
        <f>IF(COUNTA(SL30:TO30)=0, "", SUMPRODUCT(--ISNUMBER(SEARCH("m", SL30:TO30))))</f>
        <v/>
      </c>
      <c r="TQ30" s="6">
        <f>IF(COUNTA(SL30:TO30)=0, "", COUNTA(SL30:TO30) - SUMPRODUCT(--ISNUMBER(SEARCH("m", SL30:TO30))))</f>
        <v/>
      </c>
      <c r="TR30" s="6" t="n"/>
      <c r="TS30" s="6" t="n"/>
      <c r="TT30" s="6" t="n"/>
      <c r="TU30" s="6" t="n"/>
      <c r="TV30" s="6" t="n"/>
      <c r="TW30" s="6" t="n"/>
      <c r="TX30" s="6" t="n"/>
      <c r="TY30" s="6" t="n"/>
      <c r="TZ30" s="6" t="n"/>
      <c r="UA30" s="6" t="n"/>
      <c r="UB30" s="6" t="n"/>
      <c r="UC30" s="6" t="n"/>
      <c r="UD30" s="6" t="n"/>
      <c r="UE30" s="6" t="n"/>
      <c r="UF30" s="6" t="n"/>
      <c r="UG30" s="6" t="n"/>
      <c r="UH30" s="6" t="n"/>
      <c r="UI30" s="6" t="n"/>
      <c r="UJ30" s="6" t="n"/>
      <c r="UK30" s="6" t="n"/>
      <c r="UL30" s="20">
        <f>IFERROR(ROUND(AVERAGE(TR30,TT30,TV30,TX30,TZ30,UB30,UD30,UF30,UH30,UJ30), 2), "")</f>
        <v/>
      </c>
      <c r="UM30" s="6" t="n"/>
      <c r="UN30" s="6" t="n"/>
      <c r="UO30" s="6" t="n"/>
      <c r="UP30" s="6" t="n"/>
      <c r="UQ30" s="6" t="n"/>
      <c r="UR30" s="6" t="n"/>
      <c r="US30" s="6" t="n"/>
      <c r="UT30" s="6" t="n"/>
      <c r="UU30" s="6" t="n"/>
      <c r="UV30" s="6" t="n"/>
      <c r="UW30" s="6" t="n"/>
      <c r="UX30" s="6" t="n"/>
      <c r="UY30" s="6" t="n"/>
      <c r="UZ30" s="6" t="n"/>
      <c r="VA30" s="6" t="n"/>
      <c r="VB30" s="6" t="n"/>
      <c r="VC30" s="6" t="n"/>
      <c r="VD30" s="6" t="n"/>
      <c r="VE30" s="6" t="n"/>
      <c r="VF30" s="6" t="n"/>
      <c r="VG30" s="6" t="n"/>
      <c r="VH30" s="6" t="n"/>
      <c r="VI30" s="6" t="n"/>
      <c r="VJ30" s="6" t="n"/>
      <c r="VK30" s="6" t="n"/>
      <c r="VL30" s="6" t="n"/>
      <c r="VM30" s="6" t="n"/>
      <c r="VN30" s="6" t="n"/>
      <c r="VO30" s="6" t="n"/>
      <c r="VP30" s="6" t="n"/>
      <c r="VQ30" s="6">
        <f>IF(COUNTA(UM30:VP30)=0, "", SUMPRODUCT(--ISNUMBER(SEARCH("m", UM30:VP30))))</f>
        <v/>
      </c>
      <c r="VR30" s="6">
        <f>IF(COUNTA(UM30:VP30)=0, "", COUNTA(UM30:VP30) - SUMPRODUCT(--ISNUMBER(SEARCH("m", UM30:VP30))))</f>
        <v/>
      </c>
      <c r="VS30" s="6" t="n"/>
      <c r="VT30" s="6" t="n"/>
      <c r="VU30" s="6" t="n"/>
      <c r="VV30" s="6" t="n"/>
      <c r="VW30" s="6" t="n"/>
      <c r="VX30" s="6" t="n"/>
      <c r="VY30" s="6" t="n"/>
      <c r="VZ30" s="6" t="n"/>
      <c r="WA30" s="6" t="n"/>
      <c r="WB30" s="6" t="n"/>
      <c r="WC30" s="6" t="n"/>
      <c r="WD30" s="6" t="n"/>
      <c r="WE30" s="6" t="n"/>
      <c r="WF30" s="6" t="n"/>
      <c r="WG30" s="6" t="n"/>
      <c r="WH30" s="6" t="n"/>
      <c r="WI30" s="6" t="n"/>
      <c r="WJ30" s="6" t="n"/>
      <c r="WK30" s="6" t="n"/>
      <c r="WL30" s="6" t="n"/>
      <c r="WM30" s="20">
        <f>IFERROR(ROUND(AVERAGE(VS30,VU30,VW30,VY30,WA30,WC30,WE30,WG30,WI30,WK30), 2), "")</f>
        <v/>
      </c>
      <c r="WN30" s="6" t="n"/>
      <c r="WO30" s="6" t="n"/>
      <c r="WP30" s="6" t="n"/>
      <c r="WQ30" s="6" t="n"/>
      <c r="WR30" s="6" t="n"/>
      <c r="WS30" s="6" t="n"/>
      <c r="WT30" s="6" t="n"/>
      <c r="WU30" s="6" t="n"/>
      <c r="WV30" s="6" t="n"/>
      <c r="WW30" s="6" t="n"/>
      <c r="WX30" s="6" t="n"/>
      <c r="WY30" s="6" t="n"/>
      <c r="WZ30" s="6" t="n"/>
      <c r="XA30" s="6" t="n"/>
      <c r="XB30" s="6" t="n"/>
      <c r="XC30" s="6" t="n"/>
      <c r="XD30" s="6" t="n"/>
      <c r="XE30" s="6" t="n"/>
      <c r="XF30" s="6" t="n"/>
      <c r="XG30" s="6" t="n"/>
      <c r="XH30" s="6" t="n"/>
      <c r="XI30" s="6" t="n"/>
      <c r="XJ30" s="6" t="n"/>
      <c r="XK30" s="6" t="n"/>
      <c r="XL30" s="6" t="n"/>
      <c r="XM30" s="6" t="n"/>
      <c r="XN30" s="6" t="n"/>
      <c r="XO30" s="6" t="n"/>
      <c r="XP30" s="6" t="n"/>
      <c r="XQ30" s="6" t="n"/>
      <c r="XR30" s="6">
        <f>IF(COUNTA(WN30:XQ30)=0, "", SUMPRODUCT(--ISNUMBER(SEARCH("m", WN30:XQ30))))</f>
        <v/>
      </c>
      <c r="XS30" s="6">
        <f>IF(COUNTA(WN30:XQ30)=0, "", COUNTA(WN30:XQ30) - SUMPRODUCT(--ISNUMBER(SEARCH("m", WN30:XQ30))))</f>
        <v/>
      </c>
      <c r="XT30" s="6" t="n"/>
      <c r="XU30" s="6" t="n"/>
      <c r="XV30" s="6" t="n"/>
      <c r="XW30" s="6" t="n"/>
      <c r="XX30" s="6" t="n"/>
      <c r="XY30" s="6" t="n"/>
      <c r="XZ30" s="6" t="n"/>
      <c r="YA30" s="6" t="n"/>
      <c r="YB30" s="6" t="n"/>
      <c r="YC30" s="6" t="n"/>
      <c r="YD30" s="6" t="n"/>
      <c r="YE30" s="6" t="n"/>
      <c r="YF30" s="6" t="n"/>
      <c r="YG30" s="6" t="n"/>
      <c r="YH30" s="6" t="n"/>
      <c r="YI30" s="6" t="n"/>
      <c r="YJ30" s="6" t="n"/>
      <c r="YK30" s="6" t="n"/>
      <c r="YL30" s="6" t="n"/>
      <c r="YM30" s="6" t="n"/>
      <c r="YN30" s="20">
        <f>IFERROR(ROUND(AVERAGE(XT30,XV30,XX30,XZ30,YB30,YD30,YF30,YH30,YJ30,YL30), 2), "")</f>
        <v/>
      </c>
      <c r="YO30" s="6" t="n"/>
      <c r="YP30" s="6" t="n"/>
      <c r="YQ30" s="6" t="n"/>
      <c r="YR30" s="6" t="n"/>
      <c r="YS30" s="6" t="n"/>
      <c r="YT30" s="6" t="n"/>
      <c r="YU30" s="6" t="n"/>
      <c r="YV30" s="6" t="n"/>
      <c r="YW30" s="6" t="n"/>
      <c r="YX30" s="6" t="n"/>
      <c r="YY30" s="6" t="n"/>
      <c r="YZ30" s="6" t="n"/>
      <c r="ZA30" s="6" t="n"/>
      <c r="ZB30" s="6" t="n"/>
      <c r="ZC30" s="6" t="n"/>
      <c r="ZD30" s="6" t="n"/>
      <c r="ZE30" s="6" t="n"/>
      <c r="ZF30" s="6" t="n"/>
      <c r="ZG30" s="6" t="n"/>
      <c r="ZH30" s="6" t="n"/>
      <c r="ZI30" s="6" t="n"/>
      <c r="ZJ30" s="6" t="n"/>
      <c r="ZK30" s="6" t="n"/>
      <c r="ZL30" s="6" t="n"/>
      <c r="ZM30" s="6" t="n"/>
      <c r="ZN30" s="6" t="n"/>
      <c r="ZO30" s="6" t="n"/>
      <c r="ZP30" s="6" t="n"/>
      <c r="ZQ30" s="6" t="n"/>
      <c r="ZR30" s="6" t="n"/>
      <c r="ZS30" s="6">
        <f>IF(COUNTA(YO30:ZR30)=0, "", SUMPRODUCT(--ISNUMBER(SEARCH("m", YO30:ZR30))))</f>
        <v/>
      </c>
      <c r="ZT30" s="6">
        <f>IF(COUNTA(YO30:ZR30)=0, "", COUNTA(YO30:ZR30) - SUMPRODUCT(--ISNUMBER(SEARCH("m", YO30:ZR30))))</f>
        <v/>
      </c>
      <c r="ZU30" s="6" t="n"/>
      <c r="ZV30" s="6" t="n"/>
      <c r="ZW30" s="6" t="n"/>
      <c r="ZX30" s="6" t="n"/>
      <c r="ZY30" s="6" t="n"/>
      <c r="ZZ30" s="6" t="n"/>
      <c r="AAA30" s="6" t="n"/>
      <c r="AAB30" s="6" t="n"/>
      <c r="AAC30" s="6" t="n"/>
      <c r="AAD30" s="6" t="n"/>
      <c r="AAE30" s="6" t="n"/>
      <c r="AAF30" s="6" t="n"/>
      <c r="AAG30" s="6" t="n"/>
      <c r="AAH30" s="6" t="n"/>
      <c r="AAI30" s="6" t="n"/>
      <c r="AAJ30" s="6" t="n"/>
      <c r="AAK30" s="6" t="n"/>
      <c r="AAL30" s="6" t="n"/>
      <c r="AAM30" s="6" t="n"/>
      <c r="AAN30" s="6" t="n"/>
      <c r="AAO30" s="20">
        <f>IFERROR(ROUND(AVERAGE(ZU30,ZW30,ZY30,AAA30,AAC30,AAE30,AAG30,AAI30,AAK30,AAM30), 2), "")</f>
        <v/>
      </c>
      <c r="AAP30" s="6" t="n"/>
      <c r="AAQ30" s="6" t="n"/>
      <c r="AAR30" s="6" t="n"/>
      <c r="AAS30" s="6" t="n"/>
      <c r="AAT30" s="6" t="n"/>
      <c r="AAU30" s="6" t="n"/>
      <c r="AAV30" s="6" t="n"/>
      <c r="AAW30" s="6" t="n"/>
      <c r="AAX30" s="6" t="n"/>
      <c r="AAY30" s="6" t="n"/>
      <c r="AAZ30" s="6" t="n"/>
      <c r="ABA30" s="6" t="n"/>
      <c r="ABB30" s="6" t="n"/>
      <c r="ABC30" s="6" t="n"/>
      <c r="ABD30" s="6" t="n"/>
      <c r="ABE30" s="6" t="n"/>
      <c r="ABF30" s="6" t="n"/>
      <c r="ABG30" s="6" t="n"/>
      <c r="ABH30" s="6" t="n"/>
      <c r="ABI30" s="6" t="n"/>
      <c r="ABJ30" s="6" t="n"/>
      <c r="ABK30" s="6" t="n"/>
      <c r="ABL30" s="6" t="n"/>
      <c r="ABM30" s="6" t="n"/>
      <c r="ABN30" s="6" t="n"/>
      <c r="ABO30" s="6" t="n"/>
      <c r="ABP30" s="6" t="n"/>
      <c r="ABQ30" s="6" t="n"/>
      <c r="ABR30" s="6" t="n"/>
      <c r="ABS30" s="6" t="n"/>
      <c r="ABT30" s="6">
        <f>IF(COUNTA(AAP30:ABS30)=0, "", SUMPRODUCT(--ISNUMBER(SEARCH("m", AAP30:ABS30))))</f>
        <v/>
      </c>
      <c r="ABU30" s="6">
        <f>IF(COUNTA(AAP30:ABS30)=0, "", COUNTA(AAP30:ABS30) - SUMPRODUCT(--ISNUMBER(SEARCH("m", AAP30:ABS30))))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8">
        <f>IFERROR(ROUND(AVERAGE(AB31,CC31,ED31,GE31,IF31,KG31,MH31,OI31,QJ31,SK31,UL31,WM31,YN31,AAO31), 2), "")</f>
        <v/>
      </c>
      <c r="F31" s="14">
        <f>IF(SUM(BH31,DI31,FJ31,HK31,JL31,LM31,NN31,PO31,RP31,TQ31,VR31,XS31,ZT31,ABU31)=0, "", SUM(BH31,DI31,FJ31,HK31,JL31,LM31,NN31,PO31,RP31,TQ31,VR31,XS31,ZT31,ABU31))</f>
        <v/>
      </c>
      <c r="G31" s="8">
        <f>IF(SUM(BG31,DH31,FI31,HJ31,JK31,LL31,NM31,PN31,RO31,TP31,VQ31,XR31,ZS31,ABT31)=0, "", SUM(BG31,DH31,FI31,HJ31,JK31,LL31,NM31,PN31,RO31,TP31,VQ31,XR31,ZS31,ABT31))</f>
        <v/>
      </c>
      <c r="H31" s="6" t="n"/>
      <c r="I31" s="79" t="n"/>
      <c r="J31" s="6" t="n"/>
      <c r="K31" s="79" t="n"/>
      <c r="L31" s="6" t="n"/>
      <c r="M31" s="79" t="n"/>
      <c r="N31" s="6" t="n"/>
      <c r="O31" s="79" t="n"/>
      <c r="P31" s="6" t="n"/>
      <c r="Q31" s="79" t="n"/>
      <c r="R31" s="18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18" t="n"/>
      <c r="AB31" s="14">
        <f>IFERROR(ROUND(AVERAGE(H31,J31,L31,N31,P31,R31,T31,V31,X31,Z31), 2), "")</f>
        <v/>
      </c>
      <c r="AC31" s="6" t="n"/>
      <c r="AD31" s="79" t="n"/>
      <c r="AE31" s="6" t="n"/>
      <c r="AF31" s="79" t="n"/>
      <c r="AG31" s="6" t="n"/>
      <c r="AH31" s="79" t="n"/>
      <c r="AI31" s="6" t="n"/>
      <c r="AJ31" s="79" t="n"/>
      <c r="AK31" s="6" t="n"/>
      <c r="AL31" s="79" t="n"/>
      <c r="AM31" s="18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18" t="n"/>
      <c r="AW31" s="19" t="n"/>
      <c r="AX31" s="6" t="n"/>
      <c r="AY31" s="79" t="n"/>
      <c r="AZ31" s="6" t="n"/>
      <c r="BA31" s="79" t="n"/>
      <c r="BB31" s="6" t="n"/>
      <c r="BC31" s="79" t="n"/>
      <c r="BD31" s="6" t="n"/>
      <c r="BE31" s="79" t="n"/>
      <c r="BF31" s="6" t="n"/>
      <c r="BG31" s="79">
        <f>IF(COUNTA(AC31:BF31)=0, "", SUMPRODUCT(--ISNUMBER(SEARCH("m", AC31:BF31))))</f>
        <v/>
      </c>
      <c r="BH31" s="18">
        <f>IF(COUNTA(AC31:BF31)=0, "", COUNTA(AC31:BF31) - SUMPRODUCT(--ISNUMBER(SEARCH("m", AC31:BF31))))</f>
        <v/>
      </c>
      <c r="BI31" s="79" t="n"/>
      <c r="BJ31" s="79" t="n"/>
      <c r="BK31" s="79" t="n"/>
      <c r="BL31" s="79" t="n"/>
      <c r="BM31" s="79" t="n"/>
      <c r="BN31" s="79" t="n"/>
      <c r="BO31" s="79" t="n"/>
      <c r="BP31" s="79" t="n"/>
      <c r="BQ31" s="18" t="n"/>
      <c r="BR31" s="19" t="n"/>
      <c r="BS31" s="6" t="n"/>
      <c r="BT31" s="79" t="n"/>
      <c r="BU31" s="6" t="n"/>
      <c r="BV31" s="79" t="n"/>
      <c r="BW31" s="6" t="n"/>
      <c r="BX31" s="79" t="n"/>
      <c r="BY31" s="6" t="n"/>
      <c r="BZ31" s="79" t="n"/>
      <c r="CA31" s="6" t="n"/>
      <c r="CB31" s="79" t="n"/>
      <c r="CC31" s="8">
        <f>IFERROR(ROUND(AVERAGE(BI31,BK31,BM31,BO31,BQ31,BS31,BU31,BW31,BY31,CA31), 2), "")</f>
        <v/>
      </c>
      <c r="CD31" s="79" t="n"/>
      <c r="CE31" s="79" t="n"/>
      <c r="CF31" s="79" t="n"/>
      <c r="CG31" s="79" t="n"/>
      <c r="CH31" s="79" t="n"/>
      <c r="CI31" s="79" t="n"/>
      <c r="CJ31" s="79" t="n"/>
      <c r="CK31" s="79" t="n"/>
      <c r="CL31" s="18" t="n"/>
      <c r="CM31" s="19" t="n"/>
      <c r="CN31" s="6" t="n"/>
      <c r="CO31" s="79" t="n"/>
      <c r="CP31" s="6" t="n"/>
      <c r="CQ31" s="79" t="n"/>
      <c r="CR31" s="6" t="n"/>
      <c r="CS31" s="79" t="n"/>
      <c r="CT31" s="6" t="n"/>
      <c r="CU31" s="79" t="n"/>
      <c r="CV31" s="6" t="n"/>
      <c r="CW31" s="79" t="n"/>
      <c r="CX31" s="18" t="n"/>
      <c r="CY31" s="79" t="n"/>
      <c r="CZ31" s="79" t="n"/>
      <c r="DA31" s="79" t="n"/>
      <c r="DB31" s="79" t="n"/>
      <c r="DC31" s="79" t="n"/>
      <c r="DD31" s="79" t="n"/>
      <c r="DE31" s="79" t="n"/>
      <c r="DF31" s="79" t="n"/>
      <c r="DG31" s="18" t="n"/>
      <c r="DH31" s="19">
        <f>IF(COUNTA(CD31:DG31)=0, "", SUMPRODUCT(--ISNUMBER(SEARCH("m", CD31:DG31))))</f>
        <v/>
      </c>
      <c r="DI31" s="6">
        <f>IF(COUNTA(CD31:DG31)=0, "", COUNTA(CD31:DG31) - SUMPRODUCT(--ISNUMBER(SEARCH("m", CD31:DG31))))</f>
        <v/>
      </c>
      <c r="DJ31" s="79" t="n"/>
      <c r="DK31" s="6" t="n"/>
      <c r="DL31" s="79" t="n"/>
      <c r="DM31" s="6" t="n"/>
      <c r="DN31" s="79" t="n"/>
      <c r="DO31" s="6" t="n"/>
      <c r="DP31" s="79" t="n"/>
      <c r="DQ31" s="6" t="n"/>
      <c r="DR31" s="79" t="n"/>
      <c r="DS31" s="18" t="n"/>
      <c r="DT31" s="79" t="n"/>
      <c r="DU31" s="79" t="n"/>
      <c r="DV31" s="79" t="n"/>
      <c r="DW31" s="79" t="n"/>
      <c r="DX31" s="79" t="n"/>
      <c r="DY31" s="79" t="n"/>
      <c r="DZ31" s="79" t="n"/>
      <c r="EA31" s="79" t="n"/>
      <c r="EB31" s="18" t="n"/>
      <c r="EC31" s="19" t="n"/>
      <c r="ED31" s="20">
        <f>IFERROR(ROUND(AVERAGE(DJ31,DL31,DN31,DP31,DR31,DT31,DV31,DX31,DZ31,EB31), 2), "")</f>
        <v/>
      </c>
      <c r="EE31" s="79" t="n"/>
      <c r="EF31" s="6" t="n"/>
      <c r="EG31" s="79" t="n"/>
      <c r="EH31" s="6" t="n"/>
      <c r="EI31" s="79" t="n"/>
      <c r="EJ31" s="6" t="n"/>
      <c r="EK31" s="79" t="n"/>
      <c r="EL31" s="6" t="n"/>
      <c r="EM31" s="79" t="n"/>
      <c r="EN31" s="18" t="n"/>
      <c r="EO31" s="79" t="n"/>
      <c r="EP31" s="79" t="n"/>
      <c r="EQ31" s="79" t="n"/>
      <c r="ER31" s="79" t="n"/>
      <c r="ES31" s="79" t="n"/>
      <c r="ET31" s="79" t="n"/>
      <c r="EU31" s="79" t="n"/>
      <c r="EV31" s="79" t="n"/>
      <c r="EW31" s="18" t="n"/>
      <c r="EX31" s="19" t="n"/>
      <c r="EY31" s="6" t="n"/>
      <c r="EZ31" s="79" t="n"/>
      <c r="FA31" s="6" t="n"/>
      <c r="FB31" s="79" t="n"/>
      <c r="FC31" s="6" t="n"/>
      <c r="FD31" s="79" t="n"/>
      <c r="FE31" s="6" t="n"/>
      <c r="FF31" s="79" t="n"/>
      <c r="FG31" s="6" t="n"/>
      <c r="FH31" s="79" t="n"/>
      <c r="FI31" s="18">
        <f>IF(COUNTA(EE31:FH31)=0, "", SUMPRODUCT(--ISNUMBER(SEARCH("m", EE31:FH31))))</f>
        <v/>
      </c>
      <c r="FJ31" s="79">
        <f>IF(COUNTA(EE31:FH31)=0, "", COUNTA(EE31:FH31) - SUMPRODUCT(--ISNUMBER(SEARCH("m", EE31:FH31))))</f>
        <v/>
      </c>
      <c r="FK31" s="79" t="n"/>
      <c r="FL31" s="79" t="n"/>
      <c r="FM31" s="79" t="n"/>
      <c r="FN31" s="79" t="n"/>
      <c r="FO31" s="79" t="n"/>
      <c r="FP31" s="79" t="n"/>
      <c r="FQ31" s="79" t="n"/>
      <c r="FR31" s="18" t="n"/>
      <c r="FS31" s="19" t="n"/>
      <c r="FT31" s="6" t="n"/>
      <c r="FU31" s="79" t="n"/>
      <c r="FV31" s="6" t="n"/>
      <c r="FW31" s="79" t="n"/>
      <c r="FX31" s="6" t="n"/>
      <c r="FY31" s="79" t="n"/>
      <c r="FZ31" s="6" t="n"/>
      <c r="GA31" s="79" t="n"/>
      <c r="GB31" s="6" t="n"/>
      <c r="GC31" s="79" t="n"/>
      <c r="GD31" s="18" t="n"/>
      <c r="GE31" s="80">
        <f>IFERROR(ROUND(AVERAGE(FK31,FM31,FO31,FQ31,FS31,FU31,FW31,FY31,GA31,GC31), 2), "")</f>
        <v/>
      </c>
      <c r="GF31" s="79" t="n"/>
      <c r="GG31" s="79" t="n"/>
      <c r="GH31" s="79" t="n"/>
      <c r="GI31" s="79" t="n"/>
      <c r="GJ31" s="79" t="n"/>
      <c r="GK31" s="79" t="n"/>
      <c r="GL31" s="79" t="n"/>
      <c r="GM31" s="18" t="n"/>
      <c r="GN31" s="19" t="n"/>
      <c r="GO31" s="6" t="n"/>
      <c r="GP31" s="79" t="n"/>
      <c r="GQ31" s="6" t="n"/>
      <c r="GR31" s="79" t="n"/>
      <c r="GS31" s="6" t="n"/>
      <c r="GT31" s="79" t="n"/>
      <c r="GU31" s="6" t="n"/>
      <c r="GV31" s="79" t="n"/>
      <c r="GW31" s="6" t="n"/>
      <c r="GX31" s="79" t="n"/>
      <c r="GY31" s="18" t="n"/>
      <c r="GZ31" s="79" t="n"/>
      <c r="HA31" s="79" t="n"/>
      <c r="HB31" s="79" t="n"/>
      <c r="HC31" s="79" t="n"/>
      <c r="HD31" s="79" t="n"/>
      <c r="HE31" s="79" t="n"/>
      <c r="HF31" s="79" t="n"/>
      <c r="HG31" s="79" t="n"/>
      <c r="HH31" s="18" t="n"/>
      <c r="HI31" s="19" t="n"/>
      <c r="HJ31" s="6">
        <f>IF(COUNTA(GF31:HI31)=0, "", SUMPRODUCT(--ISNUMBER(SEARCH("m", GF31:HI31))))</f>
        <v/>
      </c>
      <c r="HK31" s="79">
        <f>IF(COUNTA(GF31:HI31)=0, "", COUNTA(GF31:HI31) - SUMPRODUCT(--ISNUMBER(SEARCH("m", GF31:HI31))))</f>
        <v/>
      </c>
      <c r="HL31" s="6" t="n"/>
      <c r="HM31" s="79" t="n"/>
      <c r="HN31" s="6" t="n"/>
      <c r="HO31" s="79" t="n"/>
      <c r="HP31" s="6" t="n"/>
      <c r="HQ31" s="79" t="n"/>
      <c r="HR31" s="6" t="n"/>
      <c r="HS31" s="79" t="n"/>
      <c r="HT31" s="18" t="n"/>
      <c r="HU31" s="79" t="n"/>
      <c r="HV31" s="79" t="n"/>
      <c r="HW31" s="79" t="n"/>
      <c r="HX31" s="79" t="n"/>
      <c r="HY31" s="79" t="n"/>
      <c r="HZ31" s="79" t="n"/>
      <c r="IA31" s="79" t="n"/>
      <c r="IB31" s="79" t="n"/>
      <c r="IC31" s="18" t="n"/>
      <c r="ID31" s="19" t="n"/>
      <c r="IE31" s="6" t="n"/>
      <c r="IF31" s="80">
        <f>IFERROR(ROUND(AVERAGE(HL31,HN31,HP31,HR31,HT31,HV31,HX31,HZ31,IB31,ID31), 2), "")</f>
        <v/>
      </c>
      <c r="IG31" s="6" t="n"/>
      <c r="IH31" s="79" t="n"/>
      <c r="II31" s="6" t="n"/>
      <c r="IJ31" s="79" t="n"/>
      <c r="IK31" s="6" t="n"/>
      <c r="IL31" s="79" t="n"/>
      <c r="IM31" s="6" t="n"/>
      <c r="IN31" s="79" t="n"/>
      <c r="IO31" s="18" t="n"/>
      <c r="IP31" s="79" t="n"/>
      <c r="IQ31" s="79" t="n"/>
      <c r="IR31" s="79" t="n"/>
      <c r="IS31" s="79" t="n"/>
      <c r="IT31" s="79" t="n"/>
      <c r="IU31" s="79" t="n"/>
      <c r="IV31" s="79" t="n"/>
      <c r="IW31" s="79" t="n"/>
      <c r="IX31" s="18" t="n"/>
      <c r="IY31" s="19" t="n"/>
      <c r="IZ31" s="6" t="n"/>
      <c r="JA31" s="79" t="n"/>
      <c r="JB31" s="6" t="n"/>
      <c r="JC31" s="79" t="n"/>
      <c r="JD31" s="6" t="n"/>
      <c r="JE31" s="79" t="n"/>
      <c r="JF31" s="6" t="n"/>
      <c r="JG31" s="79" t="n"/>
      <c r="JH31" s="6" t="n"/>
      <c r="JI31" s="79" t="n"/>
      <c r="JJ31" s="18" t="n"/>
      <c r="JK31" s="79">
        <f>IF(COUNTA(IG31:JJ31)=0, "", SUMPRODUCT(--ISNUMBER(SEARCH("m", IG31:JJ31))))</f>
        <v/>
      </c>
      <c r="JL31" s="79">
        <f>IF(COUNTA(IG31:JJ31)=0, "", COUNTA(IG31:JJ31) - SUMPRODUCT(--ISNUMBER(SEARCH("m", IG31:JJ31))))</f>
        <v/>
      </c>
      <c r="JM31" s="79" t="n"/>
      <c r="JN31" s="79" t="n"/>
      <c r="JO31" s="79" t="n"/>
      <c r="JP31" s="79" t="n"/>
      <c r="JQ31" s="79" t="n"/>
      <c r="JR31" s="79" t="n"/>
      <c r="JS31" s="18" t="n"/>
      <c r="JT31" s="19" t="n"/>
      <c r="JU31" s="6" t="n"/>
      <c r="JV31" s="79" t="n"/>
      <c r="JW31" s="6" t="n"/>
      <c r="JX31" s="79" t="n"/>
      <c r="JY31" s="6" t="n"/>
      <c r="JZ31" s="79" t="n"/>
      <c r="KA31" s="6" t="n"/>
      <c r="KB31" s="79" t="n"/>
      <c r="KC31" s="6" t="n"/>
      <c r="KD31" s="79" t="n"/>
      <c r="KE31" s="18" t="n"/>
      <c r="KF31" s="79" t="n"/>
      <c r="KG31" s="80">
        <f>IFERROR(ROUND(AVERAGE(JM31,JO31,JQ31,JS31,JU31,JW31,JY31,KA31,KC31,KE31), 2), "")</f>
        <v/>
      </c>
      <c r="KH31" s="79" t="n"/>
      <c r="KI31" s="79" t="n"/>
      <c r="KJ31" s="79" t="n"/>
      <c r="KK31" s="79" t="n"/>
      <c r="KL31" s="79" t="n"/>
      <c r="KM31" s="79" t="n"/>
      <c r="KN31" s="18" t="n"/>
      <c r="KO31" s="19" t="n"/>
      <c r="KP31" s="6" t="n"/>
      <c r="KQ31" s="6" t="n"/>
      <c r="KR31" s="6" t="n"/>
      <c r="KS31" s="6" t="n"/>
      <c r="KT31" s="6" t="n"/>
      <c r="KU31" s="6" t="n"/>
      <c r="KV31" s="6" t="n"/>
      <c r="KW31" s="6" t="n"/>
      <c r="KX31" s="6" t="n"/>
      <c r="KY31" s="6" t="n"/>
      <c r="KZ31" s="6" t="n"/>
      <c r="LA31" s="6" t="n"/>
      <c r="LB31" s="6" t="n"/>
      <c r="LC31" s="6" t="n"/>
      <c r="LD31" s="6" t="n"/>
      <c r="LE31" s="6" t="n"/>
      <c r="LF31" s="6" t="n"/>
      <c r="LG31" s="6" t="n"/>
      <c r="LH31" s="6" t="n"/>
      <c r="LI31" s="6" t="n"/>
      <c r="LJ31" s="6" t="n"/>
      <c r="LK31" s="6" t="n"/>
      <c r="LL31" s="6">
        <f>IF(COUNTA(KH31:LK31)=0, "", SUMPRODUCT(--ISNUMBER(SEARCH("m", KH31:LK31))))</f>
        <v/>
      </c>
      <c r="LM31" s="6">
        <f>IF(COUNTA(KH31:LK31)=0, "", COUNTA(KH31:LK31) - SUMPRODUCT(--ISNUMBER(SEARCH("m", KH31:LK31))))</f>
        <v/>
      </c>
      <c r="LN31" s="6" t="n"/>
      <c r="LO31" s="6" t="n"/>
      <c r="LP31" s="6" t="n"/>
      <c r="LQ31" s="6" t="n"/>
      <c r="LR31" s="6" t="n"/>
      <c r="LS31" s="6" t="n"/>
      <c r="LT31" s="6" t="n"/>
      <c r="LU31" s="6" t="n"/>
      <c r="LV31" s="6" t="n"/>
      <c r="LW31" s="6" t="n"/>
      <c r="LX31" s="6" t="n"/>
      <c r="LY31" s="6" t="n"/>
      <c r="LZ31" s="6" t="n"/>
      <c r="MA31" s="6" t="n"/>
      <c r="MB31" s="6" t="n"/>
      <c r="MC31" s="6" t="n"/>
      <c r="MD31" s="6" t="n"/>
      <c r="ME31" s="6" t="n"/>
      <c r="MF31" s="6" t="n"/>
      <c r="MG31" s="6" t="n"/>
      <c r="MH31" s="20">
        <f>IFERROR(ROUND(AVERAGE(LN31,LP31,LR31,LT31,LV31,LX31,LZ31,MB31,MD31,MF31), 2), "")</f>
        <v/>
      </c>
      <c r="MI31" s="6" t="n"/>
      <c r="MJ31" s="6" t="n"/>
      <c r="MK31" s="6" t="n"/>
      <c r="ML31" s="6" t="n"/>
      <c r="MM31" s="6" t="n"/>
      <c r="MN31" s="6" t="n"/>
      <c r="MO31" s="6" t="n"/>
      <c r="MP31" s="6" t="n"/>
      <c r="MQ31" s="6" t="n"/>
      <c r="MR31" s="6" t="n"/>
      <c r="MS31" s="6" t="n"/>
      <c r="MT31" s="6" t="n"/>
      <c r="MU31" s="6" t="n"/>
      <c r="MV31" s="6" t="n"/>
      <c r="MW31" s="6" t="n"/>
      <c r="MX31" s="6" t="n"/>
      <c r="MY31" s="6" t="n"/>
      <c r="MZ31" s="6" t="n"/>
      <c r="NA31" s="6" t="n"/>
      <c r="NB31" s="6" t="n"/>
      <c r="NC31" s="6" t="n"/>
      <c r="ND31" s="6" t="n"/>
      <c r="NE31" s="6" t="n"/>
      <c r="NF31" s="6" t="n"/>
      <c r="NG31" s="6" t="n"/>
      <c r="NH31" s="6" t="n"/>
      <c r="NI31" s="6" t="n"/>
      <c r="NJ31" s="6" t="n"/>
      <c r="NK31" s="6" t="n"/>
      <c r="NL31" s="6" t="n"/>
      <c r="NM31" s="6">
        <f>IF(COUNTA(MI31:NL31)=0, "", SUMPRODUCT(--ISNUMBER(SEARCH("m", MI31:NL31))))</f>
        <v/>
      </c>
      <c r="NN31" s="6">
        <f>IF(COUNTA(MI31:NL31)=0, "", COUNTA(MI31:NL31) - SUMPRODUCT(--ISNUMBER(SEARCH("m", MI31:NL31))))</f>
        <v/>
      </c>
      <c r="NO31" s="6" t="n"/>
      <c r="NP31" s="6" t="n"/>
      <c r="NQ31" s="6" t="n"/>
      <c r="NR31" s="6" t="n"/>
      <c r="NS31" s="6" t="n"/>
      <c r="NT31" s="6" t="n"/>
      <c r="NU31" s="6" t="n"/>
      <c r="NV31" s="6" t="n"/>
      <c r="NW31" s="6" t="n"/>
      <c r="NX31" s="6" t="n"/>
      <c r="NY31" s="6" t="n"/>
      <c r="NZ31" s="6" t="n"/>
      <c r="OA31" s="6" t="n"/>
      <c r="OB31" s="6" t="n"/>
      <c r="OC31" s="6" t="n"/>
      <c r="OD31" s="6" t="n"/>
      <c r="OE31" s="6" t="n"/>
      <c r="OF31" s="6" t="n"/>
      <c r="OG31" s="6" t="n"/>
      <c r="OH31" s="6" t="n"/>
      <c r="OI31" s="20">
        <f>IFERROR(ROUND(AVERAGE(NO31,NQ31,NS31,NU31,NW31,NY31,OA31,OC31,OE31,OG31), 2), "")</f>
        <v/>
      </c>
      <c r="OJ31" s="6" t="n"/>
      <c r="OK31" s="6" t="n"/>
      <c r="OL31" s="6" t="n"/>
      <c r="OM31" s="6" t="n"/>
      <c r="ON31" s="6" t="n"/>
      <c r="OO31" s="6" t="n"/>
      <c r="OP31" s="6" t="n"/>
      <c r="OQ31" s="6" t="n"/>
      <c r="OR31" s="6" t="n"/>
      <c r="OS31" s="6" t="n"/>
      <c r="OT31" s="6" t="n"/>
      <c r="OU31" s="6" t="n"/>
      <c r="OV31" s="6" t="n"/>
      <c r="OW31" s="6" t="n"/>
      <c r="OX31" s="6" t="n"/>
      <c r="OY31" s="6" t="n"/>
      <c r="OZ31" s="6" t="n"/>
      <c r="PA31" s="6" t="n"/>
      <c r="PB31" s="6" t="n"/>
      <c r="PC31" s="6" t="n"/>
      <c r="PD31" s="6" t="n"/>
      <c r="PE31" s="6" t="n"/>
      <c r="PF31" s="6" t="n"/>
      <c r="PG31" s="6" t="n"/>
      <c r="PH31" s="6" t="n"/>
      <c r="PI31" s="6" t="n"/>
      <c r="PJ31" s="6" t="n"/>
      <c r="PK31" s="6" t="n"/>
      <c r="PL31" s="6" t="n"/>
      <c r="PM31" s="6" t="n"/>
      <c r="PN31" s="6">
        <f>IF(COUNTA(OJ31:PM31)=0, "", SUMPRODUCT(--ISNUMBER(SEARCH("m", OJ31:PM31))))</f>
        <v/>
      </c>
      <c r="PO31" s="6">
        <f>IF(COUNTA(OJ31:PM31)=0, "", COUNTA(OJ31:PM31) - SUMPRODUCT(--ISNUMBER(SEARCH("m", OJ31:PM31))))</f>
        <v/>
      </c>
      <c r="PP31" s="6" t="n"/>
      <c r="PQ31" s="6" t="n"/>
      <c r="PR31" s="6" t="n"/>
      <c r="PS31" s="6" t="n"/>
      <c r="PT31" s="6" t="n"/>
      <c r="PU31" s="6" t="n"/>
      <c r="PV31" s="6" t="n"/>
      <c r="PW31" s="6" t="n"/>
      <c r="PX31" s="6" t="n"/>
      <c r="PY31" s="6" t="n"/>
      <c r="PZ31" s="6" t="n"/>
      <c r="QA31" s="6" t="n"/>
      <c r="QB31" s="6" t="n"/>
      <c r="QC31" s="6" t="n"/>
      <c r="QD31" s="6" t="n"/>
      <c r="QE31" s="6" t="n"/>
      <c r="QF31" s="6" t="n"/>
      <c r="QG31" s="6" t="n"/>
      <c r="QH31" s="6" t="n"/>
      <c r="QI31" s="6" t="n"/>
      <c r="QJ31" s="20">
        <f>IFERROR(ROUND(AVERAGE(PP31,PR31,PT31,PV31,PX31,PZ31,QB31,QD31,QF31,QH31), 2), "")</f>
        <v/>
      </c>
      <c r="QK31" s="6" t="n"/>
      <c r="QL31" s="6" t="n"/>
      <c r="QM31" s="6" t="n"/>
      <c r="QN31" s="6" t="n"/>
      <c r="QO31" s="6" t="n"/>
      <c r="QP31" s="6" t="n"/>
      <c r="QQ31" s="6" t="n"/>
      <c r="QR31" s="6" t="n"/>
      <c r="QS31" s="6" t="n"/>
      <c r="QT31" s="6" t="n"/>
      <c r="QU31" s="6" t="n"/>
      <c r="QV31" s="6" t="n"/>
      <c r="QW31" s="6" t="n"/>
      <c r="QX31" s="6" t="n"/>
      <c r="QY31" s="6" t="n"/>
      <c r="QZ31" s="6" t="n"/>
      <c r="RA31" s="6" t="n"/>
      <c r="RB31" s="6" t="n"/>
      <c r="RC31" s="6" t="n"/>
      <c r="RD31" s="6" t="n"/>
      <c r="RE31" s="6" t="n"/>
      <c r="RF31" s="6" t="n"/>
      <c r="RG31" s="6" t="n"/>
      <c r="RH31" s="6" t="n"/>
      <c r="RI31" s="6" t="n"/>
      <c r="RJ31" s="6" t="n"/>
      <c r="RK31" s="6" t="n"/>
      <c r="RL31" s="6" t="n"/>
      <c r="RM31" s="6" t="n"/>
      <c r="RN31" s="6" t="n"/>
      <c r="RO31" s="6">
        <f>IF(COUNTA(QK31:RN31)=0, "", SUMPRODUCT(--ISNUMBER(SEARCH("m", QK31:RN31))))</f>
        <v/>
      </c>
      <c r="RP31" s="6">
        <f>IF(COUNTA(QK31:RN31)=0, "", COUNTA(QK31:RN31) - SUMPRODUCT(--ISNUMBER(SEARCH("m", QK31:RN31))))</f>
        <v/>
      </c>
      <c r="RQ31" s="6" t="n"/>
      <c r="RR31" s="6" t="n"/>
      <c r="RS31" s="6" t="n"/>
      <c r="RT31" s="6" t="n"/>
      <c r="RU31" s="6" t="n"/>
      <c r="RV31" s="6" t="n"/>
      <c r="RW31" s="6" t="n"/>
      <c r="RX31" s="6" t="n"/>
      <c r="RY31" s="6" t="n"/>
      <c r="RZ31" s="6" t="n"/>
      <c r="SA31" s="6" t="n"/>
      <c r="SB31" s="6" t="n"/>
      <c r="SC31" s="6" t="n"/>
      <c r="SD31" s="6" t="n"/>
      <c r="SE31" s="6" t="n"/>
      <c r="SF31" s="6" t="n"/>
      <c r="SG31" s="6" t="n"/>
      <c r="SH31" s="6" t="n"/>
      <c r="SI31" s="6" t="n"/>
      <c r="SJ31" s="6" t="n"/>
      <c r="SK31" s="20">
        <f>IFERROR(ROUND(AVERAGE(RQ31,RS31,RU31,RW31,RY31,SA31,SC31,SE31,SG31,SI31), 2), "")</f>
        <v/>
      </c>
      <c r="SL31" s="6" t="n"/>
      <c r="SM31" s="6" t="n"/>
      <c r="SN31" s="6" t="n"/>
      <c r="SO31" s="6" t="n"/>
      <c r="SP31" s="6" t="n"/>
      <c r="SQ31" s="6" t="n"/>
      <c r="SR31" s="6" t="n"/>
      <c r="SS31" s="6" t="n"/>
      <c r="ST31" s="6" t="n"/>
      <c r="SU31" s="6" t="n"/>
      <c r="SV31" s="6" t="n"/>
      <c r="SW31" s="6" t="n"/>
      <c r="SX31" s="6" t="n"/>
      <c r="SY31" s="6" t="n"/>
      <c r="SZ31" s="6" t="n"/>
      <c r="TA31" s="6" t="n"/>
      <c r="TB31" s="6" t="n"/>
      <c r="TC31" s="6" t="n"/>
      <c r="TD31" s="6" t="n"/>
      <c r="TE31" s="6" t="n"/>
      <c r="TF31" s="6" t="n"/>
      <c r="TG31" s="6" t="n"/>
      <c r="TH31" s="6" t="n"/>
      <c r="TI31" s="6" t="n"/>
      <c r="TJ31" s="6" t="n"/>
      <c r="TK31" s="6" t="n"/>
      <c r="TL31" s="6" t="n"/>
      <c r="TM31" s="6" t="n"/>
      <c r="TN31" s="6" t="n"/>
      <c r="TO31" s="6" t="n"/>
      <c r="TP31" s="6">
        <f>IF(COUNTA(SL31:TO31)=0, "", SUMPRODUCT(--ISNUMBER(SEARCH("m", SL31:TO31))))</f>
        <v/>
      </c>
      <c r="TQ31" s="6">
        <f>IF(COUNTA(SL31:TO31)=0, "", COUNTA(SL31:TO31) - SUMPRODUCT(--ISNUMBER(SEARCH("m", SL31:TO31))))</f>
        <v/>
      </c>
      <c r="TR31" s="6" t="n"/>
      <c r="TS31" s="6" t="n"/>
      <c r="TT31" s="6" t="n"/>
      <c r="TU31" s="6" t="n"/>
      <c r="TV31" s="6" t="n"/>
      <c r="TW31" s="6" t="n"/>
      <c r="TX31" s="6" t="n"/>
      <c r="TY31" s="6" t="n"/>
      <c r="TZ31" s="6" t="n"/>
      <c r="UA31" s="6" t="n"/>
      <c r="UB31" s="6" t="n"/>
      <c r="UC31" s="6" t="n"/>
      <c r="UD31" s="6" t="n"/>
      <c r="UE31" s="6" t="n"/>
      <c r="UF31" s="6" t="n"/>
      <c r="UG31" s="6" t="n"/>
      <c r="UH31" s="6" t="n"/>
      <c r="UI31" s="6" t="n"/>
      <c r="UJ31" s="6" t="n"/>
      <c r="UK31" s="6" t="n"/>
      <c r="UL31" s="20">
        <f>IFERROR(ROUND(AVERAGE(TR31,TT31,TV31,TX31,TZ31,UB31,UD31,UF31,UH31,UJ31), 2), "")</f>
        <v/>
      </c>
      <c r="UM31" s="6" t="n"/>
      <c r="UN31" s="6" t="n"/>
      <c r="UO31" s="6" t="n"/>
      <c r="UP31" s="6" t="n"/>
      <c r="UQ31" s="6" t="n"/>
      <c r="UR31" s="6" t="n"/>
      <c r="US31" s="6" t="n"/>
      <c r="UT31" s="6" t="n"/>
      <c r="UU31" s="6" t="n"/>
      <c r="UV31" s="6" t="n"/>
      <c r="UW31" s="6" t="n"/>
      <c r="UX31" s="6" t="n"/>
      <c r="UY31" s="6" t="n"/>
      <c r="UZ31" s="6" t="n"/>
      <c r="VA31" s="6" t="n"/>
      <c r="VB31" s="6" t="n"/>
      <c r="VC31" s="6" t="n"/>
      <c r="VD31" s="6" t="n"/>
      <c r="VE31" s="6" t="n"/>
      <c r="VF31" s="6" t="n"/>
      <c r="VG31" s="6" t="n"/>
      <c r="VH31" s="6" t="n"/>
      <c r="VI31" s="6" t="n"/>
      <c r="VJ31" s="6" t="n"/>
      <c r="VK31" s="6" t="n"/>
      <c r="VL31" s="6" t="n"/>
      <c r="VM31" s="6" t="n"/>
      <c r="VN31" s="6" t="n"/>
      <c r="VO31" s="6" t="n"/>
      <c r="VP31" s="6" t="n"/>
      <c r="VQ31" s="6">
        <f>IF(COUNTA(UM31:VP31)=0, "", SUMPRODUCT(--ISNUMBER(SEARCH("m", UM31:VP31))))</f>
        <v/>
      </c>
      <c r="VR31" s="6">
        <f>IF(COUNTA(UM31:VP31)=0, "", COUNTA(UM31:VP31) - SUMPRODUCT(--ISNUMBER(SEARCH("m", UM31:VP31))))</f>
        <v/>
      </c>
      <c r="VS31" s="6" t="n"/>
      <c r="VT31" s="6" t="n"/>
      <c r="VU31" s="6" t="n"/>
      <c r="VV31" s="6" t="n"/>
      <c r="VW31" s="6" t="n"/>
      <c r="VX31" s="6" t="n"/>
      <c r="VY31" s="6" t="n"/>
      <c r="VZ31" s="6" t="n"/>
      <c r="WA31" s="6" t="n"/>
      <c r="WB31" s="6" t="n"/>
      <c r="WC31" s="6" t="n"/>
      <c r="WD31" s="6" t="n"/>
      <c r="WE31" s="6" t="n"/>
      <c r="WF31" s="6" t="n"/>
      <c r="WG31" s="6" t="n"/>
      <c r="WH31" s="6" t="n"/>
      <c r="WI31" s="6" t="n"/>
      <c r="WJ31" s="6" t="n"/>
      <c r="WK31" s="6" t="n"/>
      <c r="WL31" s="6" t="n"/>
      <c r="WM31" s="20">
        <f>IFERROR(ROUND(AVERAGE(VS31,VU31,VW31,VY31,WA31,WC31,WE31,WG31,WI31,WK31), 2), "")</f>
        <v/>
      </c>
      <c r="WN31" s="6" t="n"/>
      <c r="WO31" s="6" t="n"/>
      <c r="WP31" s="6" t="n"/>
      <c r="WQ31" s="6" t="n"/>
      <c r="WR31" s="6" t="n"/>
      <c r="WS31" s="6" t="n"/>
      <c r="WT31" s="6" t="n"/>
      <c r="WU31" s="6" t="n"/>
      <c r="WV31" s="6" t="n"/>
      <c r="WW31" s="6" t="n"/>
      <c r="WX31" s="6" t="n"/>
      <c r="WY31" s="6" t="n"/>
      <c r="WZ31" s="6" t="n"/>
      <c r="XA31" s="6" t="n"/>
      <c r="XB31" s="6" t="n"/>
      <c r="XC31" s="6" t="n"/>
      <c r="XD31" s="6" t="n"/>
      <c r="XE31" s="6" t="n"/>
      <c r="XF31" s="6" t="n"/>
      <c r="XG31" s="6" t="n"/>
      <c r="XH31" s="6" t="n"/>
      <c r="XI31" s="6" t="n"/>
      <c r="XJ31" s="6" t="n"/>
      <c r="XK31" s="6" t="n"/>
      <c r="XL31" s="6" t="n"/>
      <c r="XM31" s="6" t="n"/>
      <c r="XN31" s="6" t="n"/>
      <c r="XO31" s="6" t="n"/>
      <c r="XP31" s="6" t="n"/>
      <c r="XQ31" s="6" t="n"/>
      <c r="XR31" s="6">
        <f>IF(COUNTA(WN31:XQ31)=0, "", SUMPRODUCT(--ISNUMBER(SEARCH("m", WN31:XQ31))))</f>
        <v/>
      </c>
      <c r="XS31" s="6">
        <f>IF(COUNTA(WN31:XQ31)=0, "", COUNTA(WN31:XQ31) - SUMPRODUCT(--ISNUMBER(SEARCH("m", WN31:XQ31))))</f>
        <v/>
      </c>
      <c r="XT31" s="6" t="n"/>
      <c r="XU31" s="6" t="n"/>
      <c r="XV31" s="6" t="n"/>
      <c r="XW31" s="6" t="n"/>
      <c r="XX31" s="6" t="n"/>
      <c r="XY31" s="6" t="n"/>
      <c r="XZ31" s="6" t="n"/>
      <c r="YA31" s="6" t="n"/>
      <c r="YB31" s="6" t="n"/>
      <c r="YC31" s="6" t="n"/>
      <c r="YD31" s="6" t="n"/>
      <c r="YE31" s="6" t="n"/>
      <c r="YF31" s="6" t="n"/>
      <c r="YG31" s="6" t="n"/>
      <c r="YH31" s="6" t="n"/>
      <c r="YI31" s="6" t="n"/>
      <c r="YJ31" s="6" t="n"/>
      <c r="YK31" s="6" t="n"/>
      <c r="YL31" s="6" t="n"/>
      <c r="YM31" s="6" t="n"/>
      <c r="YN31" s="20">
        <f>IFERROR(ROUND(AVERAGE(XT31,XV31,XX31,XZ31,YB31,YD31,YF31,YH31,YJ31,YL31), 2), "")</f>
        <v/>
      </c>
      <c r="YO31" s="6" t="n"/>
      <c r="YP31" s="6" t="n"/>
      <c r="YQ31" s="6" t="n"/>
      <c r="YR31" s="6" t="n"/>
      <c r="YS31" s="6" t="n"/>
      <c r="YT31" s="6" t="n"/>
      <c r="YU31" s="6" t="n"/>
      <c r="YV31" s="6" t="n"/>
      <c r="YW31" s="6" t="n"/>
      <c r="YX31" s="6" t="n"/>
      <c r="YY31" s="6" t="n"/>
      <c r="YZ31" s="6" t="n"/>
      <c r="ZA31" s="6" t="n"/>
      <c r="ZB31" s="6" t="n"/>
      <c r="ZC31" s="6" t="n"/>
      <c r="ZD31" s="6" t="n"/>
      <c r="ZE31" s="6" t="n"/>
      <c r="ZF31" s="6" t="n"/>
      <c r="ZG31" s="6" t="n"/>
      <c r="ZH31" s="6" t="n"/>
      <c r="ZI31" s="6" t="n"/>
      <c r="ZJ31" s="6" t="n"/>
      <c r="ZK31" s="6" t="n"/>
      <c r="ZL31" s="6" t="n"/>
      <c r="ZM31" s="6" t="n"/>
      <c r="ZN31" s="6" t="n"/>
      <c r="ZO31" s="6" t="n"/>
      <c r="ZP31" s="6" t="n"/>
      <c r="ZQ31" s="6" t="n"/>
      <c r="ZR31" s="6" t="n"/>
      <c r="ZS31" s="6">
        <f>IF(COUNTA(YO31:ZR31)=0, "", SUMPRODUCT(--ISNUMBER(SEARCH("m", YO31:ZR31))))</f>
        <v/>
      </c>
      <c r="ZT31" s="6">
        <f>IF(COUNTA(YO31:ZR31)=0, "", COUNTA(YO31:ZR31) - SUMPRODUCT(--ISNUMBER(SEARCH("m", YO31:ZR31))))</f>
        <v/>
      </c>
      <c r="ZU31" s="6" t="n"/>
      <c r="ZV31" s="6" t="n"/>
      <c r="ZW31" s="6" t="n"/>
      <c r="ZX31" s="6" t="n"/>
      <c r="ZY31" s="6" t="n"/>
      <c r="ZZ31" s="6" t="n"/>
      <c r="AAA31" s="6" t="n"/>
      <c r="AAB31" s="6" t="n"/>
      <c r="AAC31" s="6" t="n"/>
      <c r="AAD31" s="6" t="n"/>
      <c r="AAE31" s="6" t="n"/>
      <c r="AAF31" s="6" t="n"/>
      <c r="AAG31" s="6" t="n"/>
      <c r="AAH31" s="6" t="n"/>
      <c r="AAI31" s="6" t="n"/>
      <c r="AAJ31" s="6" t="n"/>
      <c r="AAK31" s="6" t="n"/>
      <c r="AAL31" s="6" t="n"/>
      <c r="AAM31" s="6" t="n"/>
      <c r="AAN31" s="6" t="n"/>
      <c r="AAO31" s="20">
        <f>IFERROR(ROUND(AVERAGE(ZU31,ZW31,ZY31,AAA31,AAC31,AAE31,AAG31,AAI31,AAK31,AAM31), 2), "")</f>
        <v/>
      </c>
      <c r="AAP31" s="6" t="n"/>
      <c r="AAQ31" s="6" t="n"/>
      <c r="AAR31" s="6" t="n"/>
      <c r="AAS31" s="6" t="n"/>
      <c r="AAT31" s="6" t="n"/>
      <c r="AAU31" s="6" t="n"/>
      <c r="AAV31" s="6" t="n"/>
      <c r="AAW31" s="6" t="n"/>
      <c r="AAX31" s="6" t="n"/>
      <c r="AAY31" s="6" t="n"/>
      <c r="AAZ31" s="6" t="n"/>
      <c r="ABA31" s="6" t="n"/>
      <c r="ABB31" s="6" t="n"/>
      <c r="ABC31" s="6" t="n"/>
      <c r="ABD31" s="6" t="n"/>
      <c r="ABE31" s="6" t="n"/>
      <c r="ABF31" s="6" t="n"/>
      <c r="ABG31" s="6" t="n"/>
      <c r="ABH31" s="6" t="n"/>
      <c r="ABI31" s="6" t="n"/>
      <c r="ABJ31" s="6" t="n"/>
      <c r="ABK31" s="6" t="n"/>
      <c r="ABL31" s="6" t="n"/>
      <c r="ABM31" s="6" t="n"/>
      <c r="ABN31" s="6" t="n"/>
      <c r="ABO31" s="6" t="n"/>
      <c r="ABP31" s="6" t="n"/>
      <c r="ABQ31" s="6" t="n"/>
      <c r="ABR31" s="6" t="n"/>
      <c r="ABS31" s="6" t="n"/>
      <c r="ABT31" s="6">
        <f>IF(COUNTA(AAP31:ABS31)=0, "", SUMPRODUCT(--ISNUMBER(SEARCH("m", AAP31:ABS31))))</f>
        <v/>
      </c>
      <c r="ABU31" s="6">
        <f>IF(COUNTA(AAP31:ABS31)=0, "", COUNTA(AAP31:ABS31) - SUMPRODUCT(--ISNUMBER(SEARCH("m", AAP31:ABS31))))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8">
        <f>IFERROR(ROUND(AVERAGE(AB32,CC32,ED32,GE32,IF32,KG32,MH32,OI32,QJ32,SK32,UL32,WM32,YN32,AAO32), 2), "")</f>
        <v/>
      </c>
      <c r="F32" s="14">
        <f>IF(SUM(BH32,DI32,FJ32,HK32,JL32,LM32,NN32,PO32,RP32,TQ32,VR32,XS32,ZT32,ABU32)=0, "", SUM(BH32,DI32,FJ32,HK32,JL32,LM32,NN32,PO32,RP32,TQ32,VR32,XS32,ZT32,ABU32))</f>
        <v/>
      </c>
      <c r="G32" s="8">
        <f>IF(SUM(BG32,DH32,FI32,HJ32,JK32,LL32,NM32,PN32,RO32,TP32,VQ32,XR32,ZS32,ABT32)=0, "", SUM(BG32,DH32,FI32,HJ32,JK32,LL32,NM32,PN32,RO32,TP32,VQ32,XR32,ZS32,ABT32))</f>
        <v/>
      </c>
      <c r="H32" s="6" t="n"/>
      <c r="I32" s="79" t="n"/>
      <c r="J32" s="6" t="n"/>
      <c r="K32" s="79" t="n"/>
      <c r="L32" s="6" t="n"/>
      <c r="M32" s="79" t="n"/>
      <c r="N32" s="6" t="n"/>
      <c r="O32" s="79" t="n"/>
      <c r="P32" s="6" t="n"/>
      <c r="Q32" s="79" t="n"/>
      <c r="R32" s="18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18" t="n"/>
      <c r="AB32" s="14">
        <f>IFERROR(ROUND(AVERAGE(H32,J32,L32,N32,P32,R32,T32,V32,X32,Z32), 2), "")</f>
        <v/>
      </c>
      <c r="AC32" s="6" t="n"/>
      <c r="AD32" s="79" t="n"/>
      <c r="AE32" s="6" t="n"/>
      <c r="AF32" s="79" t="n"/>
      <c r="AG32" s="6" t="n"/>
      <c r="AH32" s="79" t="n"/>
      <c r="AI32" s="6" t="n"/>
      <c r="AJ32" s="79" t="n"/>
      <c r="AK32" s="6" t="n"/>
      <c r="AL32" s="79" t="n"/>
      <c r="AM32" s="18" t="n"/>
      <c r="AN32" s="79" t="n"/>
      <c r="AO32" s="79" t="n"/>
      <c r="AP32" s="79" t="n"/>
      <c r="AQ32" s="79" t="n"/>
      <c r="AR32" s="79" t="n"/>
      <c r="AS32" s="79" t="n"/>
      <c r="AT32" s="79" t="n"/>
      <c r="AU32" s="79" t="n"/>
      <c r="AV32" s="18" t="n"/>
      <c r="AW32" s="19" t="n"/>
      <c r="AX32" s="6" t="n"/>
      <c r="AY32" s="79" t="n"/>
      <c r="AZ32" s="6" t="n"/>
      <c r="BA32" s="79" t="n"/>
      <c r="BB32" s="6" t="n"/>
      <c r="BC32" s="79" t="n"/>
      <c r="BD32" s="6" t="n"/>
      <c r="BE32" s="79" t="n"/>
      <c r="BF32" s="6" t="n"/>
      <c r="BG32" s="79">
        <f>IF(COUNTA(AC32:BF32)=0, "", SUMPRODUCT(--ISNUMBER(SEARCH("m", AC32:BF32))))</f>
        <v/>
      </c>
      <c r="BH32" s="18">
        <f>IF(COUNTA(AC32:BF32)=0, "", COUNTA(AC32:BF32) - SUMPRODUCT(--ISNUMBER(SEARCH("m", AC32:BF32))))</f>
        <v/>
      </c>
      <c r="BI32" s="79" t="n"/>
      <c r="BJ32" s="79" t="n"/>
      <c r="BK32" s="79" t="n"/>
      <c r="BL32" s="79" t="n"/>
      <c r="BM32" s="79" t="n"/>
      <c r="BN32" s="79" t="n"/>
      <c r="BO32" s="79" t="n"/>
      <c r="BP32" s="79" t="n"/>
      <c r="BQ32" s="18" t="n"/>
      <c r="BR32" s="19" t="n"/>
      <c r="BS32" s="6" t="n"/>
      <c r="BT32" s="79" t="n"/>
      <c r="BU32" s="6" t="n"/>
      <c r="BV32" s="79" t="n"/>
      <c r="BW32" s="6" t="n"/>
      <c r="BX32" s="79" t="n"/>
      <c r="BY32" s="6" t="n"/>
      <c r="BZ32" s="79" t="n"/>
      <c r="CA32" s="6" t="n"/>
      <c r="CB32" s="79" t="n"/>
      <c r="CC32" s="8">
        <f>IFERROR(ROUND(AVERAGE(BI32,BK32,BM32,BO32,BQ32,BS32,BU32,BW32,BY32,CA32), 2), "")</f>
        <v/>
      </c>
      <c r="CD32" s="79" t="n"/>
      <c r="CE32" s="79" t="n"/>
      <c r="CF32" s="79" t="n"/>
      <c r="CG32" s="79" t="n"/>
      <c r="CH32" s="79" t="n"/>
      <c r="CI32" s="79" t="n"/>
      <c r="CJ32" s="79" t="n"/>
      <c r="CK32" s="79" t="n"/>
      <c r="CL32" s="18" t="n"/>
      <c r="CM32" s="19" t="n"/>
      <c r="CN32" s="6" t="n"/>
      <c r="CO32" s="79" t="n"/>
      <c r="CP32" s="6" t="n"/>
      <c r="CQ32" s="79" t="n"/>
      <c r="CR32" s="6" t="n"/>
      <c r="CS32" s="79" t="n"/>
      <c r="CT32" s="6" t="n"/>
      <c r="CU32" s="79" t="n"/>
      <c r="CV32" s="6" t="n"/>
      <c r="CW32" s="79" t="n"/>
      <c r="CX32" s="18" t="n"/>
      <c r="CY32" s="79" t="n"/>
      <c r="CZ32" s="79" t="n"/>
      <c r="DA32" s="79" t="n"/>
      <c r="DB32" s="79" t="n"/>
      <c r="DC32" s="79" t="n"/>
      <c r="DD32" s="79" t="n"/>
      <c r="DE32" s="79" t="n"/>
      <c r="DF32" s="79" t="n"/>
      <c r="DG32" s="18" t="n"/>
      <c r="DH32" s="19">
        <f>IF(COUNTA(CD32:DG32)=0, "", SUMPRODUCT(--ISNUMBER(SEARCH("m", CD32:DG32))))</f>
        <v/>
      </c>
      <c r="DI32" s="6">
        <f>IF(COUNTA(CD32:DG32)=0, "", COUNTA(CD32:DG32) - SUMPRODUCT(--ISNUMBER(SEARCH("m", CD32:DG32))))</f>
        <v/>
      </c>
      <c r="DJ32" s="79" t="n"/>
      <c r="DK32" s="6" t="n"/>
      <c r="DL32" s="79" t="n"/>
      <c r="DM32" s="6" t="n"/>
      <c r="DN32" s="79" t="n"/>
      <c r="DO32" s="6" t="n"/>
      <c r="DP32" s="79" t="n"/>
      <c r="DQ32" s="6" t="n"/>
      <c r="DR32" s="79" t="n"/>
      <c r="DS32" s="18" t="n"/>
      <c r="DT32" s="79" t="n"/>
      <c r="DU32" s="79" t="n"/>
      <c r="DV32" s="79" t="n"/>
      <c r="DW32" s="79" t="n"/>
      <c r="DX32" s="79" t="n"/>
      <c r="DY32" s="79" t="n"/>
      <c r="DZ32" s="79" t="n"/>
      <c r="EA32" s="79" t="n"/>
      <c r="EB32" s="18" t="n"/>
      <c r="EC32" s="19" t="n"/>
      <c r="ED32" s="20">
        <f>IFERROR(ROUND(AVERAGE(DJ32,DL32,DN32,DP32,DR32,DT32,DV32,DX32,DZ32,EB32), 2), "")</f>
        <v/>
      </c>
      <c r="EE32" s="79" t="n"/>
      <c r="EF32" s="6" t="n"/>
      <c r="EG32" s="79" t="n"/>
      <c r="EH32" s="6" t="n"/>
      <c r="EI32" s="79" t="n"/>
      <c r="EJ32" s="6" t="n"/>
      <c r="EK32" s="79" t="n"/>
      <c r="EL32" s="6" t="n"/>
      <c r="EM32" s="79" t="n"/>
      <c r="EN32" s="18" t="n"/>
      <c r="EO32" s="79" t="n"/>
      <c r="EP32" s="79" t="n"/>
      <c r="EQ32" s="79" t="n"/>
      <c r="ER32" s="79" t="n"/>
      <c r="ES32" s="79" t="n"/>
      <c r="ET32" s="79" t="n"/>
      <c r="EU32" s="79" t="n"/>
      <c r="EV32" s="79" t="n"/>
      <c r="EW32" s="18" t="n"/>
      <c r="EX32" s="19" t="n"/>
      <c r="EY32" s="6" t="n"/>
      <c r="EZ32" s="79" t="n"/>
      <c r="FA32" s="6" t="n"/>
      <c r="FB32" s="79" t="n"/>
      <c r="FC32" s="6" t="n"/>
      <c r="FD32" s="79" t="n"/>
      <c r="FE32" s="6" t="n"/>
      <c r="FF32" s="79" t="n"/>
      <c r="FG32" s="6" t="n"/>
      <c r="FH32" s="79" t="n"/>
      <c r="FI32" s="18">
        <f>IF(COUNTA(EE32:FH32)=0, "", SUMPRODUCT(--ISNUMBER(SEARCH("m", EE32:FH32))))</f>
        <v/>
      </c>
      <c r="FJ32" s="79">
        <f>IF(COUNTA(EE32:FH32)=0, "", COUNTA(EE32:FH32) - SUMPRODUCT(--ISNUMBER(SEARCH("m", EE32:FH32))))</f>
        <v/>
      </c>
      <c r="FK32" s="79" t="n"/>
      <c r="FL32" s="79" t="n"/>
      <c r="FM32" s="79" t="n"/>
      <c r="FN32" s="79" t="n"/>
      <c r="FO32" s="79" t="n"/>
      <c r="FP32" s="79" t="n"/>
      <c r="FQ32" s="79" t="n"/>
      <c r="FR32" s="18" t="n"/>
      <c r="FS32" s="19" t="n"/>
      <c r="FT32" s="6" t="n"/>
      <c r="FU32" s="79" t="n"/>
      <c r="FV32" s="6" t="n"/>
      <c r="FW32" s="79" t="n"/>
      <c r="FX32" s="6" t="n"/>
      <c r="FY32" s="79" t="n"/>
      <c r="FZ32" s="6" t="n"/>
      <c r="GA32" s="79" t="n"/>
      <c r="GB32" s="6" t="n"/>
      <c r="GC32" s="79" t="n"/>
      <c r="GD32" s="18" t="n"/>
      <c r="GE32" s="80">
        <f>IFERROR(ROUND(AVERAGE(FK32,FM32,FO32,FQ32,FS32,FU32,FW32,FY32,GA32,GC32), 2), "")</f>
        <v/>
      </c>
      <c r="GF32" s="79" t="n"/>
      <c r="GG32" s="79" t="n"/>
      <c r="GH32" s="79" t="n"/>
      <c r="GI32" s="79" t="n"/>
      <c r="GJ32" s="79" t="n"/>
      <c r="GK32" s="79" t="n"/>
      <c r="GL32" s="79" t="n"/>
      <c r="GM32" s="18" t="n"/>
      <c r="GN32" s="19" t="n"/>
      <c r="GO32" s="6" t="n"/>
      <c r="GP32" s="79" t="n"/>
      <c r="GQ32" s="6" t="n"/>
      <c r="GR32" s="79" t="n"/>
      <c r="GS32" s="6" t="n"/>
      <c r="GT32" s="79" t="n"/>
      <c r="GU32" s="6" t="n"/>
      <c r="GV32" s="79" t="n"/>
      <c r="GW32" s="6" t="n"/>
      <c r="GX32" s="79" t="n"/>
      <c r="GY32" s="18" t="n"/>
      <c r="GZ32" s="79" t="n"/>
      <c r="HA32" s="79" t="n"/>
      <c r="HB32" s="79" t="n"/>
      <c r="HC32" s="79" t="n"/>
      <c r="HD32" s="79" t="n"/>
      <c r="HE32" s="79" t="n"/>
      <c r="HF32" s="79" t="n"/>
      <c r="HG32" s="79" t="n"/>
      <c r="HH32" s="18" t="n"/>
      <c r="HI32" s="19" t="n"/>
      <c r="HJ32" s="6">
        <f>IF(COUNTA(GF32:HI32)=0, "", SUMPRODUCT(--ISNUMBER(SEARCH("m", GF32:HI32))))</f>
        <v/>
      </c>
      <c r="HK32" s="79">
        <f>IF(COUNTA(GF32:HI32)=0, "", COUNTA(GF32:HI32) - SUMPRODUCT(--ISNUMBER(SEARCH("m", GF32:HI32))))</f>
        <v/>
      </c>
      <c r="HL32" s="6" t="n"/>
      <c r="HM32" s="79" t="n"/>
      <c r="HN32" s="6" t="n"/>
      <c r="HO32" s="79" t="n"/>
      <c r="HP32" s="6" t="n"/>
      <c r="HQ32" s="79" t="n"/>
      <c r="HR32" s="6" t="n"/>
      <c r="HS32" s="79" t="n"/>
      <c r="HT32" s="18" t="n"/>
      <c r="HU32" s="79" t="n"/>
      <c r="HV32" s="79" t="n"/>
      <c r="HW32" s="79" t="n"/>
      <c r="HX32" s="79" t="n"/>
      <c r="HY32" s="79" t="n"/>
      <c r="HZ32" s="79" t="n"/>
      <c r="IA32" s="79" t="n"/>
      <c r="IB32" s="79" t="n"/>
      <c r="IC32" s="18" t="n"/>
      <c r="ID32" s="19" t="n"/>
      <c r="IE32" s="6" t="n"/>
      <c r="IF32" s="80">
        <f>IFERROR(ROUND(AVERAGE(HL32,HN32,HP32,HR32,HT32,HV32,HX32,HZ32,IB32,ID32), 2), "")</f>
        <v/>
      </c>
      <c r="IG32" s="6" t="n"/>
      <c r="IH32" s="79" t="n"/>
      <c r="II32" s="6" t="n"/>
      <c r="IJ32" s="79" t="n"/>
      <c r="IK32" s="6" t="n"/>
      <c r="IL32" s="79" t="n"/>
      <c r="IM32" s="6" t="n"/>
      <c r="IN32" s="79" t="n"/>
      <c r="IO32" s="18" t="n"/>
      <c r="IP32" s="79" t="n"/>
      <c r="IQ32" s="79" t="n"/>
      <c r="IR32" s="79" t="n"/>
      <c r="IS32" s="79" t="n"/>
      <c r="IT32" s="79" t="n"/>
      <c r="IU32" s="79" t="n"/>
      <c r="IV32" s="79" t="n"/>
      <c r="IW32" s="79" t="n"/>
      <c r="IX32" s="18" t="n"/>
      <c r="IY32" s="19" t="n"/>
      <c r="IZ32" s="6" t="n"/>
      <c r="JA32" s="79" t="n"/>
      <c r="JB32" s="6" t="n"/>
      <c r="JC32" s="79" t="n"/>
      <c r="JD32" s="6" t="n"/>
      <c r="JE32" s="79" t="n"/>
      <c r="JF32" s="6" t="n"/>
      <c r="JG32" s="79" t="n"/>
      <c r="JH32" s="6" t="n"/>
      <c r="JI32" s="79" t="n"/>
      <c r="JJ32" s="18" t="n"/>
      <c r="JK32" s="79">
        <f>IF(COUNTA(IG32:JJ32)=0, "", SUMPRODUCT(--ISNUMBER(SEARCH("m", IG32:JJ32))))</f>
        <v/>
      </c>
      <c r="JL32" s="79">
        <f>IF(COUNTA(IG32:JJ32)=0, "", COUNTA(IG32:JJ32) - SUMPRODUCT(--ISNUMBER(SEARCH("m", IG32:JJ32))))</f>
        <v/>
      </c>
      <c r="JM32" s="79" t="n"/>
      <c r="JN32" s="79" t="n"/>
      <c r="JO32" s="79" t="n"/>
      <c r="JP32" s="79" t="n"/>
      <c r="JQ32" s="79" t="n"/>
      <c r="JR32" s="79" t="n"/>
      <c r="JS32" s="18" t="n"/>
      <c r="JT32" s="19" t="n"/>
      <c r="JU32" s="6" t="n"/>
      <c r="JV32" s="79" t="n"/>
      <c r="JW32" s="6" t="n"/>
      <c r="JX32" s="79" t="n"/>
      <c r="JY32" s="6" t="n"/>
      <c r="JZ32" s="79" t="n"/>
      <c r="KA32" s="6" t="n"/>
      <c r="KB32" s="79" t="n"/>
      <c r="KC32" s="6" t="n"/>
      <c r="KD32" s="79" t="n"/>
      <c r="KE32" s="18" t="n"/>
      <c r="KF32" s="79" t="n"/>
      <c r="KG32" s="80">
        <f>IFERROR(ROUND(AVERAGE(JM32,JO32,JQ32,JS32,JU32,JW32,JY32,KA32,KC32,KE32), 2), "")</f>
        <v/>
      </c>
      <c r="KH32" s="79" t="n"/>
      <c r="KI32" s="79" t="n"/>
      <c r="KJ32" s="79" t="n"/>
      <c r="KK32" s="79" t="n"/>
      <c r="KL32" s="79" t="n"/>
      <c r="KM32" s="79" t="n"/>
      <c r="KN32" s="18" t="n"/>
      <c r="KO32" s="19" t="n"/>
      <c r="KP32" s="6" t="n"/>
      <c r="KQ32" s="6" t="n"/>
      <c r="KR32" s="6" t="n"/>
      <c r="KS32" s="6" t="n"/>
      <c r="KT32" s="6" t="n"/>
      <c r="KU32" s="6" t="n"/>
      <c r="KV32" s="6" t="n"/>
      <c r="KW32" s="6" t="n"/>
      <c r="KX32" s="6" t="n"/>
      <c r="KY32" s="6" t="n"/>
      <c r="KZ32" s="6" t="n"/>
      <c r="LA32" s="6" t="n"/>
      <c r="LB32" s="6" t="n"/>
      <c r="LC32" s="6" t="n"/>
      <c r="LD32" s="6" t="n"/>
      <c r="LE32" s="6" t="n"/>
      <c r="LF32" s="6" t="n"/>
      <c r="LG32" s="6" t="n"/>
      <c r="LH32" s="6" t="n"/>
      <c r="LI32" s="6" t="n"/>
      <c r="LJ32" s="6" t="n"/>
      <c r="LK32" s="6" t="n"/>
      <c r="LL32" s="6">
        <f>IF(COUNTA(KH32:LK32)=0, "", SUMPRODUCT(--ISNUMBER(SEARCH("m", KH32:LK32))))</f>
        <v/>
      </c>
      <c r="LM32" s="6">
        <f>IF(COUNTA(KH32:LK32)=0, "", COUNTA(KH32:LK32) - SUMPRODUCT(--ISNUMBER(SEARCH("m", KH32:LK32))))</f>
        <v/>
      </c>
      <c r="LN32" s="6" t="n"/>
      <c r="LO32" s="6" t="n"/>
      <c r="LP32" s="6" t="n"/>
      <c r="LQ32" s="6" t="n"/>
      <c r="LR32" s="6" t="n"/>
      <c r="LS32" s="6" t="n"/>
      <c r="LT32" s="6" t="n"/>
      <c r="LU32" s="6" t="n"/>
      <c r="LV32" s="6" t="n"/>
      <c r="LW32" s="6" t="n"/>
      <c r="LX32" s="6" t="n"/>
      <c r="LY32" s="6" t="n"/>
      <c r="LZ32" s="6" t="n"/>
      <c r="MA32" s="6" t="n"/>
      <c r="MB32" s="6" t="n"/>
      <c r="MC32" s="6" t="n"/>
      <c r="MD32" s="6" t="n"/>
      <c r="ME32" s="6" t="n"/>
      <c r="MF32" s="6" t="n"/>
      <c r="MG32" s="6" t="n"/>
      <c r="MH32" s="20">
        <f>IFERROR(ROUND(AVERAGE(LN32,LP32,LR32,LT32,LV32,LX32,LZ32,MB32,MD32,MF32), 2), "")</f>
        <v/>
      </c>
      <c r="MI32" s="6" t="n"/>
      <c r="MJ32" s="6" t="n"/>
      <c r="MK32" s="6" t="n"/>
      <c r="ML32" s="6" t="n"/>
      <c r="MM32" s="6" t="n"/>
      <c r="MN32" s="6" t="n"/>
      <c r="MO32" s="6" t="n"/>
      <c r="MP32" s="6" t="n"/>
      <c r="MQ32" s="6" t="n"/>
      <c r="MR32" s="6" t="n"/>
      <c r="MS32" s="6" t="n"/>
      <c r="MT32" s="6" t="n"/>
      <c r="MU32" s="6" t="n"/>
      <c r="MV32" s="6" t="n"/>
      <c r="MW32" s="6" t="n"/>
      <c r="MX32" s="6" t="n"/>
      <c r="MY32" s="6" t="n"/>
      <c r="MZ32" s="6" t="n"/>
      <c r="NA32" s="6" t="n"/>
      <c r="NB32" s="6" t="n"/>
      <c r="NC32" s="6" t="n"/>
      <c r="ND32" s="6" t="n"/>
      <c r="NE32" s="6" t="n"/>
      <c r="NF32" s="6" t="n"/>
      <c r="NG32" s="6" t="n"/>
      <c r="NH32" s="6" t="n"/>
      <c r="NI32" s="6" t="n"/>
      <c r="NJ32" s="6" t="n"/>
      <c r="NK32" s="6" t="n"/>
      <c r="NL32" s="6" t="n"/>
      <c r="NM32" s="6">
        <f>IF(COUNTA(MI32:NL32)=0, "", SUMPRODUCT(--ISNUMBER(SEARCH("m", MI32:NL32))))</f>
        <v/>
      </c>
      <c r="NN32" s="6">
        <f>IF(COUNTA(MI32:NL32)=0, "", COUNTA(MI32:NL32) - SUMPRODUCT(--ISNUMBER(SEARCH("m", MI32:NL32))))</f>
        <v/>
      </c>
      <c r="NO32" s="6" t="n"/>
      <c r="NP32" s="6" t="n"/>
      <c r="NQ32" s="6" t="n"/>
      <c r="NR32" s="6" t="n"/>
      <c r="NS32" s="6" t="n"/>
      <c r="NT32" s="6" t="n"/>
      <c r="NU32" s="6" t="n"/>
      <c r="NV32" s="6" t="n"/>
      <c r="NW32" s="6" t="n"/>
      <c r="NX32" s="6" t="n"/>
      <c r="NY32" s="6" t="n"/>
      <c r="NZ32" s="6" t="n"/>
      <c r="OA32" s="6" t="n"/>
      <c r="OB32" s="6" t="n"/>
      <c r="OC32" s="6" t="n"/>
      <c r="OD32" s="6" t="n"/>
      <c r="OE32" s="6" t="n"/>
      <c r="OF32" s="6" t="n"/>
      <c r="OG32" s="6" t="n"/>
      <c r="OH32" s="6" t="n"/>
      <c r="OI32" s="20">
        <f>IFERROR(ROUND(AVERAGE(NO32,NQ32,NS32,NU32,NW32,NY32,OA32,OC32,OE32,OG32), 2), "")</f>
        <v/>
      </c>
      <c r="OJ32" s="6" t="n"/>
      <c r="OK32" s="6" t="n"/>
      <c r="OL32" s="6" t="n"/>
      <c r="OM32" s="6" t="n"/>
      <c r="ON32" s="6" t="n"/>
      <c r="OO32" s="6" t="n"/>
      <c r="OP32" s="6" t="n"/>
      <c r="OQ32" s="6" t="n"/>
      <c r="OR32" s="6" t="n"/>
      <c r="OS32" s="6" t="n"/>
      <c r="OT32" s="6" t="n"/>
      <c r="OU32" s="6" t="n"/>
      <c r="OV32" s="6" t="n"/>
      <c r="OW32" s="6" t="n"/>
      <c r="OX32" s="6" t="n"/>
      <c r="OY32" s="6" t="n"/>
      <c r="OZ32" s="6" t="n"/>
      <c r="PA32" s="6" t="n"/>
      <c r="PB32" s="6" t="n"/>
      <c r="PC32" s="6" t="n"/>
      <c r="PD32" s="6" t="n"/>
      <c r="PE32" s="6" t="n"/>
      <c r="PF32" s="6" t="n"/>
      <c r="PG32" s="6" t="n"/>
      <c r="PH32" s="6" t="n"/>
      <c r="PI32" s="6" t="n"/>
      <c r="PJ32" s="6" t="n"/>
      <c r="PK32" s="6" t="n"/>
      <c r="PL32" s="6" t="n"/>
      <c r="PM32" s="6" t="n"/>
      <c r="PN32" s="6">
        <f>IF(COUNTA(OJ32:PM32)=0, "", SUMPRODUCT(--ISNUMBER(SEARCH("m", OJ32:PM32))))</f>
        <v/>
      </c>
      <c r="PO32" s="6">
        <f>IF(COUNTA(OJ32:PM32)=0, "", COUNTA(OJ32:PM32) - SUMPRODUCT(--ISNUMBER(SEARCH("m", OJ32:PM32))))</f>
        <v/>
      </c>
      <c r="PP32" s="6" t="n"/>
      <c r="PQ32" s="6" t="n"/>
      <c r="PR32" s="6" t="n"/>
      <c r="PS32" s="6" t="n"/>
      <c r="PT32" s="6" t="n"/>
      <c r="PU32" s="6" t="n"/>
      <c r="PV32" s="6" t="n"/>
      <c r="PW32" s="6" t="n"/>
      <c r="PX32" s="6" t="n"/>
      <c r="PY32" s="6" t="n"/>
      <c r="PZ32" s="6" t="n"/>
      <c r="QA32" s="6" t="n"/>
      <c r="QB32" s="6" t="n"/>
      <c r="QC32" s="6" t="n"/>
      <c r="QD32" s="6" t="n"/>
      <c r="QE32" s="6" t="n"/>
      <c r="QF32" s="6" t="n"/>
      <c r="QG32" s="6" t="n"/>
      <c r="QH32" s="6" t="n"/>
      <c r="QI32" s="6" t="n"/>
      <c r="QJ32" s="20">
        <f>IFERROR(ROUND(AVERAGE(PP32,PR32,PT32,PV32,PX32,PZ32,QB32,QD32,QF32,QH32), 2), "")</f>
        <v/>
      </c>
      <c r="QK32" s="6" t="n"/>
      <c r="QL32" s="6" t="n"/>
      <c r="QM32" s="6" t="n"/>
      <c r="QN32" s="6" t="n"/>
      <c r="QO32" s="6" t="n"/>
      <c r="QP32" s="6" t="n"/>
      <c r="QQ32" s="6" t="n"/>
      <c r="QR32" s="6" t="n"/>
      <c r="QS32" s="6" t="n"/>
      <c r="QT32" s="6" t="n"/>
      <c r="QU32" s="6" t="n"/>
      <c r="QV32" s="6" t="n"/>
      <c r="QW32" s="6" t="n"/>
      <c r="QX32" s="6" t="n"/>
      <c r="QY32" s="6" t="n"/>
      <c r="QZ32" s="6" t="n"/>
      <c r="RA32" s="6" t="n"/>
      <c r="RB32" s="6" t="n"/>
      <c r="RC32" s="6" t="n"/>
      <c r="RD32" s="6" t="n"/>
      <c r="RE32" s="6" t="n"/>
      <c r="RF32" s="6" t="n"/>
      <c r="RG32" s="6" t="n"/>
      <c r="RH32" s="6" t="n"/>
      <c r="RI32" s="6" t="n"/>
      <c r="RJ32" s="6" t="n"/>
      <c r="RK32" s="6" t="n"/>
      <c r="RL32" s="6" t="n"/>
      <c r="RM32" s="6" t="n"/>
      <c r="RN32" s="6" t="n"/>
      <c r="RO32" s="6">
        <f>IF(COUNTA(QK32:RN32)=0, "", SUMPRODUCT(--ISNUMBER(SEARCH("m", QK32:RN32))))</f>
        <v/>
      </c>
      <c r="RP32" s="6">
        <f>IF(COUNTA(QK32:RN32)=0, "", COUNTA(QK32:RN32) - SUMPRODUCT(--ISNUMBER(SEARCH("m", QK32:RN32))))</f>
        <v/>
      </c>
      <c r="RQ32" s="6" t="n"/>
      <c r="RR32" s="6" t="n"/>
      <c r="RS32" s="6" t="n"/>
      <c r="RT32" s="6" t="n"/>
      <c r="RU32" s="6" t="n"/>
      <c r="RV32" s="6" t="n"/>
      <c r="RW32" s="6" t="n"/>
      <c r="RX32" s="6" t="n"/>
      <c r="RY32" s="6" t="n"/>
      <c r="RZ32" s="6" t="n"/>
      <c r="SA32" s="6" t="n"/>
      <c r="SB32" s="6" t="n"/>
      <c r="SC32" s="6" t="n"/>
      <c r="SD32" s="6" t="n"/>
      <c r="SE32" s="6" t="n"/>
      <c r="SF32" s="6" t="n"/>
      <c r="SG32" s="6" t="n"/>
      <c r="SH32" s="6" t="n"/>
      <c r="SI32" s="6" t="n"/>
      <c r="SJ32" s="6" t="n"/>
      <c r="SK32" s="20">
        <f>IFERROR(ROUND(AVERAGE(RQ32,RS32,RU32,RW32,RY32,SA32,SC32,SE32,SG32,SI32), 2), "")</f>
        <v/>
      </c>
      <c r="SL32" s="6" t="n"/>
      <c r="SM32" s="6" t="n"/>
      <c r="SN32" s="6" t="n"/>
      <c r="SO32" s="6" t="n"/>
      <c r="SP32" s="6" t="n"/>
      <c r="SQ32" s="6" t="n"/>
      <c r="SR32" s="6" t="n"/>
      <c r="SS32" s="6" t="n"/>
      <c r="ST32" s="6" t="n"/>
      <c r="SU32" s="6" t="n"/>
      <c r="SV32" s="6" t="n"/>
      <c r="SW32" s="6" t="n"/>
      <c r="SX32" s="6" t="n"/>
      <c r="SY32" s="6" t="n"/>
      <c r="SZ32" s="6" t="n"/>
      <c r="TA32" s="6" t="n"/>
      <c r="TB32" s="6" t="n"/>
      <c r="TC32" s="6" t="n"/>
      <c r="TD32" s="6" t="n"/>
      <c r="TE32" s="6" t="n"/>
      <c r="TF32" s="6" t="n"/>
      <c r="TG32" s="6" t="n"/>
      <c r="TH32" s="6" t="n"/>
      <c r="TI32" s="6" t="n"/>
      <c r="TJ32" s="6" t="n"/>
      <c r="TK32" s="6" t="n"/>
      <c r="TL32" s="6" t="n"/>
      <c r="TM32" s="6" t="n"/>
      <c r="TN32" s="6" t="n"/>
      <c r="TO32" s="6" t="n"/>
      <c r="TP32" s="6">
        <f>IF(COUNTA(SL32:TO32)=0, "", SUMPRODUCT(--ISNUMBER(SEARCH("m", SL32:TO32))))</f>
        <v/>
      </c>
      <c r="TQ32" s="6">
        <f>IF(COUNTA(SL32:TO32)=0, "", COUNTA(SL32:TO32) - SUMPRODUCT(--ISNUMBER(SEARCH("m", SL32:TO32))))</f>
        <v/>
      </c>
      <c r="TR32" s="6" t="n"/>
      <c r="TS32" s="6" t="n"/>
      <c r="TT32" s="6" t="n"/>
      <c r="TU32" s="6" t="n"/>
      <c r="TV32" s="6" t="n"/>
      <c r="TW32" s="6" t="n"/>
      <c r="TX32" s="6" t="n"/>
      <c r="TY32" s="6" t="n"/>
      <c r="TZ32" s="6" t="n"/>
      <c r="UA32" s="6" t="n"/>
      <c r="UB32" s="6" t="n"/>
      <c r="UC32" s="6" t="n"/>
      <c r="UD32" s="6" t="n"/>
      <c r="UE32" s="6" t="n"/>
      <c r="UF32" s="6" t="n"/>
      <c r="UG32" s="6" t="n"/>
      <c r="UH32" s="6" t="n"/>
      <c r="UI32" s="6" t="n"/>
      <c r="UJ32" s="6" t="n"/>
      <c r="UK32" s="6" t="n"/>
      <c r="UL32" s="20">
        <f>IFERROR(ROUND(AVERAGE(TR32,TT32,TV32,TX32,TZ32,UB32,UD32,UF32,UH32,UJ32), 2), "")</f>
        <v/>
      </c>
      <c r="UM32" s="6" t="n"/>
      <c r="UN32" s="6" t="n"/>
      <c r="UO32" s="6" t="n"/>
      <c r="UP32" s="6" t="n"/>
      <c r="UQ32" s="6" t="n"/>
      <c r="UR32" s="6" t="n"/>
      <c r="US32" s="6" t="n"/>
      <c r="UT32" s="6" t="n"/>
      <c r="UU32" s="6" t="n"/>
      <c r="UV32" s="6" t="n"/>
      <c r="UW32" s="6" t="n"/>
      <c r="UX32" s="6" t="n"/>
      <c r="UY32" s="6" t="n"/>
      <c r="UZ32" s="6" t="n"/>
      <c r="VA32" s="6" t="n"/>
      <c r="VB32" s="6" t="n"/>
      <c r="VC32" s="6" t="n"/>
      <c r="VD32" s="6" t="n"/>
      <c r="VE32" s="6" t="n"/>
      <c r="VF32" s="6" t="n"/>
      <c r="VG32" s="6" t="n"/>
      <c r="VH32" s="6" t="n"/>
      <c r="VI32" s="6" t="n"/>
      <c r="VJ32" s="6" t="n"/>
      <c r="VK32" s="6" t="n"/>
      <c r="VL32" s="6" t="n"/>
      <c r="VM32" s="6" t="n"/>
      <c r="VN32" s="6" t="n"/>
      <c r="VO32" s="6" t="n"/>
      <c r="VP32" s="6" t="n"/>
      <c r="VQ32" s="6">
        <f>IF(COUNTA(UM32:VP32)=0, "", SUMPRODUCT(--ISNUMBER(SEARCH("m", UM32:VP32))))</f>
        <v/>
      </c>
      <c r="VR32" s="6">
        <f>IF(COUNTA(UM32:VP32)=0, "", COUNTA(UM32:VP32) - SUMPRODUCT(--ISNUMBER(SEARCH("m", UM32:VP32))))</f>
        <v/>
      </c>
      <c r="VS32" s="6" t="n"/>
      <c r="VT32" s="6" t="n"/>
      <c r="VU32" s="6" t="n"/>
      <c r="VV32" s="6" t="n"/>
      <c r="VW32" s="6" t="n"/>
      <c r="VX32" s="6" t="n"/>
      <c r="VY32" s="6" t="n"/>
      <c r="VZ32" s="6" t="n"/>
      <c r="WA32" s="6" t="n"/>
      <c r="WB32" s="6" t="n"/>
      <c r="WC32" s="6" t="n"/>
      <c r="WD32" s="6" t="n"/>
      <c r="WE32" s="6" t="n"/>
      <c r="WF32" s="6" t="n"/>
      <c r="WG32" s="6" t="n"/>
      <c r="WH32" s="6" t="n"/>
      <c r="WI32" s="6" t="n"/>
      <c r="WJ32" s="6" t="n"/>
      <c r="WK32" s="6" t="n"/>
      <c r="WL32" s="6" t="n"/>
      <c r="WM32" s="20">
        <f>IFERROR(ROUND(AVERAGE(VS32,VU32,VW32,VY32,WA32,WC32,WE32,WG32,WI32,WK32), 2), "")</f>
        <v/>
      </c>
      <c r="WN32" s="6" t="n"/>
      <c r="WO32" s="6" t="n"/>
      <c r="WP32" s="6" t="n"/>
      <c r="WQ32" s="6" t="n"/>
      <c r="WR32" s="6" t="n"/>
      <c r="WS32" s="6" t="n"/>
      <c r="WT32" s="6" t="n"/>
      <c r="WU32" s="6" t="n"/>
      <c r="WV32" s="6" t="n"/>
      <c r="WW32" s="6" t="n"/>
      <c r="WX32" s="6" t="n"/>
      <c r="WY32" s="6" t="n"/>
      <c r="WZ32" s="6" t="n"/>
      <c r="XA32" s="6" t="n"/>
      <c r="XB32" s="6" t="n"/>
      <c r="XC32" s="6" t="n"/>
      <c r="XD32" s="6" t="n"/>
      <c r="XE32" s="6" t="n"/>
      <c r="XF32" s="6" t="n"/>
      <c r="XG32" s="6" t="n"/>
      <c r="XH32" s="6" t="n"/>
      <c r="XI32" s="6" t="n"/>
      <c r="XJ32" s="6" t="n"/>
      <c r="XK32" s="6" t="n"/>
      <c r="XL32" s="6" t="n"/>
      <c r="XM32" s="6" t="n"/>
      <c r="XN32" s="6" t="n"/>
      <c r="XO32" s="6" t="n"/>
      <c r="XP32" s="6" t="n"/>
      <c r="XQ32" s="6" t="n"/>
      <c r="XR32" s="6">
        <f>IF(COUNTA(WN32:XQ32)=0, "", SUMPRODUCT(--ISNUMBER(SEARCH("m", WN32:XQ32))))</f>
        <v/>
      </c>
      <c r="XS32" s="6">
        <f>IF(COUNTA(WN32:XQ32)=0, "", COUNTA(WN32:XQ32) - SUMPRODUCT(--ISNUMBER(SEARCH("m", WN32:XQ32))))</f>
        <v/>
      </c>
      <c r="XT32" s="6" t="n"/>
      <c r="XU32" s="6" t="n"/>
      <c r="XV32" s="6" t="n"/>
      <c r="XW32" s="6" t="n"/>
      <c r="XX32" s="6" t="n"/>
      <c r="XY32" s="6" t="n"/>
      <c r="XZ32" s="6" t="n"/>
      <c r="YA32" s="6" t="n"/>
      <c r="YB32" s="6" t="n"/>
      <c r="YC32" s="6" t="n"/>
      <c r="YD32" s="6" t="n"/>
      <c r="YE32" s="6" t="n"/>
      <c r="YF32" s="6" t="n"/>
      <c r="YG32" s="6" t="n"/>
      <c r="YH32" s="6" t="n"/>
      <c r="YI32" s="6" t="n"/>
      <c r="YJ32" s="6" t="n"/>
      <c r="YK32" s="6" t="n"/>
      <c r="YL32" s="6" t="n"/>
      <c r="YM32" s="6" t="n"/>
      <c r="YN32" s="20">
        <f>IFERROR(ROUND(AVERAGE(XT32,XV32,XX32,XZ32,YB32,YD32,YF32,YH32,YJ32,YL32), 2), "")</f>
        <v/>
      </c>
      <c r="YO32" s="6" t="n"/>
      <c r="YP32" s="6" t="n"/>
      <c r="YQ32" s="6" t="n"/>
      <c r="YR32" s="6" t="n"/>
      <c r="YS32" s="6" t="n"/>
      <c r="YT32" s="6" t="n"/>
      <c r="YU32" s="6" t="n"/>
      <c r="YV32" s="6" t="n"/>
      <c r="YW32" s="6" t="n"/>
      <c r="YX32" s="6" t="n"/>
      <c r="YY32" s="6" t="n"/>
      <c r="YZ32" s="6" t="n"/>
      <c r="ZA32" s="6" t="n"/>
      <c r="ZB32" s="6" t="n"/>
      <c r="ZC32" s="6" t="n"/>
      <c r="ZD32" s="6" t="n"/>
      <c r="ZE32" s="6" t="n"/>
      <c r="ZF32" s="6" t="n"/>
      <c r="ZG32" s="6" t="n"/>
      <c r="ZH32" s="6" t="n"/>
      <c r="ZI32" s="6" t="n"/>
      <c r="ZJ32" s="6" t="n"/>
      <c r="ZK32" s="6" t="n"/>
      <c r="ZL32" s="6" t="n"/>
      <c r="ZM32" s="6" t="n"/>
      <c r="ZN32" s="6" t="n"/>
      <c r="ZO32" s="6" t="n"/>
      <c r="ZP32" s="6" t="n"/>
      <c r="ZQ32" s="6" t="n"/>
      <c r="ZR32" s="6" t="n"/>
      <c r="ZS32" s="6">
        <f>IF(COUNTA(YO32:ZR32)=0, "", SUMPRODUCT(--ISNUMBER(SEARCH("m", YO32:ZR32))))</f>
        <v/>
      </c>
      <c r="ZT32" s="6">
        <f>IF(COUNTA(YO32:ZR32)=0, "", COUNTA(YO32:ZR32) - SUMPRODUCT(--ISNUMBER(SEARCH("m", YO32:ZR32))))</f>
        <v/>
      </c>
      <c r="ZU32" s="6" t="n"/>
      <c r="ZV32" s="6" t="n"/>
      <c r="ZW32" s="6" t="n"/>
      <c r="ZX32" s="6" t="n"/>
      <c r="ZY32" s="6" t="n"/>
      <c r="ZZ32" s="6" t="n"/>
      <c r="AAA32" s="6" t="n"/>
      <c r="AAB32" s="6" t="n"/>
      <c r="AAC32" s="6" t="n"/>
      <c r="AAD32" s="6" t="n"/>
      <c r="AAE32" s="6" t="n"/>
      <c r="AAF32" s="6" t="n"/>
      <c r="AAG32" s="6" t="n"/>
      <c r="AAH32" s="6" t="n"/>
      <c r="AAI32" s="6" t="n"/>
      <c r="AAJ32" s="6" t="n"/>
      <c r="AAK32" s="6" t="n"/>
      <c r="AAL32" s="6" t="n"/>
      <c r="AAM32" s="6" t="n"/>
      <c r="AAN32" s="6" t="n"/>
      <c r="AAO32" s="20">
        <f>IFERROR(ROUND(AVERAGE(ZU32,ZW32,ZY32,AAA32,AAC32,AAE32,AAG32,AAI32,AAK32,AAM32), 2), "")</f>
        <v/>
      </c>
      <c r="AAP32" s="6" t="n"/>
      <c r="AAQ32" s="6" t="n"/>
      <c r="AAR32" s="6" t="n"/>
      <c r="AAS32" s="6" t="n"/>
      <c r="AAT32" s="6" t="n"/>
      <c r="AAU32" s="6" t="n"/>
      <c r="AAV32" s="6" t="n"/>
      <c r="AAW32" s="6" t="n"/>
      <c r="AAX32" s="6" t="n"/>
      <c r="AAY32" s="6" t="n"/>
      <c r="AAZ32" s="6" t="n"/>
      <c r="ABA32" s="6" t="n"/>
      <c r="ABB32" s="6" t="n"/>
      <c r="ABC32" s="6" t="n"/>
      <c r="ABD32" s="6" t="n"/>
      <c r="ABE32" s="6" t="n"/>
      <c r="ABF32" s="6" t="n"/>
      <c r="ABG32" s="6" t="n"/>
      <c r="ABH32" s="6" t="n"/>
      <c r="ABI32" s="6" t="n"/>
      <c r="ABJ32" s="6" t="n"/>
      <c r="ABK32" s="6" t="n"/>
      <c r="ABL32" s="6" t="n"/>
      <c r="ABM32" s="6" t="n"/>
      <c r="ABN32" s="6" t="n"/>
      <c r="ABO32" s="6" t="n"/>
      <c r="ABP32" s="6" t="n"/>
      <c r="ABQ32" s="6" t="n"/>
      <c r="ABR32" s="6" t="n"/>
      <c r="ABS32" s="6" t="n"/>
      <c r="ABT32" s="6">
        <f>IF(COUNTA(AAP32:ABS32)=0, "", SUMPRODUCT(--ISNUMBER(SEARCH("m", AAP32:ABS32))))</f>
        <v/>
      </c>
      <c r="ABU32" s="6">
        <f>IF(COUNTA(AAP32:ABS32)=0, "", COUNTA(AAP32:ABS32) - SUMPRODUCT(--ISNUMBER(SEARCH("m", AAP32:ABS32))))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8">
        <f>IFERROR(ROUND(AVERAGE(AB33,CC33,ED33,GE33,IF33,KG33,MH33,OI33,QJ33,SK33,UL33,WM33,YN33,AAO33), 2), "")</f>
        <v/>
      </c>
      <c r="F33" s="14">
        <f>IF(SUM(BH33,DI33,FJ33,HK33,JL33,LM33,NN33,PO33,RP33,TQ33,VR33,XS33,ZT33,ABU33)=0, "", SUM(BH33,DI33,FJ33,HK33,JL33,LM33,NN33,PO33,RP33,TQ33,VR33,XS33,ZT33,ABU33))</f>
        <v/>
      </c>
      <c r="G33" s="8">
        <f>IF(SUM(BG33,DH33,FI33,HJ33,JK33,LL33,NM33,PN33,RO33,TP33,VQ33,XR33,ZS33,ABT33)=0, "", SUM(BG33,DH33,FI33,HJ33,JK33,LL33,NM33,PN33,RO33,TP33,VQ33,XR33,ZS33,ABT33))</f>
        <v/>
      </c>
      <c r="H33" s="6" t="n"/>
      <c r="I33" s="79" t="n"/>
      <c r="J33" s="6" t="n"/>
      <c r="K33" s="79" t="n"/>
      <c r="L33" s="6" t="n"/>
      <c r="M33" s="79" t="n"/>
      <c r="N33" s="6" t="n"/>
      <c r="O33" s="79" t="n"/>
      <c r="P33" s="6" t="n"/>
      <c r="Q33" s="79" t="n"/>
      <c r="R33" s="18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18" t="n"/>
      <c r="AB33" s="14">
        <f>IFERROR(ROUND(AVERAGE(H33,J33,L33,N33,P33,R33,T33,V33,X33,Z33), 2), "")</f>
        <v/>
      </c>
      <c r="AC33" s="6" t="n"/>
      <c r="AD33" s="79" t="n"/>
      <c r="AE33" s="6" t="n"/>
      <c r="AF33" s="79" t="n"/>
      <c r="AG33" s="6" t="n"/>
      <c r="AH33" s="79" t="n"/>
      <c r="AI33" s="6" t="n"/>
      <c r="AJ33" s="79" t="n"/>
      <c r="AK33" s="6" t="n"/>
      <c r="AL33" s="79" t="n"/>
      <c r="AM33" s="18" t="n"/>
      <c r="AN33" s="79" t="n"/>
      <c r="AO33" s="79" t="n"/>
      <c r="AP33" s="79" t="n"/>
      <c r="AQ33" s="79" t="n"/>
      <c r="AR33" s="79" t="n"/>
      <c r="AS33" s="79" t="n"/>
      <c r="AT33" s="79" t="n"/>
      <c r="AU33" s="79" t="n"/>
      <c r="AV33" s="18" t="n"/>
      <c r="AW33" s="19" t="n"/>
      <c r="AX33" s="6" t="n"/>
      <c r="AY33" s="79" t="n"/>
      <c r="AZ33" s="6" t="n"/>
      <c r="BA33" s="79" t="n"/>
      <c r="BB33" s="6" t="n"/>
      <c r="BC33" s="79" t="n"/>
      <c r="BD33" s="6" t="n"/>
      <c r="BE33" s="79" t="n"/>
      <c r="BF33" s="6" t="n"/>
      <c r="BG33" s="79">
        <f>IF(COUNTA(AC33:BF33)=0, "", SUMPRODUCT(--ISNUMBER(SEARCH("m", AC33:BF33))))</f>
        <v/>
      </c>
      <c r="BH33" s="18">
        <f>IF(COUNTA(AC33:BF33)=0, "", COUNTA(AC33:BF33) - SUMPRODUCT(--ISNUMBER(SEARCH("m", AC33:BF33))))</f>
        <v/>
      </c>
      <c r="BI33" s="79" t="n"/>
      <c r="BJ33" s="79" t="n"/>
      <c r="BK33" s="79" t="n"/>
      <c r="BL33" s="79" t="n"/>
      <c r="BM33" s="79" t="n"/>
      <c r="BN33" s="79" t="n"/>
      <c r="BO33" s="79" t="n"/>
      <c r="BP33" s="79" t="n"/>
      <c r="BQ33" s="18" t="n"/>
      <c r="BR33" s="19" t="n"/>
      <c r="BS33" s="6" t="n"/>
      <c r="BT33" s="79" t="n"/>
      <c r="BU33" s="6" t="n"/>
      <c r="BV33" s="79" t="n"/>
      <c r="BW33" s="6" t="n"/>
      <c r="BX33" s="79" t="n"/>
      <c r="BY33" s="6" t="n"/>
      <c r="BZ33" s="79" t="n"/>
      <c r="CA33" s="6" t="n"/>
      <c r="CB33" s="79" t="n"/>
      <c r="CC33" s="8">
        <f>IFERROR(ROUND(AVERAGE(BI33,BK33,BM33,BO33,BQ33,BS33,BU33,BW33,BY33,CA33), 2), "")</f>
        <v/>
      </c>
      <c r="CD33" s="79" t="n"/>
      <c r="CE33" s="79" t="n"/>
      <c r="CF33" s="79" t="n"/>
      <c r="CG33" s="79" t="n"/>
      <c r="CH33" s="79" t="n"/>
      <c r="CI33" s="79" t="n"/>
      <c r="CJ33" s="79" t="n"/>
      <c r="CK33" s="79" t="n"/>
      <c r="CL33" s="18" t="n"/>
      <c r="CM33" s="19" t="n"/>
      <c r="CN33" s="6" t="n"/>
      <c r="CO33" s="79" t="n"/>
      <c r="CP33" s="6" t="n"/>
      <c r="CQ33" s="79" t="n"/>
      <c r="CR33" s="6" t="n"/>
      <c r="CS33" s="79" t="n"/>
      <c r="CT33" s="6" t="n"/>
      <c r="CU33" s="79" t="n"/>
      <c r="CV33" s="6" t="n"/>
      <c r="CW33" s="79" t="n"/>
      <c r="CX33" s="18" t="n"/>
      <c r="CY33" s="79" t="n"/>
      <c r="CZ33" s="79" t="n"/>
      <c r="DA33" s="79" t="n"/>
      <c r="DB33" s="79" t="n"/>
      <c r="DC33" s="79" t="n"/>
      <c r="DD33" s="79" t="n"/>
      <c r="DE33" s="79" t="n"/>
      <c r="DF33" s="79" t="n"/>
      <c r="DG33" s="18" t="n"/>
      <c r="DH33" s="19">
        <f>IF(COUNTA(CD33:DG33)=0, "", SUMPRODUCT(--ISNUMBER(SEARCH("m", CD33:DG33))))</f>
        <v/>
      </c>
      <c r="DI33" s="6">
        <f>IF(COUNTA(CD33:DG33)=0, "", COUNTA(CD33:DG33) - SUMPRODUCT(--ISNUMBER(SEARCH("m", CD33:DG33))))</f>
        <v/>
      </c>
      <c r="DJ33" s="79" t="n"/>
      <c r="DK33" s="6" t="n"/>
      <c r="DL33" s="79" t="n"/>
      <c r="DM33" s="6" t="n"/>
      <c r="DN33" s="79" t="n"/>
      <c r="DO33" s="6" t="n"/>
      <c r="DP33" s="79" t="n"/>
      <c r="DQ33" s="6" t="n"/>
      <c r="DR33" s="79" t="n"/>
      <c r="DS33" s="18" t="n"/>
      <c r="DT33" s="79" t="n"/>
      <c r="DU33" s="79" t="n"/>
      <c r="DV33" s="79" t="n"/>
      <c r="DW33" s="79" t="n"/>
      <c r="DX33" s="79" t="n"/>
      <c r="DY33" s="79" t="n"/>
      <c r="DZ33" s="79" t="n"/>
      <c r="EA33" s="79" t="n"/>
      <c r="EB33" s="18" t="n"/>
      <c r="EC33" s="19" t="n"/>
      <c r="ED33" s="20">
        <f>IFERROR(ROUND(AVERAGE(DJ33,DL33,DN33,DP33,DR33,DT33,DV33,DX33,DZ33,EB33), 2), "")</f>
        <v/>
      </c>
      <c r="EE33" s="79" t="n"/>
      <c r="EF33" s="6" t="n"/>
      <c r="EG33" s="79" t="n"/>
      <c r="EH33" s="6" t="n"/>
      <c r="EI33" s="79" t="n"/>
      <c r="EJ33" s="6" t="n"/>
      <c r="EK33" s="79" t="n"/>
      <c r="EL33" s="6" t="n"/>
      <c r="EM33" s="79" t="n"/>
      <c r="EN33" s="18" t="n"/>
      <c r="EO33" s="79" t="n"/>
      <c r="EP33" s="79" t="n"/>
      <c r="EQ33" s="79" t="n"/>
      <c r="ER33" s="79" t="n"/>
      <c r="ES33" s="79" t="n"/>
      <c r="ET33" s="79" t="n"/>
      <c r="EU33" s="79" t="n"/>
      <c r="EV33" s="79" t="n"/>
      <c r="EW33" s="18" t="n"/>
      <c r="EX33" s="19" t="n"/>
      <c r="EY33" s="6" t="n"/>
      <c r="EZ33" s="79" t="n"/>
      <c r="FA33" s="6" t="n"/>
      <c r="FB33" s="79" t="n"/>
      <c r="FC33" s="6" t="n"/>
      <c r="FD33" s="79" t="n"/>
      <c r="FE33" s="6" t="n"/>
      <c r="FF33" s="79" t="n"/>
      <c r="FG33" s="6" t="n"/>
      <c r="FH33" s="79" t="n"/>
      <c r="FI33" s="18">
        <f>IF(COUNTA(EE33:FH33)=0, "", SUMPRODUCT(--ISNUMBER(SEARCH("m", EE33:FH33))))</f>
        <v/>
      </c>
      <c r="FJ33" s="79">
        <f>IF(COUNTA(EE33:FH33)=0, "", COUNTA(EE33:FH33) - SUMPRODUCT(--ISNUMBER(SEARCH("m", EE33:FH33))))</f>
        <v/>
      </c>
      <c r="FK33" s="79" t="n"/>
      <c r="FL33" s="79" t="n"/>
      <c r="FM33" s="79" t="n"/>
      <c r="FN33" s="79" t="n"/>
      <c r="FO33" s="79" t="n"/>
      <c r="FP33" s="79" t="n"/>
      <c r="FQ33" s="79" t="n"/>
      <c r="FR33" s="18" t="n"/>
      <c r="FS33" s="19" t="n"/>
      <c r="FT33" s="6" t="n"/>
      <c r="FU33" s="79" t="n"/>
      <c r="FV33" s="6" t="n"/>
      <c r="FW33" s="79" t="n"/>
      <c r="FX33" s="6" t="n"/>
      <c r="FY33" s="79" t="n"/>
      <c r="FZ33" s="6" t="n"/>
      <c r="GA33" s="79" t="n"/>
      <c r="GB33" s="6" t="n"/>
      <c r="GC33" s="79" t="n"/>
      <c r="GD33" s="18" t="n"/>
      <c r="GE33" s="80">
        <f>IFERROR(ROUND(AVERAGE(FK33,FM33,FO33,FQ33,FS33,FU33,FW33,FY33,GA33,GC33), 2), "")</f>
        <v/>
      </c>
      <c r="GF33" s="79" t="n"/>
      <c r="GG33" s="79" t="n"/>
      <c r="GH33" s="79" t="n"/>
      <c r="GI33" s="79" t="n"/>
      <c r="GJ33" s="79" t="n"/>
      <c r="GK33" s="79" t="n"/>
      <c r="GL33" s="79" t="n"/>
      <c r="GM33" s="18" t="n"/>
      <c r="GN33" s="19" t="n"/>
      <c r="GO33" s="6" t="n"/>
      <c r="GP33" s="79" t="n"/>
      <c r="GQ33" s="6" t="n"/>
      <c r="GR33" s="79" t="n"/>
      <c r="GS33" s="6" t="n"/>
      <c r="GT33" s="79" t="n"/>
      <c r="GU33" s="6" t="n"/>
      <c r="GV33" s="79" t="n"/>
      <c r="GW33" s="6" t="n"/>
      <c r="GX33" s="79" t="n"/>
      <c r="GY33" s="18" t="n"/>
      <c r="GZ33" s="79" t="n"/>
      <c r="HA33" s="79" t="n"/>
      <c r="HB33" s="79" t="n"/>
      <c r="HC33" s="79" t="n"/>
      <c r="HD33" s="79" t="n"/>
      <c r="HE33" s="79" t="n"/>
      <c r="HF33" s="79" t="n"/>
      <c r="HG33" s="79" t="n"/>
      <c r="HH33" s="18" t="n"/>
      <c r="HI33" s="19" t="n"/>
      <c r="HJ33" s="6">
        <f>IF(COUNTA(GF33:HI33)=0, "", SUMPRODUCT(--ISNUMBER(SEARCH("m", GF33:HI33))))</f>
        <v/>
      </c>
      <c r="HK33" s="79">
        <f>IF(COUNTA(GF33:HI33)=0, "", COUNTA(GF33:HI33) - SUMPRODUCT(--ISNUMBER(SEARCH("m", GF33:HI33))))</f>
        <v/>
      </c>
      <c r="HL33" s="6" t="n"/>
      <c r="HM33" s="79" t="n"/>
      <c r="HN33" s="6" t="n"/>
      <c r="HO33" s="79" t="n"/>
      <c r="HP33" s="6" t="n"/>
      <c r="HQ33" s="79" t="n"/>
      <c r="HR33" s="6" t="n"/>
      <c r="HS33" s="79" t="n"/>
      <c r="HT33" s="18" t="n"/>
      <c r="HU33" s="79" t="n"/>
      <c r="HV33" s="79" t="n"/>
      <c r="HW33" s="79" t="n"/>
      <c r="HX33" s="79" t="n"/>
      <c r="HY33" s="79" t="n"/>
      <c r="HZ33" s="79" t="n"/>
      <c r="IA33" s="79" t="n"/>
      <c r="IB33" s="79" t="n"/>
      <c r="IC33" s="18" t="n"/>
      <c r="ID33" s="19" t="n"/>
      <c r="IE33" s="6" t="n"/>
      <c r="IF33" s="80">
        <f>IFERROR(ROUND(AVERAGE(HL33,HN33,HP33,HR33,HT33,HV33,HX33,HZ33,IB33,ID33), 2), "")</f>
        <v/>
      </c>
      <c r="IG33" s="6" t="n"/>
      <c r="IH33" s="79" t="n"/>
      <c r="II33" s="6" t="n"/>
      <c r="IJ33" s="79" t="n"/>
      <c r="IK33" s="6" t="n"/>
      <c r="IL33" s="79" t="n"/>
      <c r="IM33" s="6" t="n"/>
      <c r="IN33" s="79" t="n"/>
      <c r="IO33" s="18" t="n"/>
      <c r="IP33" s="79" t="n"/>
      <c r="IQ33" s="79" t="n"/>
      <c r="IR33" s="79" t="n"/>
      <c r="IS33" s="79" t="n"/>
      <c r="IT33" s="79" t="n"/>
      <c r="IU33" s="79" t="n"/>
      <c r="IV33" s="79" t="n"/>
      <c r="IW33" s="79" t="n"/>
      <c r="IX33" s="18" t="n"/>
      <c r="IY33" s="19" t="n"/>
      <c r="IZ33" s="6" t="n"/>
      <c r="JA33" s="79" t="n"/>
      <c r="JB33" s="6" t="n"/>
      <c r="JC33" s="79" t="n"/>
      <c r="JD33" s="6" t="n"/>
      <c r="JE33" s="79" t="n"/>
      <c r="JF33" s="6" t="n"/>
      <c r="JG33" s="79" t="n"/>
      <c r="JH33" s="6" t="n"/>
      <c r="JI33" s="79" t="n"/>
      <c r="JJ33" s="18" t="n"/>
      <c r="JK33" s="79">
        <f>IF(COUNTA(IG33:JJ33)=0, "", SUMPRODUCT(--ISNUMBER(SEARCH("m", IG33:JJ33))))</f>
        <v/>
      </c>
      <c r="JL33" s="79">
        <f>IF(COUNTA(IG33:JJ33)=0, "", COUNTA(IG33:JJ33) - SUMPRODUCT(--ISNUMBER(SEARCH("m", IG33:JJ33))))</f>
        <v/>
      </c>
      <c r="JM33" s="79" t="n"/>
      <c r="JN33" s="79" t="n"/>
      <c r="JO33" s="79" t="n"/>
      <c r="JP33" s="79" t="n"/>
      <c r="JQ33" s="79" t="n"/>
      <c r="JR33" s="79" t="n"/>
      <c r="JS33" s="18" t="n"/>
      <c r="JT33" s="19" t="n"/>
      <c r="JU33" s="6" t="n"/>
      <c r="JV33" s="79" t="n"/>
      <c r="JW33" s="6" t="n"/>
      <c r="JX33" s="79" t="n"/>
      <c r="JY33" s="6" t="n"/>
      <c r="JZ33" s="79" t="n"/>
      <c r="KA33" s="6" t="n"/>
      <c r="KB33" s="79" t="n"/>
      <c r="KC33" s="6" t="n"/>
      <c r="KD33" s="79" t="n"/>
      <c r="KE33" s="18" t="n"/>
      <c r="KF33" s="79" t="n"/>
      <c r="KG33" s="80">
        <f>IFERROR(ROUND(AVERAGE(JM33,JO33,JQ33,JS33,JU33,JW33,JY33,KA33,KC33,KE33), 2), "")</f>
        <v/>
      </c>
      <c r="KH33" s="79" t="n"/>
      <c r="KI33" s="79" t="n"/>
      <c r="KJ33" s="79" t="n"/>
      <c r="KK33" s="79" t="n"/>
      <c r="KL33" s="79" t="n"/>
      <c r="KM33" s="79" t="n"/>
      <c r="KN33" s="18" t="n"/>
      <c r="KO33" s="19" t="n"/>
      <c r="KP33" s="6" t="n"/>
      <c r="KQ33" s="6" t="n"/>
      <c r="KR33" s="6" t="n"/>
      <c r="KS33" s="6" t="n"/>
      <c r="KT33" s="6" t="n"/>
      <c r="KU33" s="6" t="n"/>
      <c r="KV33" s="6" t="n"/>
      <c r="KW33" s="6" t="n"/>
      <c r="KX33" s="6" t="n"/>
      <c r="KY33" s="6" t="n"/>
      <c r="KZ33" s="6" t="n"/>
      <c r="LA33" s="6" t="n"/>
      <c r="LB33" s="6" t="n"/>
      <c r="LC33" s="6" t="n"/>
      <c r="LD33" s="6" t="n"/>
      <c r="LE33" s="6" t="n"/>
      <c r="LF33" s="6" t="n"/>
      <c r="LG33" s="6" t="n"/>
      <c r="LH33" s="6" t="n"/>
      <c r="LI33" s="6" t="n"/>
      <c r="LJ33" s="6" t="n"/>
      <c r="LK33" s="6" t="n"/>
      <c r="LL33" s="6">
        <f>IF(COUNTA(KH33:LK33)=0, "", SUMPRODUCT(--ISNUMBER(SEARCH("m", KH33:LK33))))</f>
        <v/>
      </c>
      <c r="LM33" s="6">
        <f>IF(COUNTA(KH33:LK33)=0, "", COUNTA(KH33:LK33) - SUMPRODUCT(--ISNUMBER(SEARCH("m", KH33:LK33))))</f>
        <v/>
      </c>
      <c r="LN33" s="6" t="n"/>
      <c r="LO33" s="6" t="n"/>
      <c r="LP33" s="6" t="n"/>
      <c r="LQ33" s="6" t="n"/>
      <c r="LR33" s="6" t="n"/>
      <c r="LS33" s="6" t="n"/>
      <c r="LT33" s="6" t="n"/>
      <c r="LU33" s="6" t="n"/>
      <c r="LV33" s="6" t="n"/>
      <c r="LW33" s="6" t="n"/>
      <c r="LX33" s="6" t="n"/>
      <c r="LY33" s="6" t="n"/>
      <c r="LZ33" s="6" t="n"/>
      <c r="MA33" s="6" t="n"/>
      <c r="MB33" s="6" t="n"/>
      <c r="MC33" s="6" t="n"/>
      <c r="MD33" s="6" t="n"/>
      <c r="ME33" s="6" t="n"/>
      <c r="MF33" s="6" t="n"/>
      <c r="MG33" s="6" t="n"/>
      <c r="MH33" s="20">
        <f>IFERROR(ROUND(AVERAGE(LN33,LP33,LR33,LT33,LV33,LX33,LZ33,MB33,MD33,MF33), 2), "")</f>
        <v/>
      </c>
      <c r="MI33" s="6" t="n"/>
      <c r="MJ33" s="6" t="n"/>
      <c r="MK33" s="6" t="n"/>
      <c r="ML33" s="6" t="n"/>
      <c r="MM33" s="6" t="n"/>
      <c r="MN33" s="6" t="n"/>
      <c r="MO33" s="6" t="n"/>
      <c r="MP33" s="6" t="n"/>
      <c r="MQ33" s="6" t="n"/>
      <c r="MR33" s="6" t="n"/>
      <c r="MS33" s="6" t="n"/>
      <c r="MT33" s="6" t="n"/>
      <c r="MU33" s="6" t="n"/>
      <c r="MV33" s="6" t="n"/>
      <c r="MW33" s="6" t="n"/>
      <c r="MX33" s="6" t="n"/>
      <c r="MY33" s="6" t="n"/>
      <c r="MZ33" s="6" t="n"/>
      <c r="NA33" s="6" t="n"/>
      <c r="NB33" s="6" t="n"/>
      <c r="NC33" s="6" t="n"/>
      <c r="ND33" s="6" t="n"/>
      <c r="NE33" s="6" t="n"/>
      <c r="NF33" s="6" t="n"/>
      <c r="NG33" s="6" t="n"/>
      <c r="NH33" s="6" t="n"/>
      <c r="NI33" s="6" t="n"/>
      <c r="NJ33" s="6" t="n"/>
      <c r="NK33" s="6" t="n"/>
      <c r="NL33" s="6" t="n"/>
      <c r="NM33" s="6">
        <f>IF(COUNTA(MI33:NL33)=0, "", SUMPRODUCT(--ISNUMBER(SEARCH("m", MI33:NL33))))</f>
        <v/>
      </c>
      <c r="NN33" s="6">
        <f>IF(COUNTA(MI33:NL33)=0, "", COUNTA(MI33:NL33) - SUMPRODUCT(--ISNUMBER(SEARCH("m", MI33:NL33))))</f>
        <v/>
      </c>
      <c r="NO33" s="6" t="n"/>
      <c r="NP33" s="6" t="n"/>
      <c r="NQ33" s="6" t="n"/>
      <c r="NR33" s="6" t="n"/>
      <c r="NS33" s="6" t="n"/>
      <c r="NT33" s="6" t="n"/>
      <c r="NU33" s="6" t="n"/>
      <c r="NV33" s="6" t="n"/>
      <c r="NW33" s="6" t="n"/>
      <c r="NX33" s="6" t="n"/>
      <c r="NY33" s="6" t="n"/>
      <c r="NZ33" s="6" t="n"/>
      <c r="OA33" s="6" t="n"/>
      <c r="OB33" s="6" t="n"/>
      <c r="OC33" s="6" t="n"/>
      <c r="OD33" s="6" t="n"/>
      <c r="OE33" s="6" t="n"/>
      <c r="OF33" s="6" t="n"/>
      <c r="OG33" s="6" t="n"/>
      <c r="OH33" s="6" t="n"/>
      <c r="OI33" s="20">
        <f>IFERROR(ROUND(AVERAGE(NO33,NQ33,NS33,NU33,NW33,NY33,OA33,OC33,OE33,OG33), 2), "")</f>
        <v/>
      </c>
      <c r="OJ33" s="6" t="n"/>
      <c r="OK33" s="6" t="n"/>
      <c r="OL33" s="6" t="n"/>
      <c r="OM33" s="6" t="n"/>
      <c r="ON33" s="6" t="n"/>
      <c r="OO33" s="6" t="n"/>
      <c r="OP33" s="6" t="n"/>
      <c r="OQ33" s="6" t="n"/>
      <c r="OR33" s="6" t="n"/>
      <c r="OS33" s="6" t="n"/>
      <c r="OT33" s="6" t="n"/>
      <c r="OU33" s="6" t="n"/>
      <c r="OV33" s="6" t="n"/>
      <c r="OW33" s="6" t="n"/>
      <c r="OX33" s="6" t="n"/>
      <c r="OY33" s="6" t="n"/>
      <c r="OZ33" s="6" t="n"/>
      <c r="PA33" s="6" t="n"/>
      <c r="PB33" s="6" t="n"/>
      <c r="PC33" s="6" t="n"/>
      <c r="PD33" s="6" t="n"/>
      <c r="PE33" s="6" t="n"/>
      <c r="PF33" s="6" t="n"/>
      <c r="PG33" s="6" t="n"/>
      <c r="PH33" s="6" t="n"/>
      <c r="PI33" s="6" t="n"/>
      <c r="PJ33" s="6" t="n"/>
      <c r="PK33" s="6" t="n"/>
      <c r="PL33" s="6" t="n"/>
      <c r="PM33" s="6" t="n"/>
      <c r="PN33" s="6">
        <f>IF(COUNTA(OJ33:PM33)=0, "", SUMPRODUCT(--ISNUMBER(SEARCH("m", OJ33:PM33))))</f>
        <v/>
      </c>
      <c r="PO33" s="6">
        <f>IF(COUNTA(OJ33:PM33)=0, "", COUNTA(OJ33:PM33) - SUMPRODUCT(--ISNUMBER(SEARCH("m", OJ33:PM33))))</f>
        <v/>
      </c>
      <c r="PP33" s="6" t="n"/>
      <c r="PQ33" s="6" t="n"/>
      <c r="PR33" s="6" t="n"/>
      <c r="PS33" s="6" t="n"/>
      <c r="PT33" s="6" t="n"/>
      <c r="PU33" s="6" t="n"/>
      <c r="PV33" s="6" t="n"/>
      <c r="PW33" s="6" t="n"/>
      <c r="PX33" s="6" t="n"/>
      <c r="PY33" s="6" t="n"/>
      <c r="PZ33" s="6" t="n"/>
      <c r="QA33" s="6" t="n"/>
      <c r="QB33" s="6" t="n"/>
      <c r="QC33" s="6" t="n"/>
      <c r="QD33" s="6" t="n"/>
      <c r="QE33" s="6" t="n"/>
      <c r="QF33" s="6" t="n"/>
      <c r="QG33" s="6" t="n"/>
      <c r="QH33" s="6" t="n"/>
      <c r="QI33" s="6" t="n"/>
      <c r="QJ33" s="20">
        <f>IFERROR(ROUND(AVERAGE(PP33,PR33,PT33,PV33,PX33,PZ33,QB33,QD33,QF33,QH33), 2), "")</f>
        <v/>
      </c>
      <c r="QK33" s="6" t="n"/>
      <c r="QL33" s="6" t="n"/>
      <c r="QM33" s="6" t="n"/>
      <c r="QN33" s="6" t="n"/>
      <c r="QO33" s="6" t="n"/>
      <c r="QP33" s="6" t="n"/>
      <c r="QQ33" s="6" t="n"/>
      <c r="QR33" s="6" t="n"/>
      <c r="QS33" s="6" t="n"/>
      <c r="QT33" s="6" t="n"/>
      <c r="QU33" s="6" t="n"/>
      <c r="QV33" s="6" t="n"/>
      <c r="QW33" s="6" t="n"/>
      <c r="QX33" s="6" t="n"/>
      <c r="QY33" s="6" t="n"/>
      <c r="QZ33" s="6" t="n"/>
      <c r="RA33" s="6" t="n"/>
      <c r="RB33" s="6" t="n"/>
      <c r="RC33" s="6" t="n"/>
      <c r="RD33" s="6" t="n"/>
      <c r="RE33" s="6" t="n"/>
      <c r="RF33" s="6" t="n"/>
      <c r="RG33" s="6" t="n"/>
      <c r="RH33" s="6" t="n"/>
      <c r="RI33" s="6" t="n"/>
      <c r="RJ33" s="6" t="n"/>
      <c r="RK33" s="6" t="n"/>
      <c r="RL33" s="6" t="n"/>
      <c r="RM33" s="6" t="n"/>
      <c r="RN33" s="6" t="n"/>
      <c r="RO33" s="6">
        <f>IF(COUNTA(QK33:RN33)=0, "", SUMPRODUCT(--ISNUMBER(SEARCH("m", QK33:RN33))))</f>
        <v/>
      </c>
      <c r="RP33" s="6">
        <f>IF(COUNTA(QK33:RN33)=0, "", COUNTA(QK33:RN33) - SUMPRODUCT(--ISNUMBER(SEARCH("m", QK33:RN33))))</f>
        <v/>
      </c>
      <c r="RQ33" s="6" t="n"/>
      <c r="RR33" s="6" t="n"/>
      <c r="RS33" s="6" t="n"/>
      <c r="RT33" s="6" t="n"/>
      <c r="RU33" s="6" t="n"/>
      <c r="RV33" s="6" t="n"/>
      <c r="RW33" s="6" t="n"/>
      <c r="RX33" s="6" t="n"/>
      <c r="RY33" s="6" t="n"/>
      <c r="RZ33" s="6" t="n"/>
      <c r="SA33" s="6" t="n"/>
      <c r="SB33" s="6" t="n"/>
      <c r="SC33" s="6" t="n"/>
      <c r="SD33" s="6" t="n"/>
      <c r="SE33" s="6" t="n"/>
      <c r="SF33" s="6" t="n"/>
      <c r="SG33" s="6" t="n"/>
      <c r="SH33" s="6" t="n"/>
      <c r="SI33" s="6" t="n"/>
      <c r="SJ33" s="6" t="n"/>
      <c r="SK33" s="20">
        <f>IFERROR(ROUND(AVERAGE(RQ33,RS33,RU33,RW33,RY33,SA33,SC33,SE33,SG33,SI33), 2), "")</f>
        <v/>
      </c>
      <c r="SL33" s="6" t="n"/>
      <c r="SM33" s="6" t="n"/>
      <c r="SN33" s="6" t="n"/>
      <c r="SO33" s="6" t="n"/>
      <c r="SP33" s="6" t="n"/>
      <c r="SQ33" s="6" t="n"/>
      <c r="SR33" s="6" t="n"/>
      <c r="SS33" s="6" t="n"/>
      <c r="ST33" s="6" t="n"/>
      <c r="SU33" s="6" t="n"/>
      <c r="SV33" s="6" t="n"/>
      <c r="SW33" s="6" t="n"/>
      <c r="SX33" s="6" t="n"/>
      <c r="SY33" s="6" t="n"/>
      <c r="SZ33" s="6" t="n"/>
      <c r="TA33" s="6" t="n"/>
      <c r="TB33" s="6" t="n"/>
      <c r="TC33" s="6" t="n"/>
      <c r="TD33" s="6" t="n"/>
      <c r="TE33" s="6" t="n"/>
      <c r="TF33" s="6" t="n"/>
      <c r="TG33" s="6" t="n"/>
      <c r="TH33" s="6" t="n"/>
      <c r="TI33" s="6" t="n"/>
      <c r="TJ33" s="6" t="n"/>
      <c r="TK33" s="6" t="n"/>
      <c r="TL33" s="6" t="n"/>
      <c r="TM33" s="6" t="n"/>
      <c r="TN33" s="6" t="n"/>
      <c r="TO33" s="6" t="n"/>
      <c r="TP33" s="6">
        <f>IF(COUNTA(SL33:TO33)=0, "", SUMPRODUCT(--ISNUMBER(SEARCH("m", SL33:TO33))))</f>
        <v/>
      </c>
      <c r="TQ33" s="6">
        <f>IF(COUNTA(SL33:TO33)=0, "", COUNTA(SL33:TO33) - SUMPRODUCT(--ISNUMBER(SEARCH("m", SL33:TO33))))</f>
        <v/>
      </c>
      <c r="TR33" s="6" t="n"/>
      <c r="TS33" s="6" t="n"/>
      <c r="TT33" s="6" t="n"/>
      <c r="TU33" s="6" t="n"/>
      <c r="TV33" s="6" t="n"/>
      <c r="TW33" s="6" t="n"/>
      <c r="TX33" s="6" t="n"/>
      <c r="TY33" s="6" t="n"/>
      <c r="TZ33" s="6" t="n"/>
      <c r="UA33" s="6" t="n"/>
      <c r="UB33" s="6" t="n"/>
      <c r="UC33" s="6" t="n"/>
      <c r="UD33" s="6" t="n"/>
      <c r="UE33" s="6" t="n"/>
      <c r="UF33" s="6" t="n"/>
      <c r="UG33" s="6" t="n"/>
      <c r="UH33" s="6" t="n"/>
      <c r="UI33" s="6" t="n"/>
      <c r="UJ33" s="6" t="n"/>
      <c r="UK33" s="6" t="n"/>
      <c r="UL33" s="20">
        <f>IFERROR(ROUND(AVERAGE(TR33,TT33,TV33,TX33,TZ33,UB33,UD33,UF33,UH33,UJ33), 2), "")</f>
        <v/>
      </c>
      <c r="UM33" s="6" t="n"/>
      <c r="UN33" s="6" t="n"/>
      <c r="UO33" s="6" t="n"/>
      <c r="UP33" s="6" t="n"/>
      <c r="UQ33" s="6" t="n"/>
      <c r="UR33" s="6" t="n"/>
      <c r="US33" s="6" t="n"/>
      <c r="UT33" s="6" t="n"/>
      <c r="UU33" s="6" t="n"/>
      <c r="UV33" s="6" t="n"/>
      <c r="UW33" s="6" t="n"/>
      <c r="UX33" s="6" t="n"/>
      <c r="UY33" s="6" t="n"/>
      <c r="UZ33" s="6" t="n"/>
      <c r="VA33" s="6" t="n"/>
      <c r="VB33" s="6" t="n"/>
      <c r="VC33" s="6" t="n"/>
      <c r="VD33" s="6" t="n"/>
      <c r="VE33" s="6" t="n"/>
      <c r="VF33" s="6" t="n"/>
      <c r="VG33" s="6" t="n"/>
      <c r="VH33" s="6" t="n"/>
      <c r="VI33" s="6" t="n"/>
      <c r="VJ33" s="6" t="n"/>
      <c r="VK33" s="6" t="n"/>
      <c r="VL33" s="6" t="n"/>
      <c r="VM33" s="6" t="n"/>
      <c r="VN33" s="6" t="n"/>
      <c r="VO33" s="6" t="n"/>
      <c r="VP33" s="6" t="n"/>
      <c r="VQ33" s="6">
        <f>IF(COUNTA(UM33:VP33)=0, "", SUMPRODUCT(--ISNUMBER(SEARCH("m", UM33:VP33))))</f>
        <v/>
      </c>
      <c r="VR33" s="6">
        <f>IF(COUNTA(UM33:VP33)=0, "", COUNTA(UM33:VP33) - SUMPRODUCT(--ISNUMBER(SEARCH("m", UM33:VP33))))</f>
        <v/>
      </c>
      <c r="VS33" s="6" t="n"/>
      <c r="VT33" s="6" t="n"/>
      <c r="VU33" s="6" t="n"/>
      <c r="VV33" s="6" t="n"/>
      <c r="VW33" s="6" t="n"/>
      <c r="VX33" s="6" t="n"/>
      <c r="VY33" s="6" t="n"/>
      <c r="VZ33" s="6" t="n"/>
      <c r="WA33" s="6" t="n"/>
      <c r="WB33" s="6" t="n"/>
      <c r="WC33" s="6" t="n"/>
      <c r="WD33" s="6" t="n"/>
      <c r="WE33" s="6" t="n"/>
      <c r="WF33" s="6" t="n"/>
      <c r="WG33" s="6" t="n"/>
      <c r="WH33" s="6" t="n"/>
      <c r="WI33" s="6" t="n"/>
      <c r="WJ33" s="6" t="n"/>
      <c r="WK33" s="6" t="n"/>
      <c r="WL33" s="6" t="n"/>
      <c r="WM33" s="20">
        <f>IFERROR(ROUND(AVERAGE(VS33,VU33,VW33,VY33,WA33,WC33,WE33,WG33,WI33,WK33), 2), "")</f>
        <v/>
      </c>
      <c r="WN33" s="6" t="n"/>
      <c r="WO33" s="6" t="n"/>
      <c r="WP33" s="6" t="n"/>
      <c r="WQ33" s="6" t="n"/>
      <c r="WR33" s="6" t="n"/>
      <c r="WS33" s="6" t="n"/>
      <c r="WT33" s="6" t="n"/>
      <c r="WU33" s="6" t="n"/>
      <c r="WV33" s="6" t="n"/>
      <c r="WW33" s="6" t="n"/>
      <c r="WX33" s="6" t="n"/>
      <c r="WY33" s="6" t="n"/>
      <c r="WZ33" s="6" t="n"/>
      <c r="XA33" s="6" t="n"/>
      <c r="XB33" s="6" t="n"/>
      <c r="XC33" s="6" t="n"/>
      <c r="XD33" s="6" t="n"/>
      <c r="XE33" s="6" t="n"/>
      <c r="XF33" s="6" t="n"/>
      <c r="XG33" s="6" t="n"/>
      <c r="XH33" s="6" t="n"/>
      <c r="XI33" s="6" t="n"/>
      <c r="XJ33" s="6" t="n"/>
      <c r="XK33" s="6" t="n"/>
      <c r="XL33" s="6" t="n"/>
      <c r="XM33" s="6" t="n"/>
      <c r="XN33" s="6" t="n"/>
      <c r="XO33" s="6" t="n"/>
      <c r="XP33" s="6" t="n"/>
      <c r="XQ33" s="6" t="n"/>
      <c r="XR33" s="6">
        <f>IF(COUNTA(WN33:XQ33)=0, "", SUMPRODUCT(--ISNUMBER(SEARCH("m", WN33:XQ33))))</f>
        <v/>
      </c>
      <c r="XS33" s="6">
        <f>IF(COUNTA(WN33:XQ33)=0, "", COUNTA(WN33:XQ33) - SUMPRODUCT(--ISNUMBER(SEARCH("m", WN33:XQ33))))</f>
        <v/>
      </c>
      <c r="XT33" s="6" t="n"/>
      <c r="XU33" s="6" t="n"/>
      <c r="XV33" s="6" t="n"/>
      <c r="XW33" s="6" t="n"/>
      <c r="XX33" s="6" t="n"/>
      <c r="XY33" s="6" t="n"/>
      <c r="XZ33" s="6" t="n"/>
      <c r="YA33" s="6" t="n"/>
      <c r="YB33" s="6" t="n"/>
      <c r="YC33" s="6" t="n"/>
      <c r="YD33" s="6" t="n"/>
      <c r="YE33" s="6" t="n"/>
      <c r="YF33" s="6" t="n"/>
      <c r="YG33" s="6" t="n"/>
      <c r="YH33" s="6" t="n"/>
      <c r="YI33" s="6" t="n"/>
      <c r="YJ33" s="6" t="n"/>
      <c r="YK33" s="6" t="n"/>
      <c r="YL33" s="6" t="n"/>
      <c r="YM33" s="6" t="n"/>
      <c r="YN33" s="20">
        <f>IFERROR(ROUND(AVERAGE(XT33,XV33,XX33,XZ33,YB33,YD33,YF33,YH33,YJ33,YL33), 2), "")</f>
        <v/>
      </c>
      <c r="YO33" s="6" t="n"/>
      <c r="YP33" s="6" t="n"/>
      <c r="YQ33" s="6" t="n"/>
      <c r="YR33" s="6" t="n"/>
      <c r="YS33" s="6" t="n"/>
      <c r="YT33" s="6" t="n"/>
      <c r="YU33" s="6" t="n"/>
      <c r="YV33" s="6" t="n"/>
      <c r="YW33" s="6" t="n"/>
      <c r="YX33" s="6" t="n"/>
      <c r="YY33" s="6" t="n"/>
      <c r="YZ33" s="6" t="n"/>
      <c r="ZA33" s="6" t="n"/>
      <c r="ZB33" s="6" t="n"/>
      <c r="ZC33" s="6" t="n"/>
      <c r="ZD33" s="6" t="n"/>
      <c r="ZE33" s="6" t="n"/>
      <c r="ZF33" s="6" t="n"/>
      <c r="ZG33" s="6" t="n"/>
      <c r="ZH33" s="6" t="n"/>
      <c r="ZI33" s="6" t="n"/>
      <c r="ZJ33" s="6" t="n"/>
      <c r="ZK33" s="6" t="n"/>
      <c r="ZL33" s="6" t="n"/>
      <c r="ZM33" s="6" t="n"/>
      <c r="ZN33" s="6" t="n"/>
      <c r="ZO33" s="6" t="n"/>
      <c r="ZP33" s="6" t="n"/>
      <c r="ZQ33" s="6" t="n"/>
      <c r="ZR33" s="6" t="n"/>
      <c r="ZS33" s="6">
        <f>IF(COUNTA(YO33:ZR33)=0, "", SUMPRODUCT(--ISNUMBER(SEARCH("m", YO33:ZR33))))</f>
        <v/>
      </c>
      <c r="ZT33" s="6">
        <f>IF(COUNTA(YO33:ZR33)=0, "", COUNTA(YO33:ZR33) - SUMPRODUCT(--ISNUMBER(SEARCH("m", YO33:ZR33))))</f>
        <v/>
      </c>
      <c r="ZU33" s="6" t="n"/>
      <c r="ZV33" s="6" t="n"/>
      <c r="ZW33" s="6" t="n"/>
      <c r="ZX33" s="6" t="n"/>
      <c r="ZY33" s="6" t="n"/>
      <c r="ZZ33" s="6" t="n"/>
      <c r="AAA33" s="6" t="n"/>
      <c r="AAB33" s="6" t="n"/>
      <c r="AAC33" s="6" t="n"/>
      <c r="AAD33" s="6" t="n"/>
      <c r="AAE33" s="6" t="n"/>
      <c r="AAF33" s="6" t="n"/>
      <c r="AAG33" s="6" t="n"/>
      <c r="AAH33" s="6" t="n"/>
      <c r="AAI33" s="6" t="n"/>
      <c r="AAJ33" s="6" t="n"/>
      <c r="AAK33" s="6" t="n"/>
      <c r="AAL33" s="6" t="n"/>
      <c r="AAM33" s="6" t="n"/>
      <c r="AAN33" s="6" t="n"/>
      <c r="AAO33" s="20">
        <f>IFERROR(ROUND(AVERAGE(ZU33,ZW33,ZY33,AAA33,AAC33,AAE33,AAG33,AAI33,AAK33,AAM33), 2), "")</f>
        <v/>
      </c>
      <c r="AAP33" s="6" t="n"/>
      <c r="AAQ33" s="6" t="n"/>
      <c r="AAR33" s="6" t="n"/>
      <c r="AAS33" s="6" t="n"/>
      <c r="AAT33" s="6" t="n"/>
      <c r="AAU33" s="6" t="n"/>
      <c r="AAV33" s="6" t="n"/>
      <c r="AAW33" s="6" t="n"/>
      <c r="AAX33" s="6" t="n"/>
      <c r="AAY33" s="6" t="n"/>
      <c r="AAZ33" s="6" t="n"/>
      <c r="ABA33" s="6" t="n"/>
      <c r="ABB33" s="6" t="n"/>
      <c r="ABC33" s="6" t="n"/>
      <c r="ABD33" s="6" t="n"/>
      <c r="ABE33" s="6" t="n"/>
      <c r="ABF33" s="6" t="n"/>
      <c r="ABG33" s="6" t="n"/>
      <c r="ABH33" s="6" t="n"/>
      <c r="ABI33" s="6" t="n"/>
      <c r="ABJ33" s="6" t="n"/>
      <c r="ABK33" s="6" t="n"/>
      <c r="ABL33" s="6" t="n"/>
      <c r="ABM33" s="6" t="n"/>
      <c r="ABN33" s="6" t="n"/>
      <c r="ABO33" s="6" t="n"/>
      <c r="ABP33" s="6" t="n"/>
      <c r="ABQ33" s="6" t="n"/>
      <c r="ABR33" s="6" t="n"/>
      <c r="ABS33" s="6" t="n"/>
      <c r="ABT33" s="6">
        <f>IF(COUNTA(AAP33:ABS33)=0, "", SUMPRODUCT(--ISNUMBER(SEARCH("m", AAP33:ABS33))))</f>
        <v/>
      </c>
      <c r="ABU33" s="6">
        <f>IF(COUNTA(AAP33:ABS33)=0, "", COUNTA(AAP33:ABS33) - SUMPRODUCT(--ISNUMBER(SEARCH("m", AAP33:ABS33))))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8">
        <f>IFERROR(ROUND(AVERAGE(AB34,CC34,ED34,GE34,IF34,KG34,MH34,OI34,QJ34,SK34,UL34,WM34,YN34,AAO34), 2), "")</f>
        <v/>
      </c>
      <c r="F34" s="14">
        <f>IF(SUM(BH34,DI34,FJ34,HK34,JL34,LM34,NN34,PO34,RP34,TQ34,VR34,XS34,ZT34,ABU34)=0, "", SUM(BH34,DI34,FJ34,HK34,JL34,LM34,NN34,PO34,RP34,TQ34,VR34,XS34,ZT34,ABU34))</f>
        <v/>
      </c>
      <c r="G34" s="8">
        <f>IF(SUM(BG34,DH34,FI34,HJ34,JK34,LL34,NM34,PN34,RO34,TP34,VQ34,XR34,ZS34,ABT34)=0, "", SUM(BG34,DH34,FI34,HJ34,JK34,LL34,NM34,PN34,RO34,TP34,VQ34,XR34,ZS34,ABT34))</f>
        <v/>
      </c>
      <c r="H34" s="6" t="n"/>
      <c r="I34" s="79" t="n"/>
      <c r="J34" s="6" t="n"/>
      <c r="K34" s="79" t="n"/>
      <c r="L34" s="6" t="n"/>
      <c r="M34" s="79" t="n"/>
      <c r="N34" s="6" t="n"/>
      <c r="O34" s="79" t="n"/>
      <c r="P34" s="6" t="n"/>
      <c r="Q34" s="79" t="n"/>
      <c r="R34" s="18" t="n"/>
      <c r="S34" s="79" t="n"/>
      <c r="T34" s="79" t="n"/>
      <c r="U34" s="79" t="n"/>
      <c r="V34" s="79" t="n"/>
      <c r="W34" s="79" t="n"/>
      <c r="X34" s="79" t="n"/>
      <c r="Y34" s="79" t="n"/>
      <c r="Z34" s="79" t="n"/>
      <c r="AA34" s="18" t="n"/>
      <c r="AB34" s="14">
        <f>IFERROR(ROUND(AVERAGE(H34,J34,L34,N34,P34,R34,T34,V34,X34,Z34), 2), "")</f>
        <v/>
      </c>
      <c r="AC34" s="6" t="n"/>
      <c r="AD34" s="79" t="n"/>
      <c r="AE34" s="6" t="n"/>
      <c r="AF34" s="79" t="n"/>
      <c r="AG34" s="6" t="n"/>
      <c r="AH34" s="79" t="n"/>
      <c r="AI34" s="6" t="n"/>
      <c r="AJ34" s="79" t="n"/>
      <c r="AK34" s="6" t="n"/>
      <c r="AL34" s="79" t="n"/>
      <c r="AM34" s="18" t="n"/>
      <c r="AN34" s="79" t="n"/>
      <c r="AO34" s="79" t="n"/>
      <c r="AP34" s="79" t="n"/>
      <c r="AQ34" s="79" t="n"/>
      <c r="AR34" s="79" t="n"/>
      <c r="AS34" s="79" t="n"/>
      <c r="AT34" s="79" t="n"/>
      <c r="AU34" s="79" t="n"/>
      <c r="AV34" s="18" t="n"/>
      <c r="AW34" s="19" t="n"/>
      <c r="AX34" s="6" t="n"/>
      <c r="AY34" s="79" t="n"/>
      <c r="AZ34" s="6" t="n"/>
      <c r="BA34" s="79" t="n"/>
      <c r="BB34" s="6" t="n"/>
      <c r="BC34" s="79" t="n"/>
      <c r="BD34" s="6" t="n"/>
      <c r="BE34" s="79" t="n"/>
      <c r="BF34" s="6" t="n"/>
      <c r="BG34" s="79">
        <f>IF(COUNTA(AC34:BF34)=0, "", SUMPRODUCT(--ISNUMBER(SEARCH("m", AC34:BF34))))</f>
        <v/>
      </c>
      <c r="BH34" s="18">
        <f>IF(COUNTA(AC34:BF34)=0, "", COUNTA(AC34:BF34) - SUMPRODUCT(--ISNUMBER(SEARCH("m", AC34:BF34))))</f>
        <v/>
      </c>
      <c r="BI34" s="79" t="n"/>
      <c r="BJ34" s="79" t="n"/>
      <c r="BK34" s="79" t="n"/>
      <c r="BL34" s="79" t="n"/>
      <c r="BM34" s="79" t="n"/>
      <c r="BN34" s="79" t="n"/>
      <c r="BO34" s="79" t="n"/>
      <c r="BP34" s="79" t="n"/>
      <c r="BQ34" s="18" t="n"/>
      <c r="BR34" s="19" t="n"/>
      <c r="BS34" s="6" t="n"/>
      <c r="BT34" s="79" t="n"/>
      <c r="BU34" s="6" t="n"/>
      <c r="BV34" s="79" t="n"/>
      <c r="BW34" s="6" t="n"/>
      <c r="BX34" s="79" t="n"/>
      <c r="BY34" s="6" t="n"/>
      <c r="BZ34" s="79" t="n"/>
      <c r="CA34" s="6" t="n"/>
      <c r="CB34" s="79" t="n"/>
      <c r="CC34" s="8">
        <f>IFERROR(ROUND(AVERAGE(BI34,BK34,BM34,BO34,BQ34,BS34,BU34,BW34,BY34,CA34), 2), "")</f>
        <v/>
      </c>
      <c r="CD34" s="79" t="n"/>
      <c r="CE34" s="79" t="n"/>
      <c r="CF34" s="79" t="n"/>
      <c r="CG34" s="79" t="n"/>
      <c r="CH34" s="79" t="n"/>
      <c r="CI34" s="79" t="n"/>
      <c r="CJ34" s="79" t="n"/>
      <c r="CK34" s="79" t="n"/>
      <c r="CL34" s="18" t="n"/>
      <c r="CM34" s="19" t="n"/>
      <c r="CN34" s="6" t="n"/>
      <c r="CO34" s="79" t="n"/>
      <c r="CP34" s="6" t="n"/>
      <c r="CQ34" s="79" t="n"/>
      <c r="CR34" s="6" t="n"/>
      <c r="CS34" s="79" t="n"/>
      <c r="CT34" s="6" t="n"/>
      <c r="CU34" s="79" t="n"/>
      <c r="CV34" s="6" t="n"/>
      <c r="CW34" s="79" t="n"/>
      <c r="CX34" s="18" t="n"/>
      <c r="CY34" s="79" t="n"/>
      <c r="CZ34" s="79" t="n"/>
      <c r="DA34" s="79" t="n"/>
      <c r="DB34" s="79" t="n"/>
      <c r="DC34" s="79" t="n"/>
      <c r="DD34" s="79" t="n"/>
      <c r="DE34" s="79" t="n"/>
      <c r="DF34" s="79" t="n"/>
      <c r="DG34" s="18" t="n"/>
      <c r="DH34" s="19">
        <f>IF(COUNTA(CD34:DG34)=0, "", SUMPRODUCT(--ISNUMBER(SEARCH("m", CD34:DG34))))</f>
        <v/>
      </c>
      <c r="DI34" s="6">
        <f>IF(COUNTA(CD34:DG34)=0, "", COUNTA(CD34:DG34) - SUMPRODUCT(--ISNUMBER(SEARCH("m", CD34:DG34))))</f>
        <v/>
      </c>
      <c r="DJ34" s="79" t="n"/>
      <c r="DK34" s="6" t="n"/>
      <c r="DL34" s="79" t="n"/>
      <c r="DM34" s="6" t="n"/>
      <c r="DN34" s="79" t="n"/>
      <c r="DO34" s="6" t="n"/>
      <c r="DP34" s="79" t="n"/>
      <c r="DQ34" s="6" t="n"/>
      <c r="DR34" s="79" t="n"/>
      <c r="DS34" s="18" t="n"/>
      <c r="DT34" s="79" t="n"/>
      <c r="DU34" s="79" t="n"/>
      <c r="DV34" s="79" t="n"/>
      <c r="DW34" s="79" t="n"/>
      <c r="DX34" s="79" t="n"/>
      <c r="DY34" s="79" t="n"/>
      <c r="DZ34" s="79" t="n"/>
      <c r="EA34" s="79" t="n"/>
      <c r="EB34" s="18" t="n"/>
      <c r="EC34" s="19" t="n"/>
      <c r="ED34" s="20">
        <f>IFERROR(ROUND(AVERAGE(DJ34,DL34,DN34,DP34,DR34,DT34,DV34,DX34,DZ34,EB34), 2), "")</f>
        <v/>
      </c>
      <c r="EE34" s="79" t="n"/>
      <c r="EF34" s="6" t="n"/>
      <c r="EG34" s="79" t="n"/>
      <c r="EH34" s="6" t="n"/>
      <c r="EI34" s="79" t="n"/>
      <c r="EJ34" s="6" t="n"/>
      <c r="EK34" s="79" t="n"/>
      <c r="EL34" s="6" t="n"/>
      <c r="EM34" s="79" t="n"/>
      <c r="EN34" s="18" t="n"/>
      <c r="EO34" s="79" t="n"/>
      <c r="EP34" s="79" t="n"/>
      <c r="EQ34" s="79" t="n"/>
      <c r="ER34" s="79" t="n"/>
      <c r="ES34" s="79" t="n"/>
      <c r="ET34" s="79" t="n"/>
      <c r="EU34" s="79" t="n"/>
      <c r="EV34" s="79" t="n"/>
      <c r="EW34" s="18" t="n"/>
      <c r="EX34" s="19" t="n"/>
      <c r="EY34" s="6" t="n"/>
      <c r="EZ34" s="79" t="n"/>
      <c r="FA34" s="6" t="n"/>
      <c r="FB34" s="79" t="n"/>
      <c r="FC34" s="6" t="n"/>
      <c r="FD34" s="79" t="n"/>
      <c r="FE34" s="6" t="n"/>
      <c r="FF34" s="79" t="n"/>
      <c r="FG34" s="6" t="n"/>
      <c r="FH34" s="79" t="n"/>
      <c r="FI34" s="18">
        <f>IF(COUNTA(EE34:FH34)=0, "", SUMPRODUCT(--ISNUMBER(SEARCH("m", EE34:FH34))))</f>
        <v/>
      </c>
      <c r="FJ34" s="79">
        <f>IF(COUNTA(EE34:FH34)=0, "", COUNTA(EE34:FH34) - SUMPRODUCT(--ISNUMBER(SEARCH("m", EE34:FH34))))</f>
        <v/>
      </c>
      <c r="FK34" s="79" t="n"/>
      <c r="FL34" s="79" t="n"/>
      <c r="FM34" s="79" t="n"/>
      <c r="FN34" s="79" t="n"/>
      <c r="FO34" s="79" t="n"/>
      <c r="FP34" s="79" t="n"/>
      <c r="FQ34" s="79" t="n"/>
      <c r="FR34" s="18" t="n"/>
      <c r="FS34" s="19" t="n"/>
      <c r="FT34" s="6" t="n"/>
      <c r="FU34" s="79" t="n"/>
      <c r="FV34" s="6" t="n"/>
      <c r="FW34" s="79" t="n"/>
      <c r="FX34" s="6" t="n"/>
      <c r="FY34" s="79" t="n"/>
      <c r="FZ34" s="6" t="n"/>
      <c r="GA34" s="79" t="n"/>
      <c r="GB34" s="6" t="n"/>
      <c r="GC34" s="79" t="n"/>
      <c r="GD34" s="18" t="n"/>
      <c r="GE34" s="80">
        <f>IFERROR(ROUND(AVERAGE(FK34,FM34,FO34,FQ34,FS34,FU34,FW34,FY34,GA34,GC34), 2), "")</f>
        <v/>
      </c>
      <c r="GF34" s="79" t="n"/>
      <c r="GG34" s="79" t="n"/>
      <c r="GH34" s="79" t="n"/>
      <c r="GI34" s="79" t="n"/>
      <c r="GJ34" s="79" t="n"/>
      <c r="GK34" s="79" t="n"/>
      <c r="GL34" s="79" t="n"/>
      <c r="GM34" s="18" t="n"/>
      <c r="GN34" s="19" t="n"/>
      <c r="GO34" s="6" t="n"/>
      <c r="GP34" s="79" t="n"/>
      <c r="GQ34" s="6" t="n"/>
      <c r="GR34" s="79" t="n"/>
      <c r="GS34" s="6" t="n"/>
      <c r="GT34" s="79" t="n"/>
      <c r="GU34" s="6" t="n"/>
      <c r="GV34" s="79" t="n"/>
      <c r="GW34" s="6" t="n"/>
      <c r="GX34" s="79" t="n"/>
      <c r="GY34" s="18" t="n"/>
      <c r="GZ34" s="79" t="n"/>
      <c r="HA34" s="79" t="n"/>
      <c r="HB34" s="79" t="n"/>
      <c r="HC34" s="79" t="n"/>
      <c r="HD34" s="79" t="n"/>
      <c r="HE34" s="79" t="n"/>
      <c r="HF34" s="79" t="n"/>
      <c r="HG34" s="79" t="n"/>
      <c r="HH34" s="18" t="n"/>
      <c r="HI34" s="19" t="n"/>
      <c r="HJ34" s="6">
        <f>IF(COUNTA(GF34:HI34)=0, "", SUMPRODUCT(--ISNUMBER(SEARCH("m", GF34:HI34))))</f>
        <v/>
      </c>
      <c r="HK34" s="79">
        <f>IF(COUNTA(GF34:HI34)=0, "", COUNTA(GF34:HI34) - SUMPRODUCT(--ISNUMBER(SEARCH("m", GF34:HI34))))</f>
        <v/>
      </c>
      <c r="HL34" s="6" t="n"/>
      <c r="HM34" s="79" t="n"/>
      <c r="HN34" s="6" t="n"/>
      <c r="HO34" s="79" t="n"/>
      <c r="HP34" s="6" t="n"/>
      <c r="HQ34" s="79" t="n"/>
      <c r="HR34" s="6" t="n"/>
      <c r="HS34" s="79" t="n"/>
      <c r="HT34" s="18" t="n"/>
      <c r="HU34" s="79" t="n"/>
      <c r="HV34" s="79" t="n"/>
      <c r="HW34" s="79" t="n"/>
      <c r="HX34" s="79" t="n"/>
      <c r="HY34" s="79" t="n"/>
      <c r="HZ34" s="79" t="n"/>
      <c r="IA34" s="79" t="n"/>
      <c r="IB34" s="79" t="n"/>
      <c r="IC34" s="18" t="n"/>
      <c r="ID34" s="19" t="n"/>
      <c r="IE34" s="6" t="n"/>
      <c r="IF34" s="80">
        <f>IFERROR(ROUND(AVERAGE(HL34,HN34,HP34,HR34,HT34,HV34,HX34,HZ34,IB34,ID34), 2), "")</f>
        <v/>
      </c>
      <c r="IG34" s="6" t="n"/>
      <c r="IH34" s="79" t="n"/>
      <c r="II34" s="6" t="n"/>
      <c r="IJ34" s="79" t="n"/>
      <c r="IK34" s="6" t="n"/>
      <c r="IL34" s="79" t="n"/>
      <c r="IM34" s="6" t="n"/>
      <c r="IN34" s="79" t="n"/>
      <c r="IO34" s="18" t="n"/>
      <c r="IP34" s="79" t="n"/>
      <c r="IQ34" s="79" t="n"/>
      <c r="IR34" s="79" t="n"/>
      <c r="IS34" s="79" t="n"/>
      <c r="IT34" s="79" t="n"/>
      <c r="IU34" s="79" t="n"/>
      <c r="IV34" s="79" t="n"/>
      <c r="IW34" s="79" t="n"/>
      <c r="IX34" s="18" t="n"/>
      <c r="IY34" s="19" t="n"/>
      <c r="IZ34" s="6" t="n"/>
      <c r="JA34" s="79" t="n"/>
      <c r="JB34" s="6" t="n"/>
      <c r="JC34" s="79" t="n"/>
      <c r="JD34" s="6" t="n"/>
      <c r="JE34" s="79" t="n"/>
      <c r="JF34" s="6" t="n"/>
      <c r="JG34" s="79" t="n"/>
      <c r="JH34" s="6" t="n"/>
      <c r="JI34" s="79" t="n"/>
      <c r="JJ34" s="18" t="n"/>
      <c r="JK34" s="79">
        <f>IF(COUNTA(IG34:JJ34)=0, "", SUMPRODUCT(--ISNUMBER(SEARCH("m", IG34:JJ34))))</f>
        <v/>
      </c>
      <c r="JL34" s="79">
        <f>IF(COUNTA(IG34:JJ34)=0, "", COUNTA(IG34:JJ34) - SUMPRODUCT(--ISNUMBER(SEARCH("m", IG34:JJ34))))</f>
        <v/>
      </c>
      <c r="JM34" s="79" t="n"/>
      <c r="JN34" s="79" t="n"/>
      <c r="JO34" s="79" t="n"/>
      <c r="JP34" s="79" t="n"/>
      <c r="JQ34" s="79" t="n"/>
      <c r="JR34" s="79" t="n"/>
      <c r="JS34" s="18" t="n"/>
      <c r="JT34" s="19" t="n"/>
      <c r="JU34" s="6" t="n"/>
      <c r="JV34" s="79" t="n"/>
      <c r="JW34" s="6" t="n"/>
      <c r="JX34" s="79" t="n"/>
      <c r="JY34" s="6" t="n"/>
      <c r="JZ34" s="79" t="n"/>
      <c r="KA34" s="6" t="n"/>
      <c r="KB34" s="79" t="n"/>
      <c r="KC34" s="6" t="n"/>
      <c r="KD34" s="79" t="n"/>
      <c r="KE34" s="18" t="n"/>
      <c r="KF34" s="79" t="n"/>
      <c r="KG34" s="80">
        <f>IFERROR(ROUND(AVERAGE(JM34,JO34,JQ34,JS34,JU34,JW34,JY34,KA34,KC34,KE34), 2), "")</f>
        <v/>
      </c>
      <c r="KH34" s="79" t="n"/>
      <c r="KI34" s="79" t="n"/>
      <c r="KJ34" s="79" t="n"/>
      <c r="KK34" s="79" t="n"/>
      <c r="KL34" s="79" t="n"/>
      <c r="KM34" s="79" t="n"/>
      <c r="KN34" s="18" t="n"/>
      <c r="KO34" s="19" t="n"/>
      <c r="KP34" s="6" t="n"/>
      <c r="KQ34" s="6" t="n"/>
      <c r="KR34" s="6" t="n"/>
      <c r="KS34" s="6" t="n"/>
      <c r="KT34" s="6" t="n"/>
      <c r="KU34" s="6" t="n"/>
      <c r="KV34" s="6" t="n"/>
      <c r="KW34" s="6" t="n"/>
      <c r="KX34" s="6" t="n"/>
      <c r="KY34" s="6" t="n"/>
      <c r="KZ34" s="6" t="n"/>
      <c r="LA34" s="6" t="n"/>
      <c r="LB34" s="6" t="n"/>
      <c r="LC34" s="6" t="n"/>
      <c r="LD34" s="6" t="n"/>
      <c r="LE34" s="6" t="n"/>
      <c r="LF34" s="6" t="n"/>
      <c r="LG34" s="6" t="n"/>
      <c r="LH34" s="6" t="n"/>
      <c r="LI34" s="6" t="n"/>
      <c r="LJ34" s="6" t="n"/>
      <c r="LK34" s="6" t="n"/>
      <c r="LL34" s="6">
        <f>IF(COUNTA(KH34:LK34)=0, "", SUMPRODUCT(--ISNUMBER(SEARCH("m", KH34:LK34))))</f>
        <v/>
      </c>
      <c r="LM34" s="6">
        <f>IF(COUNTA(KH34:LK34)=0, "", COUNTA(KH34:LK34) - SUMPRODUCT(--ISNUMBER(SEARCH("m", KH34:LK34))))</f>
        <v/>
      </c>
      <c r="LN34" s="6" t="n"/>
      <c r="LO34" s="6" t="n"/>
      <c r="LP34" s="6" t="n"/>
      <c r="LQ34" s="6" t="n"/>
      <c r="LR34" s="6" t="n"/>
      <c r="LS34" s="6" t="n"/>
      <c r="LT34" s="6" t="n"/>
      <c r="LU34" s="6" t="n"/>
      <c r="LV34" s="6" t="n"/>
      <c r="LW34" s="6" t="n"/>
      <c r="LX34" s="6" t="n"/>
      <c r="LY34" s="6" t="n"/>
      <c r="LZ34" s="6" t="n"/>
      <c r="MA34" s="6" t="n"/>
      <c r="MB34" s="6" t="n"/>
      <c r="MC34" s="6" t="n"/>
      <c r="MD34" s="6" t="n"/>
      <c r="ME34" s="6" t="n"/>
      <c r="MF34" s="6" t="n"/>
      <c r="MG34" s="6" t="n"/>
      <c r="MH34" s="20">
        <f>IFERROR(ROUND(AVERAGE(LN34,LP34,LR34,LT34,LV34,LX34,LZ34,MB34,MD34,MF34), 2), "")</f>
        <v/>
      </c>
      <c r="MI34" s="6" t="n"/>
      <c r="MJ34" s="6" t="n"/>
      <c r="MK34" s="6" t="n"/>
      <c r="ML34" s="6" t="n"/>
      <c r="MM34" s="6" t="n"/>
      <c r="MN34" s="6" t="n"/>
      <c r="MO34" s="6" t="n"/>
      <c r="MP34" s="6" t="n"/>
      <c r="MQ34" s="6" t="n"/>
      <c r="MR34" s="6" t="n"/>
      <c r="MS34" s="6" t="n"/>
      <c r="MT34" s="6" t="n"/>
      <c r="MU34" s="6" t="n"/>
      <c r="MV34" s="6" t="n"/>
      <c r="MW34" s="6" t="n"/>
      <c r="MX34" s="6" t="n"/>
      <c r="MY34" s="6" t="n"/>
      <c r="MZ34" s="6" t="n"/>
      <c r="NA34" s="6" t="n"/>
      <c r="NB34" s="6" t="n"/>
      <c r="NC34" s="6" t="n"/>
      <c r="ND34" s="6" t="n"/>
      <c r="NE34" s="6" t="n"/>
      <c r="NF34" s="6" t="n"/>
      <c r="NG34" s="6" t="n"/>
      <c r="NH34" s="6" t="n"/>
      <c r="NI34" s="6" t="n"/>
      <c r="NJ34" s="6" t="n"/>
      <c r="NK34" s="6" t="n"/>
      <c r="NL34" s="6" t="n"/>
      <c r="NM34" s="6">
        <f>IF(COUNTA(MI34:NL34)=0, "", SUMPRODUCT(--ISNUMBER(SEARCH("m", MI34:NL34))))</f>
        <v/>
      </c>
      <c r="NN34" s="6">
        <f>IF(COUNTA(MI34:NL34)=0, "", COUNTA(MI34:NL34) - SUMPRODUCT(--ISNUMBER(SEARCH("m", MI34:NL34))))</f>
        <v/>
      </c>
      <c r="NO34" s="6" t="n"/>
      <c r="NP34" s="6" t="n"/>
      <c r="NQ34" s="6" t="n"/>
      <c r="NR34" s="6" t="n"/>
      <c r="NS34" s="6" t="n"/>
      <c r="NT34" s="6" t="n"/>
      <c r="NU34" s="6" t="n"/>
      <c r="NV34" s="6" t="n"/>
      <c r="NW34" s="6" t="n"/>
      <c r="NX34" s="6" t="n"/>
      <c r="NY34" s="6" t="n"/>
      <c r="NZ34" s="6" t="n"/>
      <c r="OA34" s="6" t="n"/>
      <c r="OB34" s="6" t="n"/>
      <c r="OC34" s="6" t="n"/>
      <c r="OD34" s="6" t="n"/>
      <c r="OE34" s="6" t="n"/>
      <c r="OF34" s="6" t="n"/>
      <c r="OG34" s="6" t="n"/>
      <c r="OH34" s="6" t="n"/>
      <c r="OI34" s="20">
        <f>IFERROR(ROUND(AVERAGE(NO34,NQ34,NS34,NU34,NW34,NY34,OA34,OC34,OE34,OG34), 2), "")</f>
        <v/>
      </c>
      <c r="OJ34" s="6" t="n"/>
      <c r="OK34" s="6" t="n"/>
      <c r="OL34" s="6" t="n"/>
      <c r="OM34" s="6" t="n"/>
      <c r="ON34" s="6" t="n"/>
      <c r="OO34" s="6" t="n"/>
      <c r="OP34" s="6" t="n"/>
      <c r="OQ34" s="6" t="n"/>
      <c r="OR34" s="6" t="n"/>
      <c r="OS34" s="6" t="n"/>
      <c r="OT34" s="6" t="n"/>
      <c r="OU34" s="6" t="n"/>
      <c r="OV34" s="6" t="n"/>
      <c r="OW34" s="6" t="n"/>
      <c r="OX34" s="6" t="n"/>
      <c r="OY34" s="6" t="n"/>
      <c r="OZ34" s="6" t="n"/>
      <c r="PA34" s="6" t="n"/>
      <c r="PB34" s="6" t="n"/>
      <c r="PC34" s="6" t="n"/>
      <c r="PD34" s="6" t="n"/>
      <c r="PE34" s="6" t="n"/>
      <c r="PF34" s="6" t="n"/>
      <c r="PG34" s="6" t="n"/>
      <c r="PH34" s="6" t="n"/>
      <c r="PI34" s="6" t="n"/>
      <c r="PJ34" s="6" t="n"/>
      <c r="PK34" s="6" t="n"/>
      <c r="PL34" s="6" t="n"/>
      <c r="PM34" s="6" t="n"/>
      <c r="PN34" s="6">
        <f>IF(COUNTA(OJ34:PM34)=0, "", SUMPRODUCT(--ISNUMBER(SEARCH("m", OJ34:PM34))))</f>
        <v/>
      </c>
      <c r="PO34" s="6">
        <f>IF(COUNTA(OJ34:PM34)=0, "", COUNTA(OJ34:PM34) - SUMPRODUCT(--ISNUMBER(SEARCH("m", OJ34:PM34))))</f>
        <v/>
      </c>
      <c r="PP34" s="6" t="n"/>
      <c r="PQ34" s="6" t="n"/>
      <c r="PR34" s="6" t="n"/>
      <c r="PS34" s="6" t="n"/>
      <c r="PT34" s="6" t="n"/>
      <c r="PU34" s="6" t="n"/>
      <c r="PV34" s="6" t="n"/>
      <c r="PW34" s="6" t="n"/>
      <c r="PX34" s="6" t="n"/>
      <c r="PY34" s="6" t="n"/>
      <c r="PZ34" s="6" t="n"/>
      <c r="QA34" s="6" t="n"/>
      <c r="QB34" s="6" t="n"/>
      <c r="QC34" s="6" t="n"/>
      <c r="QD34" s="6" t="n"/>
      <c r="QE34" s="6" t="n"/>
      <c r="QF34" s="6" t="n"/>
      <c r="QG34" s="6" t="n"/>
      <c r="QH34" s="6" t="n"/>
      <c r="QI34" s="6" t="n"/>
      <c r="QJ34" s="20">
        <f>IFERROR(ROUND(AVERAGE(PP34,PR34,PT34,PV34,PX34,PZ34,QB34,QD34,QF34,QH34), 2), "")</f>
        <v/>
      </c>
      <c r="QK34" s="6" t="n"/>
      <c r="QL34" s="6" t="n"/>
      <c r="QM34" s="6" t="n"/>
      <c r="QN34" s="6" t="n"/>
      <c r="QO34" s="6" t="n"/>
      <c r="QP34" s="6" t="n"/>
      <c r="QQ34" s="6" t="n"/>
      <c r="QR34" s="6" t="n"/>
      <c r="QS34" s="6" t="n"/>
      <c r="QT34" s="6" t="n"/>
      <c r="QU34" s="6" t="n"/>
      <c r="QV34" s="6" t="n"/>
      <c r="QW34" s="6" t="n"/>
      <c r="QX34" s="6" t="n"/>
      <c r="QY34" s="6" t="n"/>
      <c r="QZ34" s="6" t="n"/>
      <c r="RA34" s="6" t="n"/>
      <c r="RB34" s="6" t="n"/>
      <c r="RC34" s="6" t="n"/>
      <c r="RD34" s="6" t="n"/>
      <c r="RE34" s="6" t="n"/>
      <c r="RF34" s="6" t="n"/>
      <c r="RG34" s="6" t="n"/>
      <c r="RH34" s="6" t="n"/>
      <c r="RI34" s="6" t="n"/>
      <c r="RJ34" s="6" t="n"/>
      <c r="RK34" s="6" t="n"/>
      <c r="RL34" s="6" t="n"/>
      <c r="RM34" s="6" t="n"/>
      <c r="RN34" s="6" t="n"/>
      <c r="RO34" s="6">
        <f>IF(COUNTA(QK34:RN34)=0, "", SUMPRODUCT(--ISNUMBER(SEARCH("m", QK34:RN34))))</f>
        <v/>
      </c>
      <c r="RP34" s="6">
        <f>IF(COUNTA(QK34:RN34)=0, "", COUNTA(QK34:RN34) - SUMPRODUCT(--ISNUMBER(SEARCH("m", QK34:RN34))))</f>
        <v/>
      </c>
      <c r="RQ34" s="6" t="n"/>
      <c r="RR34" s="6" t="n"/>
      <c r="RS34" s="6" t="n"/>
      <c r="RT34" s="6" t="n"/>
      <c r="RU34" s="6" t="n"/>
      <c r="RV34" s="6" t="n"/>
      <c r="RW34" s="6" t="n"/>
      <c r="RX34" s="6" t="n"/>
      <c r="RY34" s="6" t="n"/>
      <c r="RZ34" s="6" t="n"/>
      <c r="SA34" s="6" t="n"/>
      <c r="SB34" s="6" t="n"/>
      <c r="SC34" s="6" t="n"/>
      <c r="SD34" s="6" t="n"/>
      <c r="SE34" s="6" t="n"/>
      <c r="SF34" s="6" t="n"/>
      <c r="SG34" s="6" t="n"/>
      <c r="SH34" s="6" t="n"/>
      <c r="SI34" s="6" t="n"/>
      <c r="SJ34" s="6" t="n"/>
      <c r="SK34" s="20">
        <f>IFERROR(ROUND(AVERAGE(RQ34,RS34,RU34,RW34,RY34,SA34,SC34,SE34,SG34,SI34), 2), "")</f>
        <v/>
      </c>
      <c r="SL34" s="6" t="n"/>
      <c r="SM34" s="6" t="n"/>
      <c r="SN34" s="6" t="n"/>
      <c r="SO34" s="6" t="n"/>
      <c r="SP34" s="6" t="n"/>
      <c r="SQ34" s="6" t="n"/>
      <c r="SR34" s="6" t="n"/>
      <c r="SS34" s="6" t="n"/>
      <c r="ST34" s="6" t="n"/>
      <c r="SU34" s="6" t="n"/>
      <c r="SV34" s="6" t="n"/>
      <c r="SW34" s="6" t="n"/>
      <c r="SX34" s="6" t="n"/>
      <c r="SY34" s="6" t="n"/>
      <c r="SZ34" s="6" t="n"/>
      <c r="TA34" s="6" t="n"/>
      <c r="TB34" s="6" t="n"/>
      <c r="TC34" s="6" t="n"/>
      <c r="TD34" s="6" t="n"/>
      <c r="TE34" s="6" t="n"/>
      <c r="TF34" s="6" t="n"/>
      <c r="TG34" s="6" t="n"/>
      <c r="TH34" s="6" t="n"/>
      <c r="TI34" s="6" t="n"/>
      <c r="TJ34" s="6" t="n"/>
      <c r="TK34" s="6" t="n"/>
      <c r="TL34" s="6" t="n"/>
      <c r="TM34" s="6" t="n"/>
      <c r="TN34" s="6" t="n"/>
      <c r="TO34" s="6" t="n"/>
      <c r="TP34" s="6">
        <f>IF(COUNTA(SL34:TO34)=0, "", SUMPRODUCT(--ISNUMBER(SEARCH("m", SL34:TO34))))</f>
        <v/>
      </c>
      <c r="TQ34" s="6">
        <f>IF(COUNTA(SL34:TO34)=0, "", COUNTA(SL34:TO34) - SUMPRODUCT(--ISNUMBER(SEARCH("m", SL34:TO34))))</f>
        <v/>
      </c>
      <c r="TR34" s="6" t="n"/>
      <c r="TS34" s="6" t="n"/>
      <c r="TT34" s="6" t="n"/>
      <c r="TU34" s="6" t="n"/>
      <c r="TV34" s="6" t="n"/>
      <c r="TW34" s="6" t="n"/>
      <c r="TX34" s="6" t="n"/>
      <c r="TY34" s="6" t="n"/>
      <c r="TZ34" s="6" t="n"/>
      <c r="UA34" s="6" t="n"/>
      <c r="UB34" s="6" t="n"/>
      <c r="UC34" s="6" t="n"/>
      <c r="UD34" s="6" t="n"/>
      <c r="UE34" s="6" t="n"/>
      <c r="UF34" s="6" t="n"/>
      <c r="UG34" s="6" t="n"/>
      <c r="UH34" s="6" t="n"/>
      <c r="UI34" s="6" t="n"/>
      <c r="UJ34" s="6" t="n"/>
      <c r="UK34" s="6" t="n"/>
      <c r="UL34" s="20">
        <f>IFERROR(ROUND(AVERAGE(TR34,TT34,TV34,TX34,TZ34,UB34,UD34,UF34,UH34,UJ34), 2), "")</f>
        <v/>
      </c>
      <c r="UM34" s="6" t="n"/>
      <c r="UN34" s="6" t="n"/>
      <c r="UO34" s="6" t="n"/>
      <c r="UP34" s="6" t="n"/>
      <c r="UQ34" s="6" t="n"/>
      <c r="UR34" s="6" t="n"/>
      <c r="US34" s="6" t="n"/>
      <c r="UT34" s="6" t="n"/>
      <c r="UU34" s="6" t="n"/>
      <c r="UV34" s="6" t="n"/>
      <c r="UW34" s="6" t="n"/>
      <c r="UX34" s="6" t="n"/>
      <c r="UY34" s="6" t="n"/>
      <c r="UZ34" s="6" t="n"/>
      <c r="VA34" s="6" t="n"/>
      <c r="VB34" s="6" t="n"/>
      <c r="VC34" s="6" t="n"/>
      <c r="VD34" s="6" t="n"/>
      <c r="VE34" s="6" t="n"/>
      <c r="VF34" s="6" t="n"/>
      <c r="VG34" s="6" t="n"/>
      <c r="VH34" s="6" t="n"/>
      <c r="VI34" s="6" t="n"/>
      <c r="VJ34" s="6" t="n"/>
      <c r="VK34" s="6" t="n"/>
      <c r="VL34" s="6" t="n"/>
      <c r="VM34" s="6" t="n"/>
      <c r="VN34" s="6" t="n"/>
      <c r="VO34" s="6" t="n"/>
      <c r="VP34" s="6" t="n"/>
      <c r="VQ34" s="6">
        <f>IF(COUNTA(UM34:VP34)=0, "", SUMPRODUCT(--ISNUMBER(SEARCH("m", UM34:VP34))))</f>
        <v/>
      </c>
      <c r="VR34" s="6">
        <f>IF(COUNTA(UM34:VP34)=0, "", COUNTA(UM34:VP34) - SUMPRODUCT(--ISNUMBER(SEARCH("m", UM34:VP34))))</f>
        <v/>
      </c>
      <c r="VS34" s="6" t="n"/>
      <c r="VT34" s="6" t="n"/>
      <c r="VU34" s="6" t="n"/>
      <c r="VV34" s="6" t="n"/>
      <c r="VW34" s="6" t="n"/>
      <c r="VX34" s="6" t="n"/>
      <c r="VY34" s="6" t="n"/>
      <c r="VZ34" s="6" t="n"/>
      <c r="WA34" s="6" t="n"/>
      <c r="WB34" s="6" t="n"/>
      <c r="WC34" s="6" t="n"/>
      <c r="WD34" s="6" t="n"/>
      <c r="WE34" s="6" t="n"/>
      <c r="WF34" s="6" t="n"/>
      <c r="WG34" s="6" t="n"/>
      <c r="WH34" s="6" t="n"/>
      <c r="WI34" s="6" t="n"/>
      <c r="WJ34" s="6" t="n"/>
      <c r="WK34" s="6" t="n"/>
      <c r="WL34" s="6" t="n"/>
      <c r="WM34" s="20">
        <f>IFERROR(ROUND(AVERAGE(VS34,VU34,VW34,VY34,WA34,WC34,WE34,WG34,WI34,WK34), 2), "")</f>
        <v/>
      </c>
      <c r="WN34" s="6" t="n"/>
      <c r="WO34" s="6" t="n"/>
      <c r="WP34" s="6" t="n"/>
      <c r="WQ34" s="6" t="n"/>
      <c r="WR34" s="6" t="n"/>
      <c r="WS34" s="6" t="n"/>
      <c r="WT34" s="6" t="n"/>
      <c r="WU34" s="6" t="n"/>
      <c r="WV34" s="6" t="n"/>
      <c r="WW34" s="6" t="n"/>
      <c r="WX34" s="6" t="n"/>
      <c r="WY34" s="6" t="n"/>
      <c r="WZ34" s="6" t="n"/>
      <c r="XA34" s="6" t="n"/>
      <c r="XB34" s="6" t="n"/>
      <c r="XC34" s="6" t="n"/>
      <c r="XD34" s="6" t="n"/>
      <c r="XE34" s="6" t="n"/>
      <c r="XF34" s="6" t="n"/>
      <c r="XG34" s="6" t="n"/>
      <c r="XH34" s="6" t="n"/>
      <c r="XI34" s="6" t="n"/>
      <c r="XJ34" s="6" t="n"/>
      <c r="XK34" s="6" t="n"/>
      <c r="XL34" s="6" t="n"/>
      <c r="XM34" s="6" t="n"/>
      <c r="XN34" s="6" t="n"/>
      <c r="XO34" s="6" t="n"/>
      <c r="XP34" s="6" t="n"/>
      <c r="XQ34" s="6" t="n"/>
      <c r="XR34" s="6">
        <f>IF(COUNTA(WN34:XQ34)=0, "", SUMPRODUCT(--ISNUMBER(SEARCH("m", WN34:XQ34))))</f>
        <v/>
      </c>
      <c r="XS34" s="6">
        <f>IF(COUNTA(WN34:XQ34)=0, "", COUNTA(WN34:XQ34) - SUMPRODUCT(--ISNUMBER(SEARCH("m", WN34:XQ34))))</f>
        <v/>
      </c>
      <c r="XT34" s="6" t="n"/>
      <c r="XU34" s="6" t="n"/>
      <c r="XV34" s="6" t="n"/>
      <c r="XW34" s="6" t="n"/>
      <c r="XX34" s="6" t="n"/>
      <c r="XY34" s="6" t="n"/>
      <c r="XZ34" s="6" t="n"/>
      <c r="YA34" s="6" t="n"/>
      <c r="YB34" s="6" t="n"/>
      <c r="YC34" s="6" t="n"/>
      <c r="YD34" s="6" t="n"/>
      <c r="YE34" s="6" t="n"/>
      <c r="YF34" s="6" t="n"/>
      <c r="YG34" s="6" t="n"/>
      <c r="YH34" s="6" t="n"/>
      <c r="YI34" s="6" t="n"/>
      <c r="YJ34" s="6" t="n"/>
      <c r="YK34" s="6" t="n"/>
      <c r="YL34" s="6" t="n"/>
      <c r="YM34" s="6" t="n"/>
      <c r="YN34" s="20">
        <f>IFERROR(ROUND(AVERAGE(XT34,XV34,XX34,XZ34,YB34,YD34,YF34,YH34,YJ34,YL34), 2), "")</f>
        <v/>
      </c>
      <c r="YO34" s="6" t="n"/>
      <c r="YP34" s="6" t="n"/>
      <c r="YQ34" s="6" t="n"/>
      <c r="YR34" s="6" t="n"/>
      <c r="YS34" s="6" t="n"/>
      <c r="YT34" s="6" t="n"/>
      <c r="YU34" s="6" t="n"/>
      <c r="YV34" s="6" t="n"/>
      <c r="YW34" s="6" t="n"/>
      <c r="YX34" s="6" t="n"/>
      <c r="YY34" s="6" t="n"/>
      <c r="YZ34" s="6" t="n"/>
      <c r="ZA34" s="6" t="n"/>
      <c r="ZB34" s="6" t="n"/>
      <c r="ZC34" s="6" t="n"/>
      <c r="ZD34" s="6" t="n"/>
      <c r="ZE34" s="6" t="n"/>
      <c r="ZF34" s="6" t="n"/>
      <c r="ZG34" s="6" t="n"/>
      <c r="ZH34" s="6" t="n"/>
      <c r="ZI34" s="6" t="n"/>
      <c r="ZJ34" s="6" t="n"/>
      <c r="ZK34" s="6" t="n"/>
      <c r="ZL34" s="6" t="n"/>
      <c r="ZM34" s="6" t="n"/>
      <c r="ZN34" s="6" t="n"/>
      <c r="ZO34" s="6" t="n"/>
      <c r="ZP34" s="6" t="n"/>
      <c r="ZQ34" s="6" t="n"/>
      <c r="ZR34" s="6" t="n"/>
      <c r="ZS34" s="6">
        <f>IF(COUNTA(YO34:ZR34)=0, "", SUMPRODUCT(--ISNUMBER(SEARCH("m", YO34:ZR34))))</f>
        <v/>
      </c>
      <c r="ZT34" s="6">
        <f>IF(COUNTA(YO34:ZR34)=0, "", COUNTA(YO34:ZR34) - SUMPRODUCT(--ISNUMBER(SEARCH("m", YO34:ZR34))))</f>
        <v/>
      </c>
      <c r="ZU34" s="6" t="n"/>
      <c r="ZV34" s="6" t="n"/>
      <c r="ZW34" s="6" t="n"/>
      <c r="ZX34" s="6" t="n"/>
      <c r="ZY34" s="6" t="n"/>
      <c r="ZZ34" s="6" t="n"/>
      <c r="AAA34" s="6" t="n"/>
      <c r="AAB34" s="6" t="n"/>
      <c r="AAC34" s="6" t="n"/>
      <c r="AAD34" s="6" t="n"/>
      <c r="AAE34" s="6" t="n"/>
      <c r="AAF34" s="6" t="n"/>
      <c r="AAG34" s="6" t="n"/>
      <c r="AAH34" s="6" t="n"/>
      <c r="AAI34" s="6" t="n"/>
      <c r="AAJ34" s="6" t="n"/>
      <c r="AAK34" s="6" t="n"/>
      <c r="AAL34" s="6" t="n"/>
      <c r="AAM34" s="6" t="n"/>
      <c r="AAN34" s="6" t="n"/>
      <c r="AAO34" s="20">
        <f>IFERROR(ROUND(AVERAGE(ZU34,ZW34,ZY34,AAA34,AAC34,AAE34,AAG34,AAI34,AAK34,AAM34), 2), "")</f>
        <v/>
      </c>
      <c r="AAP34" s="6" t="n"/>
      <c r="AAQ34" s="6" t="n"/>
      <c r="AAR34" s="6" t="n"/>
      <c r="AAS34" s="6" t="n"/>
      <c r="AAT34" s="6" t="n"/>
      <c r="AAU34" s="6" t="n"/>
      <c r="AAV34" s="6" t="n"/>
      <c r="AAW34" s="6" t="n"/>
      <c r="AAX34" s="6" t="n"/>
      <c r="AAY34" s="6" t="n"/>
      <c r="AAZ34" s="6" t="n"/>
      <c r="ABA34" s="6" t="n"/>
      <c r="ABB34" s="6" t="n"/>
      <c r="ABC34" s="6" t="n"/>
      <c r="ABD34" s="6" t="n"/>
      <c r="ABE34" s="6" t="n"/>
      <c r="ABF34" s="6" t="n"/>
      <c r="ABG34" s="6" t="n"/>
      <c r="ABH34" s="6" t="n"/>
      <c r="ABI34" s="6" t="n"/>
      <c r="ABJ34" s="6" t="n"/>
      <c r="ABK34" s="6" t="n"/>
      <c r="ABL34" s="6" t="n"/>
      <c r="ABM34" s="6" t="n"/>
      <c r="ABN34" s="6" t="n"/>
      <c r="ABO34" s="6" t="n"/>
      <c r="ABP34" s="6" t="n"/>
      <c r="ABQ34" s="6" t="n"/>
      <c r="ABR34" s="6" t="n"/>
      <c r="ABS34" s="6" t="n"/>
      <c r="ABT34" s="6">
        <f>IF(COUNTA(AAP34:ABS34)=0, "", SUMPRODUCT(--ISNUMBER(SEARCH("m", AAP34:ABS34))))</f>
        <v/>
      </c>
      <c r="ABU34" s="6">
        <f>IF(COUNTA(AAP34:ABS34)=0, "", COUNTA(AAP34:ABS34) - SUMPRODUCT(--ISNUMBER(SEARCH("m", AAP34:ABS34))))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8">
        <f>IFERROR(ROUND(AVERAGE(AB35,CC35,ED35,GE35,IF35,KG35,MH35,OI35,QJ35,SK35,UL35,WM35,YN35,AAO35), 2), "")</f>
        <v/>
      </c>
      <c r="F35" s="14">
        <f>IF(SUM(BH35,DI35,FJ35,HK35,JL35,LM35,NN35,PO35,RP35,TQ35,VR35,XS35,ZT35,ABU35)=0, "", SUM(BH35,DI35,FJ35,HK35,JL35,LM35,NN35,PO35,RP35,TQ35,VR35,XS35,ZT35,ABU35))</f>
        <v/>
      </c>
      <c r="G35" s="8">
        <f>IF(SUM(BG35,DH35,FI35,HJ35,JK35,LL35,NM35,PN35,RO35,TP35,VQ35,XR35,ZS35,ABT35)=0, "", SUM(BG35,DH35,FI35,HJ35,JK35,LL35,NM35,PN35,RO35,TP35,VQ35,XR35,ZS35,ABT35))</f>
        <v/>
      </c>
      <c r="H35" s="6" t="n"/>
      <c r="I35" s="79" t="n"/>
      <c r="J35" s="6" t="n"/>
      <c r="K35" s="79" t="n"/>
      <c r="L35" s="6" t="n"/>
      <c r="M35" s="79" t="n"/>
      <c r="N35" s="6" t="n"/>
      <c r="O35" s="79" t="n"/>
      <c r="P35" s="6" t="n"/>
      <c r="Q35" s="79" t="n"/>
      <c r="R35" s="18" t="n"/>
      <c r="S35" s="79" t="n"/>
      <c r="T35" s="79" t="n"/>
      <c r="U35" s="79" t="n"/>
      <c r="V35" s="79" t="n"/>
      <c r="W35" s="79" t="n"/>
      <c r="X35" s="79" t="n"/>
      <c r="Y35" s="79" t="n"/>
      <c r="Z35" s="79" t="n"/>
      <c r="AA35" s="18" t="n"/>
      <c r="AB35" s="14">
        <f>IFERROR(ROUND(AVERAGE(H35,J35,L35,N35,P35,R35,T35,V35,X35,Z35), 2), "")</f>
        <v/>
      </c>
      <c r="AC35" s="6" t="n"/>
      <c r="AD35" s="79" t="n"/>
      <c r="AE35" s="6" t="n"/>
      <c r="AF35" s="79" t="n"/>
      <c r="AG35" s="6" t="n"/>
      <c r="AH35" s="79" t="n"/>
      <c r="AI35" s="6" t="n"/>
      <c r="AJ35" s="79" t="n"/>
      <c r="AK35" s="6" t="n"/>
      <c r="AL35" s="79" t="n"/>
      <c r="AM35" s="18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18" t="n"/>
      <c r="AW35" s="19" t="n"/>
      <c r="AX35" s="6" t="n"/>
      <c r="AY35" s="79" t="n"/>
      <c r="AZ35" s="6" t="n"/>
      <c r="BA35" s="79" t="n"/>
      <c r="BB35" s="6" t="n"/>
      <c r="BC35" s="79" t="n"/>
      <c r="BD35" s="6" t="n"/>
      <c r="BE35" s="79" t="n"/>
      <c r="BF35" s="6" t="n"/>
      <c r="BG35" s="79">
        <f>IF(COUNTA(AC35:BF35)=0, "", SUMPRODUCT(--ISNUMBER(SEARCH("m", AC35:BF35))))</f>
        <v/>
      </c>
      <c r="BH35" s="18">
        <f>IF(COUNTA(AC35:BF35)=0, "", COUNTA(AC35:BF35) - SUMPRODUCT(--ISNUMBER(SEARCH("m", AC35:BF35))))</f>
        <v/>
      </c>
      <c r="BI35" s="79" t="n"/>
      <c r="BJ35" s="79" t="n"/>
      <c r="BK35" s="79" t="n"/>
      <c r="BL35" s="79" t="n"/>
      <c r="BM35" s="79" t="n"/>
      <c r="BN35" s="79" t="n"/>
      <c r="BO35" s="79" t="n"/>
      <c r="BP35" s="79" t="n"/>
      <c r="BQ35" s="18" t="n"/>
      <c r="BR35" s="19" t="n"/>
      <c r="BS35" s="6" t="n"/>
      <c r="BT35" s="79" t="n"/>
      <c r="BU35" s="6" t="n"/>
      <c r="BV35" s="79" t="n"/>
      <c r="BW35" s="6" t="n"/>
      <c r="BX35" s="79" t="n"/>
      <c r="BY35" s="6" t="n"/>
      <c r="BZ35" s="79" t="n"/>
      <c r="CA35" s="6" t="n"/>
      <c r="CB35" s="79" t="n"/>
      <c r="CC35" s="8">
        <f>IFERROR(ROUND(AVERAGE(BI35,BK35,BM35,BO35,BQ35,BS35,BU35,BW35,BY35,CA35), 2), "")</f>
        <v/>
      </c>
      <c r="CD35" s="79" t="n"/>
      <c r="CE35" s="79" t="n"/>
      <c r="CF35" s="79" t="n"/>
      <c r="CG35" s="79" t="n"/>
      <c r="CH35" s="79" t="n"/>
      <c r="CI35" s="79" t="n"/>
      <c r="CJ35" s="79" t="n"/>
      <c r="CK35" s="79" t="n"/>
      <c r="CL35" s="18" t="n"/>
      <c r="CM35" s="19" t="n"/>
      <c r="CN35" s="6" t="n"/>
      <c r="CO35" s="79" t="n"/>
      <c r="CP35" s="6" t="n"/>
      <c r="CQ35" s="79" t="n"/>
      <c r="CR35" s="6" t="n"/>
      <c r="CS35" s="79" t="n"/>
      <c r="CT35" s="6" t="n"/>
      <c r="CU35" s="79" t="n"/>
      <c r="CV35" s="6" t="n"/>
      <c r="CW35" s="79" t="n"/>
      <c r="CX35" s="18" t="n"/>
      <c r="CY35" s="79" t="n"/>
      <c r="CZ35" s="79" t="n"/>
      <c r="DA35" s="79" t="n"/>
      <c r="DB35" s="79" t="n"/>
      <c r="DC35" s="79" t="n"/>
      <c r="DD35" s="79" t="n"/>
      <c r="DE35" s="79" t="n"/>
      <c r="DF35" s="79" t="n"/>
      <c r="DG35" s="18" t="n"/>
      <c r="DH35" s="19">
        <f>IF(COUNTA(CD35:DG35)=0, "", SUMPRODUCT(--ISNUMBER(SEARCH("m", CD35:DG35))))</f>
        <v/>
      </c>
      <c r="DI35" s="6">
        <f>IF(COUNTA(CD35:DG35)=0, "", COUNTA(CD35:DG35) - SUMPRODUCT(--ISNUMBER(SEARCH("m", CD35:DG35))))</f>
        <v/>
      </c>
      <c r="DJ35" s="79" t="n"/>
      <c r="DK35" s="6" t="n"/>
      <c r="DL35" s="79" t="n"/>
      <c r="DM35" s="6" t="n"/>
      <c r="DN35" s="79" t="n"/>
      <c r="DO35" s="6" t="n"/>
      <c r="DP35" s="79" t="n"/>
      <c r="DQ35" s="6" t="n"/>
      <c r="DR35" s="79" t="n"/>
      <c r="DS35" s="18" t="n"/>
      <c r="DT35" s="79" t="n"/>
      <c r="DU35" s="79" t="n"/>
      <c r="DV35" s="79" t="n"/>
      <c r="DW35" s="79" t="n"/>
      <c r="DX35" s="79" t="n"/>
      <c r="DY35" s="79" t="n"/>
      <c r="DZ35" s="79" t="n"/>
      <c r="EA35" s="79" t="n"/>
      <c r="EB35" s="18" t="n"/>
      <c r="EC35" s="19" t="n"/>
      <c r="ED35" s="20">
        <f>IFERROR(ROUND(AVERAGE(DJ35,DL35,DN35,DP35,DR35,DT35,DV35,DX35,DZ35,EB35), 2), "")</f>
        <v/>
      </c>
      <c r="EE35" s="79" t="n"/>
      <c r="EF35" s="6" t="n"/>
      <c r="EG35" s="79" t="n"/>
      <c r="EH35" s="6" t="n"/>
      <c r="EI35" s="79" t="n"/>
      <c r="EJ35" s="6" t="n"/>
      <c r="EK35" s="79" t="n"/>
      <c r="EL35" s="6" t="n"/>
      <c r="EM35" s="79" t="n"/>
      <c r="EN35" s="18" t="n"/>
      <c r="EO35" s="79" t="n"/>
      <c r="EP35" s="79" t="n"/>
      <c r="EQ35" s="79" t="n"/>
      <c r="ER35" s="79" t="n"/>
      <c r="ES35" s="79" t="n"/>
      <c r="ET35" s="79" t="n"/>
      <c r="EU35" s="79" t="n"/>
      <c r="EV35" s="79" t="n"/>
      <c r="EW35" s="18" t="n"/>
      <c r="EX35" s="19" t="n"/>
      <c r="EY35" s="6" t="n"/>
      <c r="EZ35" s="79" t="n"/>
      <c r="FA35" s="6" t="n"/>
      <c r="FB35" s="79" t="n"/>
      <c r="FC35" s="6" t="n"/>
      <c r="FD35" s="79" t="n"/>
      <c r="FE35" s="6" t="n"/>
      <c r="FF35" s="79" t="n"/>
      <c r="FG35" s="6" t="n"/>
      <c r="FH35" s="79" t="n"/>
      <c r="FI35" s="18">
        <f>IF(COUNTA(EE35:FH35)=0, "", SUMPRODUCT(--ISNUMBER(SEARCH("m", EE35:FH35))))</f>
        <v/>
      </c>
      <c r="FJ35" s="79">
        <f>IF(COUNTA(EE35:FH35)=0, "", COUNTA(EE35:FH35) - SUMPRODUCT(--ISNUMBER(SEARCH("m", EE35:FH35))))</f>
        <v/>
      </c>
      <c r="FK35" s="79" t="n"/>
      <c r="FL35" s="79" t="n"/>
      <c r="FM35" s="79" t="n"/>
      <c r="FN35" s="79" t="n"/>
      <c r="FO35" s="79" t="n"/>
      <c r="FP35" s="79" t="n"/>
      <c r="FQ35" s="79" t="n"/>
      <c r="FR35" s="18" t="n"/>
      <c r="FS35" s="19" t="n"/>
      <c r="FT35" s="6" t="n"/>
      <c r="FU35" s="79" t="n"/>
      <c r="FV35" s="6" t="n"/>
      <c r="FW35" s="79" t="n"/>
      <c r="FX35" s="6" t="n"/>
      <c r="FY35" s="79" t="n"/>
      <c r="FZ35" s="6" t="n"/>
      <c r="GA35" s="79" t="n"/>
      <c r="GB35" s="6" t="n"/>
      <c r="GC35" s="79" t="n"/>
      <c r="GD35" s="18" t="n"/>
      <c r="GE35" s="80">
        <f>IFERROR(ROUND(AVERAGE(FK35,FM35,FO35,FQ35,FS35,FU35,FW35,FY35,GA35,GC35), 2), "")</f>
        <v/>
      </c>
      <c r="GF35" s="79" t="n"/>
      <c r="GG35" s="79" t="n"/>
      <c r="GH35" s="79" t="n"/>
      <c r="GI35" s="79" t="n"/>
      <c r="GJ35" s="79" t="n"/>
      <c r="GK35" s="79" t="n"/>
      <c r="GL35" s="79" t="n"/>
      <c r="GM35" s="18" t="n"/>
      <c r="GN35" s="19" t="n"/>
      <c r="GO35" s="6" t="n"/>
      <c r="GP35" s="79" t="n"/>
      <c r="GQ35" s="6" t="n"/>
      <c r="GR35" s="79" t="n"/>
      <c r="GS35" s="6" t="n"/>
      <c r="GT35" s="79" t="n"/>
      <c r="GU35" s="6" t="n"/>
      <c r="GV35" s="79" t="n"/>
      <c r="GW35" s="6" t="n"/>
      <c r="GX35" s="79" t="n"/>
      <c r="GY35" s="18" t="n"/>
      <c r="GZ35" s="79" t="n"/>
      <c r="HA35" s="79" t="n"/>
      <c r="HB35" s="79" t="n"/>
      <c r="HC35" s="79" t="n"/>
      <c r="HD35" s="79" t="n"/>
      <c r="HE35" s="79" t="n"/>
      <c r="HF35" s="79" t="n"/>
      <c r="HG35" s="79" t="n"/>
      <c r="HH35" s="18" t="n"/>
      <c r="HI35" s="19" t="n"/>
      <c r="HJ35" s="6">
        <f>IF(COUNTA(GF35:HI35)=0, "", SUMPRODUCT(--ISNUMBER(SEARCH("m", GF35:HI35))))</f>
        <v/>
      </c>
      <c r="HK35" s="79">
        <f>IF(COUNTA(GF35:HI35)=0, "", COUNTA(GF35:HI35) - SUMPRODUCT(--ISNUMBER(SEARCH("m", GF35:HI35))))</f>
        <v/>
      </c>
      <c r="HL35" s="6" t="n"/>
      <c r="HM35" s="79" t="n"/>
      <c r="HN35" s="6" t="n"/>
      <c r="HO35" s="79" t="n"/>
      <c r="HP35" s="6" t="n"/>
      <c r="HQ35" s="79" t="n"/>
      <c r="HR35" s="6" t="n"/>
      <c r="HS35" s="79" t="n"/>
      <c r="HT35" s="18" t="n"/>
      <c r="HU35" s="79" t="n"/>
      <c r="HV35" s="79" t="n"/>
      <c r="HW35" s="79" t="n"/>
      <c r="HX35" s="79" t="n"/>
      <c r="HY35" s="79" t="n"/>
      <c r="HZ35" s="79" t="n"/>
      <c r="IA35" s="79" t="n"/>
      <c r="IB35" s="79" t="n"/>
      <c r="IC35" s="18" t="n"/>
      <c r="ID35" s="19" t="n"/>
      <c r="IE35" s="6" t="n"/>
      <c r="IF35" s="80">
        <f>IFERROR(ROUND(AVERAGE(HL35,HN35,HP35,HR35,HT35,HV35,HX35,HZ35,IB35,ID35), 2), "")</f>
        <v/>
      </c>
      <c r="IG35" s="6" t="n"/>
      <c r="IH35" s="79" t="n"/>
      <c r="II35" s="6" t="n"/>
      <c r="IJ35" s="79" t="n"/>
      <c r="IK35" s="6" t="n"/>
      <c r="IL35" s="79" t="n"/>
      <c r="IM35" s="6" t="n"/>
      <c r="IN35" s="79" t="n"/>
      <c r="IO35" s="18" t="n"/>
      <c r="IP35" s="79" t="n"/>
      <c r="IQ35" s="79" t="n"/>
      <c r="IR35" s="79" t="n"/>
      <c r="IS35" s="79" t="n"/>
      <c r="IT35" s="79" t="n"/>
      <c r="IU35" s="79" t="n"/>
      <c r="IV35" s="79" t="n"/>
      <c r="IW35" s="79" t="n"/>
      <c r="IX35" s="18" t="n"/>
      <c r="IY35" s="19" t="n"/>
      <c r="IZ35" s="6" t="n"/>
      <c r="JA35" s="79" t="n"/>
      <c r="JB35" s="6" t="n"/>
      <c r="JC35" s="79" t="n"/>
      <c r="JD35" s="6" t="n"/>
      <c r="JE35" s="79" t="n"/>
      <c r="JF35" s="6" t="n"/>
      <c r="JG35" s="79" t="n"/>
      <c r="JH35" s="6" t="n"/>
      <c r="JI35" s="79" t="n"/>
      <c r="JJ35" s="18" t="n"/>
      <c r="JK35" s="79">
        <f>IF(COUNTA(IG35:JJ35)=0, "", SUMPRODUCT(--ISNUMBER(SEARCH("m", IG35:JJ35))))</f>
        <v/>
      </c>
      <c r="JL35" s="79">
        <f>IF(COUNTA(IG35:JJ35)=0, "", COUNTA(IG35:JJ35) - SUMPRODUCT(--ISNUMBER(SEARCH("m", IG35:JJ35))))</f>
        <v/>
      </c>
      <c r="JM35" s="79" t="n"/>
      <c r="JN35" s="79" t="n"/>
      <c r="JO35" s="79" t="n"/>
      <c r="JP35" s="79" t="n"/>
      <c r="JQ35" s="79" t="n"/>
      <c r="JR35" s="79" t="n"/>
      <c r="JS35" s="18" t="n"/>
      <c r="JT35" s="19" t="n"/>
      <c r="JU35" s="6" t="n"/>
      <c r="JV35" s="79" t="n"/>
      <c r="JW35" s="6" t="n"/>
      <c r="JX35" s="79" t="n"/>
      <c r="JY35" s="6" t="n"/>
      <c r="JZ35" s="79" t="n"/>
      <c r="KA35" s="6" t="n"/>
      <c r="KB35" s="79" t="n"/>
      <c r="KC35" s="6" t="n"/>
      <c r="KD35" s="79" t="n"/>
      <c r="KE35" s="18" t="n"/>
      <c r="KF35" s="79" t="n"/>
      <c r="KG35" s="80">
        <f>IFERROR(ROUND(AVERAGE(JM35,JO35,JQ35,JS35,JU35,JW35,JY35,KA35,KC35,KE35), 2), "")</f>
        <v/>
      </c>
      <c r="KH35" s="79" t="n"/>
      <c r="KI35" s="79" t="n"/>
      <c r="KJ35" s="79" t="n"/>
      <c r="KK35" s="79" t="n"/>
      <c r="KL35" s="79" t="n"/>
      <c r="KM35" s="79" t="n"/>
      <c r="KN35" s="18" t="n"/>
      <c r="KO35" s="19" t="n"/>
      <c r="KP35" s="6" t="n"/>
      <c r="KQ35" s="6" t="n"/>
      <c r="KR35" s="6" t="n"/>
      <c r="KS35" s="6" t="n"/>
      <c r="KT35" s="6" t="n"/>
      <c r="KU35" s="6" t="n"/>
      <c r="KV35" s="6" t="n"/>
      <c r="KW35" s="6" t="n"/>
      <c r="KX35" s="6" t="n"/>
      <c r="KY35" s="6" t="n"/>
      <c r="KZ35" s="6" t="n"/>
      <c r="LA35" s="6" t="n"/>
      <c r="LB35" s="6" t="n"/>
      <c r="LC35" s="6" t="n"/>
      <c r="LD35" s="6" t="n"/>
      <c r="LE35" s="6" t="n"/>
      <c r="LF35" s="6" t="n"/>
      <c r="LG35" s="6" t="n"/>
      <c r="LH35" s="6" t="n"/>
      <c r="LI35" s="6" t="n"/>
      <c r="LJ35" s="6" t="n"/>
      <c r="LK35" s="6" t="n"/>
      <c r="LL35" s="6">
        <f>IF(COUNTA(KH35:LK35)=0, "", SUMPRODUCT(--ISNUMBER(SEARCH("m", KH35:LK35))))</f>
        <v/>
      </c>
      <c r="LM35" s="6">
        <f>IF(COUNTA(KH35:LK35)=0, "", COUNTA(KH35:LK35) - SUMPRODUCT(--ISNUMBER(SEARCH("m", KH35:LK35))))</f>
        <v/>
      </c>
      <c r="LN35" s="6" t="n"/>
      <c r="LO35" s="6" t="n"/>
      <c r="LP35" s="6" t="n"/>
      <c r="LQ35" s="6" t="n"/>
      <c r="LR35" s="6" t="n"/>
      <c r="LS35" s="6" t="n"/>
      <c r="LT35" s="6" t="n"/>
      <c r="LU35" s="6" t="n"/>
      <c r="LV35" s="6" t="n"/>
      <c r="LW35" s="6" t="n"/>
      <c r="LX35" s="6" t="n"/>
      <c r="LY35" s="6" t="n"/>
      <c r="LZ35" s="6" t="n"/>
      <c r="MA35" s="6" t="n"/>
      <c r="MB35" s="6" t="n"/>
      <c r="MC35" s="6" t="n"/>
      <c r="MD35" s="6" t="n"/>
      <c r="ME35" s="6" t="n"/>
      <c r="MF35" s="6" t="n"/>
      <c r="MG35" s="6" t="n"/>
      <c r="MH35" s="20">
        <f>IFERROR(ROUND(AVERAGE(LN35,LP35,LR35,LT35,LV35,LX35,LZ35,MB35,MD35,MF35), 2), "")</f>
        <v/>
      </c>
      <c r="MI35" s="6" t="n"/>
      <c r="MJ35" s="6" t="n"/>
      <c r="MK35" s="6" t="n"/>
      <c r="ML35" s="6" t="n"/>
      <c r="MM35" s="6" t="n"/>
      <c r="MN35" s="6" t="n"/>
      <c r="MO35" s="6" t="n"/>
      <c r="MP35" s="6" t="n"/>
      <c r="MQ35" s="6" t="n"/>
      <c r="MR35" s="6" t="n"/>
      <c r="MS35" s="6" t="n"/>
      <c r="MT35" s="6" t="n"/>
      <c r="MU35" s="6" t="n"/>
      <c r="MV35" s="6" t="n"/>
      <c r="MW35" s="6" t="n"/>
      <c r="MX35" s="6" t="n"/>
      <c r="MY35" s="6" t="n"/>
      <c r="MZ35" s="6" t="n"/>
      <c r="NA35" s="6" t="n"/>
      <c r="NB35" s="6" t="n"/>
      <c r="NC35" s="6" t="n"/>
      <c r="ND35" s="6" t="n"/>
      <c r="NE35" s="6" t="n"/>
      <c r="NF35" s="6" t="n"/>
      <c r="NG35" s="6" t="n"/>
      <c r="NH35" s="6" t="n"/>
      <c r="NI35" s="6" t="n"/>
      <c r="NJ35" s="6" t="n"/>
      <c r="NK35" s="6" t="n"/>
      <c r="NL35" s="6" t="n"/>
      <c r="NM35" s="6">
        <f>IF(COUNTA(MI35:NL35)=0, "", SUMPRODUCT(--ISNUMBER(SEARCH("m", MI35:NL35))))</f>
        <v/>
      </c>
      <c r="NN35" s="6">
        <f>IF(COUNTA(MI35:NL35)=0, "", COUNTA(MI35:NL35) - SUMPRODUCT(--ISNUMBER(SEARCH("m", MI35:NL35))))</f>
        <v/>
      </c>
      <c r="NO35" s="6" t="n"/>
      <c r="NP35" s="6" t="n"/>
      <c r="NQ35" s="6" t="n"/>
      <c r="NR35" s="6" t="n"/>
      <c r="NS35" s="6" t="n"/>
      <c r="NT35" s="6" t="n"/>
      <c r="NU35" s="6" t="n"/>
      <c r="NV35" s="6" t="n"/>
      <c r="NW35" s="6" t="n"/>
      <c r="NX35" s="6" t="n"/>
      <c r="NY35" s="6" t="n"/>
      <c r="NZ35" s="6" t="n"/>
      <c r="OA35" s="6" t="n"/>
      <c r="OB35" s="6" t="n"/>
      <c r="OC35" s="6" t="n"/>
      <c r="OD35" s="6" t="n"/>
      <c r="OE35" s="6" t="n"/>
      <c r="OF35" s="6" t="n"/>
      <c r="OG35" s="6" t="n"/>
      <c r="OH35" s="6" t="n"/>
      <c r="OI35" s="20">
        <f>IFERROR(ROUND(AVERAGE(NO35,NQ35,NS35,NU35,NW35,NY35,OA35,OC35,OE35,OG35), 2), "")</f>
        <v/>
      </c>
      <c r="OJ35" s="6" t="n"/>
      <c r="OK35" s="6" t="n"/>
      <c r="OL35" s="6" t="n"/>
      <c r="OM35" s="6" t="n"/>
      <c r="ON35" s="6" t="n"/>
      <c r="OO35" s="6" t="n"/>
      <c r="OP35" s="6" t="n"/>
      <c r="OQ35" s="6" t="n"/>
      <c r="OR35" s="6" t="n"/>
      <c r="OS35" s="6" t="n"/>
      <c r="OT35" s="6" t="n"/>
      <c r="OU35" s="6" t="n"/>
      <c r="OV35" s="6" t="n"/>
      <c r="OW35" s="6" t="n"/>
      <c r="OX35" s="6" t="n"/>
      <c r="OY35" s="6" t="n"/>
      <c r="OZ35" s="6" t="n"/>
      <c r="PA35" s="6" t="n"/>
      <c r="PB35" s="6" t="n"/>
      <c r="PC35" s="6" t="n"/>
      <c r="PD35" s="6" t="n"/>
      <c r="PE35" s="6" t="n"/>
      <c r="PF35" s="6" t="n"/>
      <c r="PG35" s="6" t="n"/>
      <c r="PH35" s="6" t="n"/>
      <c r="PI35" s="6" t="n"/>
      <c r="PJ35" s="6" t="n"/>
      <c r="PK35" s="6" t="n"/>
      <c r="PL35" s="6" t="n"/>
      <c r="PM35" s="6" t="n"/>
      <c r="PN35" s="6">
        <f>IF(COUNTA(OJ35:PM35)=0, "", SUMPRODUCT(--ISNUMBER(SEARCH("m", OJ35:PM35))))</f>
        <v/>
      </c>
      <c r="PO35" s="6">
        <f>IF(COUNTA(OJ35:PM35)=0, "", COUNTA(OJ35:PM35) - SUMPRODUCT(--ISNUMBER(SEARCH("m", OJ35:PM35))))</f>
        <v/>
      </c>
      <c r="PP35" s="6" t="n"/>
      <c r="PQ35" s="6" t="n"/>
      <c r="PR35" s="6" t="n"/>
      <c r="PS35" s="6" t="n"/>
      <c r="PT35" s="6" t="n"/>
      <c r="PU35" s="6" t="n"/>
      <c r="PV35" s="6" t="n"/>
      <c r="PW35" s="6" t="n"/>
      <c r="PX35" s="6" t="n"/>
      <c r="PY35" s="6" t="n"/>
      <c r="PZ35" s="6" t="n"/>
      <c r="QA35" s="6" t="n"/>
      <c r="QB35" s="6" t="n"/>
      <c r="QC35" s="6" t="n"/>
      <c r="QD35" s="6" t="n"/>
      <c r="QE35" s="6" t="n"/>
      <c r="QF35" s="6" t="n"/>
      <c r="QG35" s="6" t="n"/>
      <c r="QH35" s="6" t="n"/>
      <c r="QI35" s="6" t="n"/>
      <c r="QJ35" s="20">
        <f>IFERROR(ROUND(AVERAGE(PP35,PR35,PT35,PV35,PX35,PZ35,QB35,QD35,QF35,QH35), 2), "")</f>
        <v/>
      </c>
      <c r="QK35" s="6" t="n"/>
      <c r="QL35" s="6" t="n"/>
      <c r="QM35" s="6" t="n"/>
      <c r="QN35" s="6" t="n"/>
      <c r="QO35" s="6" t="n"/>
      <c r="QP35" s="6" t="n"/>
      <c r="QQ35" s="6" t="n"/>
      <c r="QR35" s="6" t="n"/>
      <c r="QS35" s="6" t="n"/>
      <c r="QT35" s="6" t="n"/>
      <c r="QU35" s="6" t="n"/>
      <c r="QV35" s="6" t="n"/>
      <c r="QW35" s="6" t="n"/>
      <c r="QX35" s="6" t="n"/>
      <c r="QY35" s="6" t="n"/>
      <c r="QZ35" s="6" t="n"/>
      <c r="RA35" s="6" t="n"/>
      <c r="RB35" s="6" t="n"/>
      <c r="RC35" s="6" t="n"/>
      <c r="RD35" s="6" t="n"/>
      <c r="RE35" s="6" t="n"/>
      <c r="RF35" s="6" t="n"/>
      <c r="RG35" s="6" t="n"/>
      <c r="RH35" s="6" t="n"/>
      <c r="RI35" s="6" t="n"/>
      <c r="RJ35" s="6" t="n"/>
      <c r="RK35" s="6" t="n"/>
      <c r="RL35" s="6" t="n"/>
      <c r="RM35" s="6" t="n"/>
      <c r="RN35" s="6" t="n"/>
      <c r="RO35" s="6">
        <f>IF(COUNTA(QK35:RN35)=0, "", SUMPRODUCT(--ISNUMBER(SEARCH("m", QK35:RN35))))</f>
        <v/>
      </c>
      <c r="RP35" s="6">
        <f>IF(COUNTA(QK35:RN35)=0, "", COUNTA(QK35:RN35) - SUMPRODUCT(--ISNUMBER(SEARCH("m", QK35:RN35))))</f>
        <v/>
      </c>
      <c r="RQ35" s="6" t="n"/>
      <c r="RR35" s="6" t="n"/>
      <c r="RS35" s="6" t="n"/>
      <c r="RT35" s="6" t="n"/>
      <c r="RU35" s="6" t="n"/>
      <c r="RV35" s="6" t="n"/>
      <c r="RW35" s="6" t="n"/>
      <c r="RX35" s="6" t="n"/>
      <c r="RY35" s="6" t="n"/>
      <c r="RZ35" s="6" t="n"/>
      <c r="SA35" s="6" t="n"/>
      <c r="SB35" s="6" t="n"/>
      <c r="SC35" s="6" t="n"/>
      <c r="SD35" s="6" t="n"/>
      <c r="SE35" s="6" t="n"/>
      <c r="SF35" s="6" t="n"/>
      <c r="SG35" s="6" t="n"/>
      <c r="SH35" s="6" t="n"/>
      <c r="SI35" s="6" t="n"/>
      <c r="SJ35" s="6" t="n"/>
      <c r="SK35" s="20">
        <f>IFERROR(ROUND(AVERAGE(RQ35,RS35,RU35,RW35,RY35,SA35,SC35,SE35,SG35,SI35), 2), "")</f>
        <v/>
      </c>
      <c r="SL35" s="6" t="n"/>
      <c r="SM35" s="6" t="n"/>
      <c r="SN35" s="6" t="n"/>
      <c r="SO35" s="6" t="n"/>
      <c r="SP35" s="6" t="n"/>
      <c r="SQ35" s="6" t="n"/>
      <c r="SR35" s="6" t="n"/>
      <c r="SS35" s="6" t="n"/>
      <c r="ST35" s="6" t="n"/>
      <c r="SU35" s="6" t="n"/>
      <c r="SV35" s="6" t="n"/>
      <c r="SW35" s="6" t="n"/>
      <c r="SX35" s="6" t="n"/>
      <c r="SY35" s="6" t="n"/>
      <c r="SZ35" s="6" t="n"/>
      <c r="TA35" s="6" t="n"/>
      <c r="TB35" s="6" t="n"/>
      <c r="TC35" s="6" t="n"/>
      <c r="TD35" s="6" t="n"/>
      <c r="TE35" s="6" t="n"/>
      <c r="TF35" s="6" t="n"/>
      <c r="TG35" s="6" t="n"/>
      <c r="TH35" s="6" t="n"/>
      <c r="TI35" s="6" t="n"/>
      <c r="TJ35" s="6" t="n"/>
      <c r="TK35" s="6" t="n"/>
      <c r="TL35" s="6" t="n"/>
      <c r="TM35" s="6" t="n"/>
      <c r="TN35" s="6" t="n"/>
      <c r="TO35" s="6" t="n"/>
      <c r="TP35" s="6">
        <f>IF(COUNTA(SL35:TO35)=0, "", SUMPRODUCT(--ISNUMBER(SEARCH("m", SL35:TO35))))</f>
        <v/>
      </c>
      <c r="TQ35" s="6">
        <f>IF(COUNTA(SL35:TO35)=0, "", COUNTA(SL35:TO35) - SUMPRODUCT(--ISNUMBER(SEARCH("m", SL35:TO35))))</f>
        <v/>
      </c>
      <c r="TR35" s="6" t="n"/>
      <c r="TS35" s="6" t="n"/>
      <c r="TT35" s="6" t="n"/>
      <c r="TU35" s="6" t="n"/>
      <c r="TV35" s="6" t="n"/>
      <c r="TW35" s="6" t="n"/>
      <c r="TX35" s="6" t="n"/>
      <c r="TY35" s="6" t="n"/>
      <c r="TZ35" s="6" t="n"/>
      <c r="UA35" s="6" t="n"/>
      <c r="UB35" s="6" t="n"/>
      <c r="UC35" s="6" t="n"/>
      <c r="UD35" s="6" t="n"/>
      <c r="UE35" s="6" t="n"/>
      <c r="UF35" s="6" t="n"/>
      <c r="UG35" s="6" t="n"/>
      <c r="UH35" s="6" t="n"/>
      <c r="UI35" s="6" t="n"/>
      <c r="UJ35" s="6" t="n"/>
      <c r="UK35" s="6" t="n"/>
      <c r="UL35" s="20">
        <f>IFERROR(ROUND(AVERAGE(TR35,TT35,TV35,TX35,TZ35,UB35,UD35,UF35,UH35,UJ35), 2), "")</f>
        <v/>
      </c>
      <c r="UM35" s="6" t="n"/>
      <c r="UN35" s="6" t="n"/>
      <c r="UO35" s="6" t="n"/>
      <c r="UP35" s="6" t="n"/>
      <c r="UQ35" s="6" t="n"/>
      <c r="UR35" s="6" t="n"/>
      <c r="US35" s="6" t="n"/>
      <c r="UT35" s="6" t="n"/>
      <c r="UU35" s="6" t="n"/>
      <c r="UV35" s="6" t="n"/>
      <c r="UW35" s="6" t="n"/>
      <c r="UX35" s="6" t="n"/>
      <c r="UY35" s="6" t="n"/>
      <c r="UZ35" s="6" t="n"/>
      <c r="VA35" s="6" t="n"/>
      <c r="VB35" s="6" t="n"/>
      <c r="VC35" s="6" t="n"/>
      <c r="VD35" s="6" t="n"/>
      <c r="VE35" s="6" t="n"/>
      <c r="VF35" s="6" t="n"/>
      <c r="VG35" s="6" t="n"/>
      <c r="VH35" s="6" t="n"/>
      <c r="VI35" s="6" t="n"/>
      <c r="VJ35" s="6" t="n"/>
      <c r="VK35" s="6" t="n"/>
      <c r="VL35" s="6" t="n"/>
      <c r="VM35" s="6" t="n"/>
      <c r="VN35" s="6" t="n"/>
      <c r="VO35" s="6" t="n"/>
      <c r="VP35" s="6" t="n"/>
      <c r="VQ35" s="6">
        <f>IF(COUNTA(UM35:VP35)=0, "", SUMPRODUCT(--ISNUMBER(SEARCH("m", UM35:VP35))))</f>
        <v/>
      </c>
      <c r="VR35" s="6">
        <f>IF(COUNTA(UM35:VP35)=0, "", COUNTA(UM35:VP35) - SUMPRODUCT(--ISNUMBER(SEARCH("m", UM35:VP35))))</f>
        <v/>
      </c>
      <c r="VS35" s="6" t="n"/>
      <c r="VT35" s="6" t="n"/>
      <c r="VU35" s="6" t="n"/>
      <c r="VV35" s="6" t="n"/>
      <c r="VW35" s="6" t="n"/>
      <c r="VX35" s="6" t="n"/>
      <c r="VY35" s="6" t="n"/>
      <c r="VZ35" s="6" t="n"/>
      <c r="WA35" s="6" t="n"/>
      <c r="WB35" s="6" t="n"/>
      <c r="WC35" s="6" t="n"/>
      <c r="WD35" s="6" t="n"/>
      <c r="WE35" s="6" t="n"/>
      <c r="WF35" s="6" t="n"/>
      <c r="WG35" s="6" t="n"/>
      <c r="WH35" s="6" t="n"/>
      <c r="WI35" s="6" t="n"/>
      <c r="WJ35" s="6" t="n"/>
      <c r="WK35" s="6" t="n"/>
      <c r="WL35" s="6" t="n"/>
      <c r="WM35" s="20">
        <f>IFERROR(ROUND(AVERAGE(VS35,VU35,VW35,VY35,WA35,WC35,WE35,WG35,WI35,WK35), 2), "")</f>
        <v/>
      </c>
      <c r="WN35" s="6" t="n"/>
      <c r="WO35" s="6" t="n"/>
      <c r="WP35" s="6" t="n"/>
      <c r="WQ35" s="6" t="n"/>
      <c r="WR35" s="6" t="n"/>
      <c r="WS35" s="6" t="n"/>
      <c r="WT35" s="6" t="n"/>
      <c r="WU35" s="6" t="n"/>
      <c r="WV35" s="6" t="n"/>
      <c r="WW35" s="6" t="n"/>
      <c r="WX35" s="6" t="n"/>
      <c r="WY35" s="6" t="n"/>
      <c r="WZ35" s="6" t="n"/>
      <c r="XA35" s="6" t="n"/>
      <c r="XB35" s="6" t="n"/>
      <c r="XC35" s="6" t="n"/>
      <c r="XD35" s="6" t="n"/>
      <c r="XE35" s="6" t="n"/>
      <c r="XF35" s="6" t="n"/>
      <c r="XG35" s="6" t="n"/>
      <c r="XH35" s="6" t="n"/>
      <c r="XI35" s="6" t="n"/>
      <c r="XJ35" s="6" t="n"/>
      <c r="XK35" s="6" t="n"/>
      <c r="XL35" s="6" t="n"/>
      <c r="XM35" s="6" t="n"/>
      <c r="XN35" s="6" t="n"/>
      <c r="XO35" s="6" t="n"/>
      <c r="XP35" s="6" t="n"/>
      <c r="XQ35" s="6" t="n"/>
      <c r="XR35" s="6">
        <f>IF(COUNTA(WN35:XQ35)=0, "", SUMPRODUCT(--ISNUMBER(SEARCH("m", WN35:XQ35))))</f>
        <v/>
      </c>
      <c r="XS35" s="6">
        <f>IF(COUNTA(WN35:XQ35)=0, "", COUNTA(WN35:XQ35) - SUMPRODUCT(--ISNUMBER(SEARCH("m", WN35:XQ35))))</f>
        <v/>
      </c>
      <c r="XT35" s="6" t="n"/>
      <c r="XU35" s="6" t="n"/>
      <c r="XV35" s="6" t="n"/>
      <c r="XW35" s="6" t="n"/>
      <c r="XX35" s="6" t="n"/>
      <c r="XY35" s="6" t="n"/>
      <c r="XZ35" s="6" t="n"/>
      <c r="YA35" s="6" t="n"/>
      <c r="YB35" s="6" t="n"/>
      <c r="YC35" s="6" t="n"/>
      <c r="YD35" s="6" t="n"/>
      <c r="YE35" s="6" t="n"/>
      <c r="YF35" s="6" t="n"/>
      <c r="YG35" s="6" t="n"/>
      <c r="YH35" s="6" t="n"/>
      <c r="YI35" s="6" t="n"/>
      <c r="YJ35" s="6" t="n"/>
      <c r="YK35" s="6" t="n"/>
      <c r="YL35" s="6" t="n"/>
      <c r="YM35" s="6" t="n"/>
      <c r="YN35" s="20">
        <f>IFERROR(ROUND(AVERAGE(XT35,XV35,XX35,XZ35,YB35,YD35,YF35,YH35,YJ35,YL35), 2), "")</f>
        <v/>
      </c>
      <c r="YO35" s="6" t="n"/>
      <c r="YP35" s="6" t="n"/>
      <c r="YQ35" s="6" t="n"/>
      <c r="YR35" s="6" t="n"/>
      <c r="YS35" s="6" t="n"/>
      <c r="YT35" s="6" t="n"/>
      <c r="YU35" s="6" t="n"/>
      <c r="YV35" s="6" t="n"/>
      <c r="YW35" s="6" t="n"/>
      <c r="YX35" s="6" t="n"/>
      <c r="YY35" s="6" t="n"/>
      <c r="YZ35" s="6" t="n"/>
      <c r="ZA35" s="6" t="n"/>
      <c r="ZB35" s="6" t="n"/>
      <c r="ZC35" s="6" t="n"/>
      <c r="ZD35" s="6" t="n"/>
      <c r="ZE35" s="6" t="n"/>
      <c r="ZF35" s="6" t="n"/>
      <c r="ZG35" s="6" t="n"/>
      <c r="ZH35" s="6" t="n"/>
      <c r="ZI35" s="6" t="n"/>
      <c r="ZJ35" s="6" t="n"/>
      <c r="ZK35" s="6" t="n"/>
      <c r="ZL35" s="6" t="n"/>
      <c r="ZM35" s="6" t="n"/>
      <c r="ZN35" s="6" t="n"/>
      <c r="ZO35" s="6" t="n"/>
      <c r="ZP35" s="6" t="n"/>
      <c r="ZQ35" s="6" t="n"/>
      <c r="ZR35" s="6" t="n"/>
      <c r="ZS35" s="6">
        <f>IF(COUNTA(YO35:ZR35)=0, "", SUMPRODUCT(--ISNUMBER(SEARCH("m", YO35:ZR35))))</f>
        <v/>
      </c>
      <c r="ZT35" s="6">
        <f>IF(COUNTA(YO35:ZR35)=0, "", COUNTA(YO35:ZR35) - SUMPRODUCT(--ISNUMBER(SEARCH("m", YO35:ZR35))))</f>
        <v/>
      </c>
      <c r="ZU35" s="6" t="n"/>
      <c r="ZV35" s="6" t="n"/>
      <c r="ZW35" s="6" t="n"/>
      <c r="ZX35" s="6" t="n"/>
      <c r="ZY35" s="6" t="n"/>
      <c r="ZZ35" s="6" t="n"/>
      <c r="AAA35" s="6" t="n"/>
      <c r="AAB35" s="6" t="n"/>
      <c r="AAC35" s="6" t="n"/>
      <c r="AAD35" s="6" t="n"/>
      <c r="AAE35" s="6" t="n"/>
      <c r="AAF35" s="6" t="n"/>
      <c r="AAG35" s="6" t="n"/>
      <c r="AAH35" s="6" t="n"/>
      <c r="AAI35" s="6" t="n"/>
      <c r="AAJ35" s="6" t="n"/>
      <c r="AAK35" s="6" t="n"/>
      <c r="AAL35" s="6" t="n"/>
      <c r="AAM35" s="6" t="n"/>
      <c r="AAN35" s="6" t="n"/>
      <c r="AAO35" s="20">
        <f>IFERROR(ROUND(AVERAGE(ZU35,ZW35,ZY35,AAA35,AAC35,AAE35,AAG35,AAI35,AAK35,AAM35), 2), "")</f>
        <v/>
      </c>
      <c r="AAP35" s="6" t="n"/>
      <c r="AAQ35" s="6" t="n"/>
      <c r="AAR35" s="6" t="n"/>
      <c r="AAS35" s="6" t="n"/>
      <c r="AAT35" s="6" t="n"/>
      <c r="AAU35" s="6" t="n"/>
      <c r="AAV35" s="6" t="n"/>
      <c r="AAW35" s="6" t="n"/>
      <c r="AAX35" s="6" t="n"/>
      <c r="AAY35" s="6" t="n"/>
      <c r="AAZ35" s="6" t="n"/>
      <c r="ABA35" s="6" t="n"/>
      <c r="ABB35" s="6" t="n"/>
      <c r="ABC35" s="6" t="n"/>
      <c r="ABD35" s="6" t="n"/>
      <c r="ABE35" s="6" t="n"/>
      <c r="ABF35" s="6" t="n"/>
      <c r="ABG35" s="6" t="n"/>
      <c r="ABH35" s="6" t="n"/>
      <c r="ABI35" s="6" t="n"/>
      <c r="ABJ35" s="6" t="n"/>
      <c r="ABK35" s="6" t="n"/>
      <c r="ABL35" s="6" t="n"/>
      <c r="ABM35" s="6" t="n"/>
      <c r="ABN35" s="6" t="n"/>
      <c r="ABO35" s="6" t="n"/>
      <c r="ABP35" s="6" t="n"/>
      <c r="ABQ35" s="6" t="n"/>
      <c r="ABR35" s="6" t="n"/>
      <c r="ABS35" s="6" t="n"/>
      <c r="ABT35" s="6">
        <f>IF(COUNTA(AAP35:ABS35)=0, "", SUMPRODUCT(--ISNUMBER(SEARCH("m", AAP35:ABS35))))</f>
        <v/>
      </c>
      <c r="ABU35" s="6">
        <f>IF(COUNTA(AAP35:ABS35)=0, "", COUNTA(AAP35:ABS35) - SUMPRODUCT(--ISNUMBER(SEARCH("m", AAP35:ABS35))))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8">
        <f>IFERROR(ROUND(AVERAGE(AB36,CC36,ED36,GE36,IF36,KG36,MH36,OI36,QJ36,SK36,UL36,WM36,YN36,AAO36), 2), "")</f>
        <v/>
      </c>
      <c r="F36" s="14">
        <f>IF(SUM(BH36,DI36,FJ36,HK36,JL36,LM36,NN36,PO36,RP36,TQ36,VR36,XS36,ZT36,ABU36)=0, "", SUM(BH36,DI36,FJ36,HK36,JL36,LM36,NN36,PO36,RP36,TQ36,VR36,XS36,ZT36,ABU36))</f>
        <v/>
      </c>
      <c r="G36" s="8">
        <f>IF(SUM(BG36,DH36,FI36,HJ36,JK36,LL36,NM36,PN36,RO36,TP36,VQ36,XR36,ZS36,ABT36)=0, "", SUM(BG36,DH36,FI36,HJ36,JK36,LL36,NM36,PN36,RO36,TP36,VQ36,XR36,ZS36,ABT36))</f>
        <v/>
      </c>
      <c r="H36" s="6" t="n"/>
      <c r="I36" s="79" t="n"/>
      <c r="J36" s="6" t="n"/>
      <c r="K36" s="79" t="n"/>
      <c r="L36" s="6" t="n"/>
      <c r="M36" s="79" t="n"/>
      <c r="N36" s="6" t="n"/>
      <c r="O36" s="79" t="n"/>
      <c r="P36" s="6" t="n"/>
      <c r="Q36" s="79" t="n"/>
      <c r="R36" s="18" t="n"/>
      <c r="S36" s="79" t="n"/>
      <c r="T36" s="79" t="n"/>
      <c r="U36" s="79" t="n"/>
      <c r="V36" s="79" t="n"/>
      <c r="W36" s="79" t="n"/>
      <c r="X36" s="79" t="n"/>
      <c r="Y36" s="79" t="n"/>
      <c r="Z36" s="79" t="n"/>
      <c r="AA36" s="18" t="n"/>
      <c r="AB36" s="14">
        <f>IFERROR(ROUND(AVERAGE(H36,J36,L36,N36,P36,R36,T36,V36,X36,Z36), 2), "")</f>
        <v/>
      </c>
      <c r="AC36" s="6" t="n"/>
      <c r="AD36" s="79" t="n"/>
      <c r="AE36" s="6" t="n"/>
      <c r="AF36" s="79" t="n"/>
      <c r="AG36" s="6" t="n"/>
      <c r="AH36" s="79" t="n"/>
      <c r="AI36" s="6" t="n"/>
      <c r="AJ36" s="79" t="n"/>
      <c r="AK36" s="6" t="n"/>
      <c r="AL36" s="79" t="n"/>
      <c r="AM36" s="18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18" t="n"/>
      <c r="AW36" s="19" t="n"/>
      <c r="AX36" s="6" t="n"/>
      <c r="AY36" s="79" t="n"/>
      <c r="AZ36" s="6" t="n"/>
      <c r="BA36" s="79" t="n"/>
      <c r="BB36" s="6" t="n"/>
      <c r="BC36" s="79" t="n"/>
      <c r="BD36" s="6" t="n"/>
      <c r="BE36" s="79" t="n"/>
      <c r="BF36" s="6" t="n"/>
      <c r="BG36" s="79">
        <f>IF(COUNTA(AC36:BF36)=0, "", SUMPRODUCT(--ISNUMBER(SEARCH("m", AC36:BF36))))</f>
        <v/>
      </c>
      <c r="BH36" s="18">
        <f>IF(COUNTA(AC36:BF36)=0, "", COUNTA(AC36:BF36) - SUMPRODUCT(--ISNUMBER(SEARCH("m", AC36:BF36))))</f>
        <v/>
      </c>
      <c r="BI36" s="79" t="n"/>
      <c r="BJ36" s="79" t="n"/>
      <c r="BK36" s="79" t="n"/>
      <c r="BL36" s="79" t="n"/>
      <c r="BM36" s="79" t="n"/>
      <c r="BN36" s="79" t="n"/>
      <c r="BO36" s="79" t="n"/>
      <c r="BP36" s="79" t="n"/>
      <c r="BQ36" s="18" t="n"/>
      <c r="BR36" s="19" t="n"/>
      <c r="BS36" s="6" t="n"/>
      <c r="BT36" s="79" t="n"/>
      <c r="BU36" s="6" t="n"/>
      <c r="BV36" s="79" t="n"/>
      <c r="BW36" s="6" t="n"/>
      <c r="BX36" s="79" t="n"/>
      <c r="BY36" s="6" t="n"/>
      <c r="BZ36" s="79" t="n"/>
      <c r="CA36" s="6" t="n"/>
      <c r="CB36" s="79" t="n"/>
      <c r="CC36" s="8">
        <f>IFERROR(ROUND(AVERAGE(BI36,BK36,BM36,BO36,BQ36,BS36,BU36,BW36,BY36,CA36), 2), "")</f>
        <v/>
      </c>
      <c r="CD36" s="79" t="n"/>
      <c r="CE36" s="79" t="n"/>
      <c r="CF36" s="79" t="n"/>
      <c r="CG36" s="79" t="n"/>
      <c r="CH36" s="79" t="n"/>
      <c r="CI36" s="79" t="n"/>
      <c r="CJ36" s="79" t="n"/>
      <c r="CK36" s="79" t="n"/>
      <c r="CL36" s="18" t="n"/>
      <c r="CM36" s="19" t="n"/>
      <c r="CN36" s="6" t="n"/>
      <c r="CO36" s="79" t="n"/>
      <c r="CP36" s="6" t="n"/>
      <c r="CQ36" s="79" t="n"/>
      <c r="CR36" s="6" t="n"/>
      <c r="CS36" s="79" t="n"/>
      <c r="CT36" s="6" t="n"/>
      <c r="CU36" s="79" t="n"/>
      <c r="CV36" s="6" t="n"/>
      <c r="CW36" s="79" t="n"/>
      <c r="CX36" s="18" t="n"/>
      <c r="CY36" s="79" t="n"/>
      <c r="CZ36" s="79" t="n"/>
      <c r="DA36" s="79" t="n"/>
      <c r="DB36" s="79" t="n"/>
      <c r="DC36" s="79" t="n"/>
      <c r="DD36" s="79" t="n"/>
      <c r="DE36" s="79" t="n"/>
      <c r="DF36" s="79" t="n"/>
      <c r="DG36" s="18" t="n"/>
      <c r="DH36" s="19">
        <f>IF(COUNTA(CD36:DG36)=0, "", SUMPRODUCT(--ISNUMBER(SEARCH("m", CD36:DG36))))</f>
        <v/>
      </c>
      <c r="DI36" s="6">
        <f>IF(COUNTA(CD36:DG36)=0, "", COUNTA(CD36:DG36) - SUMPRODUCT(--ISNUMBER(SEARCH("m", CD36:DG36))))</f>
        <v/>
      </c>
      <c r="DJ36" s="79" t="n"/>
      <c r="DK36" s="6" t="n"/>
      <c r="DL36" s="79" t="n"/>
      <c r="DM36" s="6" t="n"/>
      <c r="DN36" s="79" t="n"/>
      <c r="DO36" s="6" t="n"/>
      <c r="DP36" s="79" t="n"/>
      <c r="DQ36" s="6" t="n"/>
      <c r="DR36" s="79" t="n"/>
      <c r="DS36" s="18" t="n"/>
      <c r="DT36" s="79" t="n"/>
      <c r="DU36" s="79" t="n"/>
      <c r="DV36" s="79" t="n"/>
      <c r="DW36" s="79" t="n"/>
      <c r="DX36" s="79" t="n"/>
      <c r="DY36" s="79" t="n"/>
      <c r="DZ36" s="79" t="n"/>
      <c r="EA36" s="79" t="n"/>
      <c r="EB36" s="18" t="n"/>
      <c r="EC36" s="19" t="n"/>
      <c r="ED36" s="20">
        <f>IFERROR(ROUND(AVERAGE(DJ36,DL36,DN36,DP36,DR36,DT36,DV36,DX36,DZ36,EB36), 2), "")</f>
        <v/>
      </c>
      <c r="EE36" s="79" t="n"/>
      <c r="EF36" s="6" t="n"/>
      <c r="EG36" s="79" t="n"/>
      <c r="EH36" s="6" t="n"/>
      <c r="EI36" s="79" t="n"/>
      <c r="EJ36" s="6" t="n"/>
      <c r="EK36" s="79" t="n"/>
      <c r="EL36" s="6" t="n"/>
      <c r="EM36" s="79" t="n"/>
      <c r="EN36" s="18" t="n"/>
      <c r="EO36" s="79" t="n"/>
      <c r="EP36" s="79" t="n"/>
      <c r="EQ36" s="79" t="n"/>
      <c r="ER36" s="79" t="n"/>
      <c r="ES36" s="79" t="n"/>
      <c r="ET36" s="79" t="n"/>
      <c r="EU36" s="79" t="n"/>
      <c r="EV36" s="79" t="n"/>
      <c r="EW36" s="18" t="n"/>
      <c r="EX36" s="19" t="n"/>
      <c r="EY36" s="6" t="n"/>
      <c r="EZ36" s="79" t="n"/>
      <c r="FA36" s="6" t="n"/>
      <c r="FB36" s="79" t="n"/>
      <c r="FC36" s="6" t="n"/>
      <c r="FD36" s="79" t="n"/>
      <c r="FE36" s="6" t="n"/>
      <c r="FF36" s="79" t="n"/>
      <c r="FG36" s="6" t="n"/>
      <c r="FH36" s="79" t="n"/>
      <c r="FI36" s="18">
        <f>IF(COUNTA(EE36:FH36)=0, "", SUMPRODUCT(--ISNUMBER(SEARCH("m", EE36:FH36))))</f>
        <v/>
      </c>
      <c r="FJ36" s="79">
        <f>IF(COUNTA(EE36:FH36)=0, "", COUNTA(EE36:FH36) - SUMPRODUCT(--ISNUMBER(SEARCH("m", EE36:FH36))))</f>
        <v/>
      </c>
      <c r="FK36" s="79" t="n"/>
      <c r="FL36" s="79" t="n"/>
      <c r="FM36" s="79" t="n"/>
      <c r="FN36" s="79" t="n"/>
      <c r="FO36" s="79" t="n"/>
      <c r="FP36" s="79" t="n"/>
      <c r="FQ36" s="79" t="n"/>
      <c r="FR36" s="18" t="n"/>
      <c r="FS36" s="19" t="n"/>
      <c r="FT36" s="6" t="n"/>
      <c r="FU36" s="79" t="n"/>
      <c r="FV36" s="6" t="n"/>
      <c r="FW36" s="79" t="n"/>
      <c r="FX36" s="6" t="n"/>
      <c r="FY36" s="79" t="n"/>
      <c r="FZ36" s="6" t="n"/>
      <c r="GA36" s="79" t="n"/>
      <c r="GB36" s="6" t="n"/>
      <c r="GC36" s="79" t="n"/>
      <c r="GD36" s="18" t="n"/>
      <c r="GE36" s="80">
        <f>IFERROR(ROUND(AVERAGE(FK36,FM36,FO36,FQ36,FS36,FU36,FW36,FY36,GA36,GC36), 2), "")</f>
        <v/>
      </c>
      <c r="GF36" s="79" t="n"/>
      <c r="GG36" s="79" t="n"/>
      <c r="GH36" s="79" t="n"/>
      <c r="GI36" s="79" t="n"/>
      <c r="GJ36" s="79" t="n"/>
      <c r="GK36" s="79" t="n"/>
      <c r="GL36" s="79" t="n"/>
      <c r="GM36" s="18" t="n"/>
      <c r="GN36" s="19" t="n"/>
      <c r="GO36" s="6" t="n"/>
      <c r="GP36" s="79" t="n"/>
      <c r="GQ36" s="6" t="n"/>
      <c r="GR36" s="79" t="n"/>
      <c r="GS36" s="6" t="n"/>
      <c r="GT36" s="79" t="n"/>
      <c r="GU36" s="6" t="n"/>
      <c r="GV36" s="79" t="n"/>
      <c r="GW36" s="6" t="n"/>
      <c r="GX36" s="79" t="n"/>
      <c r="GY36" s="18" t="n"/>
      <c r="GZ36" s="79" t="n"/>
      <c r="HA36" s="79" t="n"/>
      <c r="HB36" s="79" t="n"/>
      <c r="HC36" s="79" t="n"/>
      <c r="HD36" s="79" t="n"/>
      <c r="HE36" s="79" t="n"/>
      <c r="HF36" s="79" t="n"/>
      <c r="HG36" s="79" t="n"/>
      <c r="HH36" s="18" t="n"/>
      <c r="HI36" s="19" t="n"/>
      <c r="HJ36" s="6">
        <f>IF(COUNTA(GF36:HI36)=0, "", SUMPRODUCT(--ISNUMBER(SEARCH("m", GF36:HI36))))</f>
        <v/>
      </c>
      <c r="HK36" s="79">
        <f>IF(COUNTA(GF36:HI36)=0, "", COUNTA(GF36:HI36) - SUMPRODUCT(--ISNUMBER(SEARCH("m", GF36:HI36))))</f>
        <v/>
      </c>
      <c r="HL36" s="6" t="n"/>
      <c r="HM36" s="79" t="n"/>
      <c r="HN36" s="6" t="n"/>
      <c r="HO36" s="79" t="n"/>
      <c r="HP36" s="6" t="n"/>
      <c r="HQ36" s="79" t="n"/>
      <c r="HR36" s="6" t="n"/>
      <c r="HS36" s="79" t="n"/>
      <c r="HT36" s="18" t="n"/>
      <c r="HU36" s="79" t="n"/>
      <c r="HV36" s="79" t="n"/>
      <c r="HW36" s="79" t="n"/>
      <c r="HX36" s="79" t="n"/>
      <c r="HY36" s="79" t="n"/>
      <c r="HZ36" s="79" t="n"/>
      <c r="IA36" s="79" t="n"/>
      <c r="IB36" s="79" t="n"/>
      <c r="IC36" s="18" t="n"/>
      <c r="ID36" s="19" t="n"/>
      <c r="IE36" s="6" t="n"/>
      <c r="IF36" s="80">
        <f>IFERROR(ROUND(AVERAGE(HL36,HN36,HP36,HR36,HT36,HV36,HX36,HZ36,IB36,ID36), 2), "")</f>
        <v/>
      </c>
      <c r="IG36" s="6" t="n"/>
      <c r="IH36" s="79" t="n"/>
      <c r="II36" s="6" t="n"/>
      <c r="IJ36" s="79" t="n"/>
      <c r="IK36" s="6" t="n"/>
      <c r="IL36" s="79" t="n"/>
      <c r="IM36" s="6" t="n"/>
      <c r="IN36" s="79" t="n"/>
      <c r="IO36" s="18" t="n"/>
      <c r="IP36" s="79" t="n"/>
      <c r="IQ36" s="79" t="n"/>
      <c r="IR36" s="79" t="n"/>
      <c r="IS36" s="79" t="n"/>
      <c r="IT36" s="79" t="n"/>
      <c r="IU36" s="79" t="n"/>
      <c r="IV36" s="79" t="n"/>
      <c r="IW36" s="79" t="n"/>
      <c r="IX36" s="18" t="n"/>
      <c r="IY36" s="19" t="n"/>
      <c r="IZ36" s="6" t="n"/>
      <c r="JA36" s="79" t="n"/>
      <c r="JB36" s="6" t="n"/>
      <c r="JC36" s="79" t="n"/>
      <c r="JD36" s="6" t="n"/>
      <c r="JE36" s="79" t="n"/>
      <c r="JF36" s="6" t="n"/>
      <c r="JG36" s="79" t="n"/>
      <c r="JH36" s="6" t="n"/>
      <c r="JI36" s="79" t="n"/>
      <c r="JJ36" s="18" t="n"/>
      <c r="JK36" s="79">
        <f>IF(COUNTA(IG36:JJ36)=0, "", SUMPRODUCT(--ISNUMBER(SEARCH("m", IG36:JJ36))))</f>
        <v/>
      </c>
      <c r="JL36" s="79">
        <f>IF(COUNTA(IG36:JJ36)=0, "", COUNTA(IG36:JJ36) - SUMPRODUCT(--ISNUMBER(SEARCH("m", IG36:JJ36))))</f>
        <v/>
      </c>
      <c r="JM36" s="79" t="n"/>
      <c r="JN36" s="79" t="n"/>
      <c r="JO36" s="79" t="n"/>
      <c r="JP36" s="79" t="n"/>
      <c r="JQ36" s="79" t="n"/>
      <c r="JR36" s="79" t="n"/>
      <c r="JS36" s="18" t="n"/>
      <c r="JT36" s="19" t="n"/>
      <c r="JU36" s="6" t="n"/>
      <c r="JV36" s="79" t="n"/>
      <c r="JW36" s="6" t="n"/>
      <c r="JX36" s="79" t="n"/>
      <c r="JY36" s="6" t="n"/>
      <c r="JZ36" s="79" t="n"/>
      <c r="KA36" s="6" t="n"/>
      <c r="KB36" s="79" t="n"/>
      <c r="KC36" s="6" t="n"/>
      <c r="KD36" s="79" t="n"/>
      <c r="KE36" s="18" t="n"/>
      <c r="KF36" s="79" t="n"/>
      <c r="KG36" s="80">
        <f>IFERROR(ROUND(AVERAGE(JM36,JO36,JQ36,JS36,JU36,JW36,JY36,KA36,KC36,KE36), 2), "")</f>
        <v/>
      </c>
      <c r="KH36" s="79" t="n"/>
      <c r="KI36" s="79" t="n"/>
      <c r="KJ36" s="79" t="n"/>
      <c r="KK36" s="79" t="n"/>
      <c r="KL36" s="79" t="n"/>
      <c r="KM36" s="79" t="n"/>
      <c r="KN36" s="18" t="n"/>
      <c r="KO36" s="19" t="n"/>
      <c r="KP36" s="6" t="n"/>
      <c r="KQ36" s="6" t="n"/>
      <c r="KR36" s="6" t="n"/>
      <c r="KS36" s="6" t="n"/>
      <c r="KT36" s="6" t="n"/>
      <c r="KU36" s="6" t="n"/>
      <c r="KV36" s="6" t="n"/>
      <c r="KW36" s="6" t="n"/>
      <c r="KX36" s="6" t="n"/>
      <c r="KY36" s="6" t="n"/>
      <c r="KZ36" s="6" t="n"/>
      <c r="LA36" s="6" t="n"/>
      <c r="LB36" s="6" t="n"/>
      <c r="LC36" s="6" t="n"/>
      <c r="LD36" s="6" t="n"/>
      <c r="LE36" s="6" t="n"/>
      <c r="LF36" s="6" t="n"/>
      <c r="LG36" s="6" t="n"/>
      <c r="LH36" s="6" t="n"/>
      <c r="LI36" s="6" t="n"/>
      <c r="LJ36" s="6" t="n"/>
      <c r="LK36" s="6" t="n"/>
      <c r="LL36" s="6">
        <f>IF(COUNTA(KH36:LK36)=0, "", SUMPRODUCT(--ISNUMBER(SEARCH("m", KH36:LK36))))</f>
        <v/>
      </c>
      <c r="LM36" s="6">
        <f>IF(COUNTA(KH36:LK36)=0, "", COUNTA(KH36:LK36) - SUMPRODUCT(--ISNUMBER(SEARCH("m", KH36:LK36))))</f>
        <v/>
      </c>
      <c r="LN36" s="6" t="n"/>
      <c r="LO36" s="6" t="n"/>
      <c r="LP36" s="6" t="n"/>
      <c r="LQ36" s="6" t="n"/>
      <c r="LR36" s="6" t="n"/>
      <c r="LS36" s="6" t="n"/>
      <c r="LT36" s="6" t="n"/>
      <c r="LU36" s="6" t="n"/>
      <c r="LV36" s="6" t="n"/>
      <c r="LW36" s="6" t="n"/>
      <c r="LX36" s="6" t="n"/>
      <c r="LY36" s="6" t="n"/>
      <c r="LZ36" s="6" t="n"/>
      <c r="MA36" s="6" t="n"/>
      <c r="MB36" s="6" t="n"/>
      <c r="MC36" s="6" t="n"/>
      <c r="MD36" s="6" t="n"/>
      <c r="ME36" s="6" t="n"/>
      <c r="MF36" s="6" t="n"/>
      <c r="MG36" s="6" t="n"/>
      <c r="MH36" s="20">
        <f>IFERROR(ROUND(AVERAGE(LN36,LP36,LR36,LT36,LV36,LX36,LZ36,MB36,MD36,MF36), 2), "")</f>
        <v/>
      </c>
      <c r="MI36" s="6" t="n"/>
      <c r="MJ36" s="6" t="n"/>
      <c r="MK36" s="6" t="n"/>
      <c r="ML36" s="6" t="n"/>
      <c r="MM36" s="6" t="n"/>
      <c r="MN36" s="6" t="n"/>
      <c r="MO36" s="6" t="n"/>
      <c r="MP36" s="6" t="n"/>
      <c r="MQ36" s="6" t="n"/>
      <c r="MR36" s="6" t="n"/>
      <c r="MS36" s="6" t="n"/>
      <c r="MT36" s="6" t="n"/>
      <c r="MU36" s="6" t="n"/>
      <c r="MV36" s="6" t="n"/>
      <c r="MW36" s="6" t="n"/>
      <c r="MX36" s="6" t="n"/>
      <c r="MY36" s="6" t="n"/>
      <c r="MZ36" s="6" t="n"/>
      <c r="NA36" s="6" t="n"/>
      <c r="NB36" s="6" t="n"/>
      <c r="NC36" s="6" t="n"/>
      <c r="ND36" s="6" t="n"/>
      <c r="NE36" s="6" t="n"/>
      <c r="NF36" s="6" t="n"/>
      <c r="NG36" s="6" t="n"/>
      <c r="NH36" s="6" t="n"/>
      <c r="NI36" s="6" t="n"/>
      <c r="NJ36" s="6" t="n"/>
      <c r="NK36" s="6" t="n"/>
      <c r="NL36" s="6" t="n"/>
      <c r="NM36" s="6">
        <f>IF(COUNTA(MI36:NL36)=0, "", SUMPRODUCT(--ISNUMBER(SEARCH("m", MI36:NL36))))</f>
        <v/>
      </c>
      <c r="NN36" s="6">
        <f>IF(COUNTA(MI36:NL36)=0, "", COUNTA(MI36:NL36) - SUMPRODUCT(--ISNUMBER(SEARCH("m", MI36:NL36))))</f>
        <v/>
      </c>
      <c r="NO36" s="6" t="n"/>
      <c r="NP36" s="6" t="n"/>
      <c r="NQ36" s="6" t="n"/>
      <c r="NR36" s="6" t="n"/>
      <c r="NS36" s="6" t="n"/>
      <c r="NT36" s="6" t="n"/>
      <c r="NU36" s="6" t="n"/>
      <c r="NV36" s="6" t="n"/>
      <c r="NW36" s="6" t="n"/>
      <c r="NX36" s="6" t="n"/>
      <c r="NY36" s="6" t="n"/>
      <c r="NZ36" s="6" t="n"/>
      <c r="OA36" s="6" t="n"/>
      <c r="OB36" s="6" t="n"/>
      <c r="OC36" s="6" t="n"/>
      <c r="OD36" s="6" t="n"/>
      <c r="OE36" s="6" t="n"/>
      <c r="OF36" s="6" t="n"/>
      <c r="OG36" s="6" t="n"/>
      <c r="OH36" s="6" t="n"/>
      <c r="OI36" s="20">
        <f>IFERROR(ROUND(AVERAGE(NO36,NQ36,NS36,NU36,NW36,NY36,OA36,OC36,OE36,OG36), 2), "")</f>
        <v/>
      </c>
      <c r="OJ36" s="6" t="n"/>
      <c r="OK36" s="6" t="n"/>
      <c r="OL36" s="6" t="n"/>
      <c r="OM36" s="6" t="n"/>
      <c r="ON36" s="6" t="n"/>
      <c r="OO36" s="6" t="n"/>
      <c r="OP36" s="6" t="n"/>
      <c r="OQ36" s="6" t="n"/>
      <c r="OR36" s="6" t="n"/>
      <c r="OS36" s="6" t="n"/>
      <c r="OT36" s="6" t="n"/>
      <c r="OU36" s="6" t="n"/>
      <c r="OV36" s="6" t="n"/>
      <c r="OW36" s="6" t="n"/>
      <c r="OX36" s="6" t="n"/>
      <c r="OY36" s="6" t="n"/>
      <c r="OZ36" s="6" t="n"/>
      <c r="PA36" s="6" t="n"/>
      <c r="PB36" s="6" t="n"/>
      <c r="PC36" s="6" t="n"/>
      <c r="PD36" s="6" t="n"/>
      <c r="PE36" s="6" t="n"/>
      <c r="PF36" s="6" t="n"/>
      <c r="PG36" s="6" t="n"/>
      <c r="PH36" s="6" t="n"/>
      <c r="PI36" s="6" t="n"/>
      <c r="PJ36" s="6" t="n"/>
      <c r="PK36" s="6" t="n"/>
      <c r="PL36" s="6" t="n"/>
      <c r="PM36" s="6" t="n"/>
      <c r="PN36" s="6">
        <f>IF(COUNTA(OJ36:PM36)=0, "", SUMPRODUCT(--ISNUMBER(SEARCH("m", OJ36:PM36))))</f>
        <v/>
      </c>
      <c r="PO36" s="6">
        <f>IF(COUNTA(OJ36:PM36)=0, "", COUNTA(OJ36:PM36) - SUMPRODUCT(--ISNUMBER(SEARCH("m", OJ36:PM36))))</f>
        <v/>
      </c>
      <c r="PP36" s="6" t="n"/>
      <c r="PQ36" s="6" t="n"/>
      <c r="PR36" s="6" t="n"/>
      <c r="PS36" s="6" t="n"/>
      <c r="PT36" s="6" t="n"/>
      <c r="PU36" s="6" t="n"/>
      <c r="PV36" s="6" t="n"/>
      <c r="PW36" s="6" t="n"/>
      <c r="PX36" s="6" t="n"/>
      <c r="PY36" s="6" t="n"/>
      <c r="PZ36" s="6" t="n"/>
      <c r="QA36" s="6" t="n"/>
      <c r="QB36" s="6" t="n"/>
      <c r="QC36" s="6" t="n"/>
      <c r="QD36" s="6" t="n"/>
      <c r="QE36" s="6" t="n"/>
      <c r="QF36" s="6" t="n"/>
      <c r="QG36" s="6" t="n"/>
      <c r="QH36" s="6" t="n"/>
      <c r="QI36" s="6" t="n"/>
      <c r="QJ36" s="20">
        <f>IFERROR(ROUND(AVERAGE(PP36,PR36,PT36,PV36,PX36,PZ36,QB36,QD36,QF36,QH36), 2), "")</f>
        <v/>
      </c>
      <c r="QK36" s="6" t="n"/>
      <c r="QL36" s="6" t="n"/>
      <c r="QM36" s="6" t="n"/>
      <c r="QN36" s="6" t="n"/>
      <c r="QO36" s="6" t="n"/>
      <c r="QP36" s="6" t="n"/>
      <c r="QQ36" s="6" t="n"/>
      <c r="QR36" s="6" t="n"/>
      <c r="QS36" s="6" t="n"/>
      <c r="QT36" s="6" t="n"/>
      <c r="QU36" s="6" t="n"/>
      <c r="QV36" s="6" t="n"/>
      <c r="QW36" s="6" t="n"/>
      <c r="QX36" s="6" t="n"/>
      <c r="QY36" s="6" t="n"/>
      <c r="QZ36" s="6" t="n"/>
      <c r="RA36" s="6" t="n"/>
      <c r="RB36" s="6" t="n"/>
      <c r="RC36" s="6" t="n"/>
      <c r="RD36" s="6" t="n"/>
      <c r="RE36" s="6" t="n"/>
      <c r="RF36" s="6" t="n"/>
      <c r="RG36" s="6" t="n"/>
      <c r="RH36" s="6" t="n"/>
      <c r="RI36" s="6" t="n"/>
      <c r="RJ36" s="6" t="n"/>
      <c r="RK36" s="6" t="n"/>
      <c r="RL36" s="6" t="n"/>
      <c r="RM36" s="6" t="n"/>
      <c r="RN36" s="6" t="n"/>
      <c r="RO36" s="6">
        <f>IF(COUNTA(QK36:RN36)=0, "", SUMPRODUCT(--ISNUMBER(SEARCH("m", QK36:RN36))))</f>
        <v/>
      </c>
      <c r="RP36" s="6">
        <f>IF(COUNTA(QK36:RN36)=0, "", COUNTA(QK36:RN36) - SUMPRODUCT(--ISNUMBER(SEARCH("m", QK36:RN36))))</f>
        <v/>
      </c>
      <c r="RQ36" s="6" t="n"/>
      <c r="RR36" s="6" t="n"/>
      <c r="RS36" s="6" t="n"/>
      <c r="RT36" s="6" t="n"/>
      <c r="RU36" s="6" t="n"/>
      <c r="RV36" s="6" t="n"/>
      <c r="RW36" s="6" t="n"/>
      <c r="RX36" s="6" t="n"/>
      <c r="RY36" s="6" t="n"/>
      <c r="RZ36" s="6" t="n"/>
      <c r="SA36" s="6" t="n"/>
      <c r="SB36" s="6" t="n"/>
      <c r="SC36" s="6" t="n"/>
      <c r="SD36" s="6" t="n"/>
      <c r="SE36" s="6" t="n"/>
      <c r="SF36" s="6" t="n"/>
      <c r="SG36" s="6" t="n"/>
      <c r="SH36" s="6" t="n"/>
      <c r="SI36" s="6" t="n"/>
      <c r="SJ36" s="6" t="n"/>
      <c r="SK36" s="20">
        <f>IFERROR(ROUND(AVERAGE(RQ36,RS36,RU36,RW36,RY36,SA36,SC36,SE36,SG36,SI36), 2), "")</f>
        <v/>
      </c>
      <c r="SL36" s="6" t="n"/>
      <c r="SM36" s="6" t="n"/>
      <c r="SN36" s="6" t="n"/>
      <c r="SO36" s="6" t="n"/>
      <c r="SP36" s="6" t="n"/>
      <c r="SQ36" s="6" t="n"/>
      <c r="SR36" s="6" t="n"/>
      <c r="SS36" s="6" t="n"/>
      <c r="ST36" s="6" t="n"/>
      <c r="SU36" s="6" t="n"/>
      <c r="SV36" s="6" t="n"/>
      <c r="SW36" s="6" t="n"/>
      <c r="SX36" s="6" t="n"/>
      <c r="SY36" s="6" t="n"/>
      <c r="SZ36" s="6" t="n"/>
      <c r="TA36" s="6" t="n"/>
      <c r="TB36" s="6" t="n"/>
      <c r="TC36" s="6" t="n"/>
      <c r="TD36" s="6" t="n"/>
      <c r="TE36" s="6" t="n"/>
      <c r="TF36" s="6" t="n"/>
      <c r="TG36" s="6" t="n"/>
      <c r="TH36" s="6" t="n"/>
      <c r="TI36" s="6" t="n"/>
      <c r="TJ36" s="6" t="n"/>
      <c r="TK36" s="6" t="n"/>
      <c r="TL36" s="6" t="n"/>
      <c r="TM36" s="6" t="n"/>
      <c r="TN36" s="6" t="n"/>
      <c r="TO36" s="6" t="n"/>
      <c r="TP36" s="6">
        <f>IF(COUNTA(SL36:TO36)=0, "", SUMPRODUCT(--ISNUMBER(SEARCH("m", SL36:TO36))))</f>
        <v/>
      </c>
      <c r="TQ36" s="6">
        <f>IF(COUNTA(SL36:TO36)=0, "", COUNTA(SL36:TO36) - SUMPRODUCT(--ISNUMBER(SEARCH("m", SL36:TO36))))</f>
        <v/>
      </c>
      <c r="TR36" s="6" t="n"/>
      <c r="TS36" s="6" t="n"/>
      <c r="TT36" s="6" t="n"/>
      <c r="TU36" s="6" t="n"/>
      <c r="TV36" s="6" t="n"/>
      <c r="TW36" s="6" t="n"/>
      <c r="TX36" s="6" t="n"/>
      <c r="TY36" s="6" t="n"/>
      <c r="TZ36" s="6" t="n"/>
      <c r="UA36" s="6" t="n"/>
      <c r="UB36" s="6" t="n"/>
      <c r="UC36" s="6" t="n"/>
      <c r="UD36" s="6" t="n"/>
      <c r="UE36" s="6" t="n"/>
      <c r="UF36" s="6" t="n"/>
      <c r="UG36" s="6" t="n"/>
      <c r="UH36" s="6" t="n"/>
      <c r="UI36" s="6" t="n"/>
      <c r="UJ36" s="6" t="n"/>
      <c r="UK36" s="6" t="n"/>
      <c r="UL36" s="20">
        <f>IFERROR(ROUND(AVERAGE(TR36,TT36,TV36,TX36,TZ36,UB36,UD36,UF36,UH36,UJ36), 2), "")</f>
        <v/>
      </c>
      <c r="UM36" s="6" t="n"/>
      <c r="UN36" s="6" t="n"/>
      <c r="UO36" s="6" t="n"/>
      <c r="UP36" s="6" t="n"/>
      <c r="UQ36" s="6" t="n"/>
      <c r="UR36" s="6" t="n"/>
      <c r="US36" s="6" t="n"/>
      <c r="UT36" s="6" t="n"/>
      <c r="UU36" s="6" t="n"/>
      <c r="UV36" s="6" t="n"/>
      <c r="UW36" s="6" t="n"/>
      <c r="UX36" s="6" t="n"/>
      <c r="UY36" s="6" t="n"/>
      <c r="UZ36" s="6" t="n"/>
      <c r="VA36" s="6" t="n"/>
      <c r="VB36" s="6" t="n"/>
      <c r="VC36" s="6" t="n"/>
      <c r="VD36" s="6" t="n"/>
      <c r="VE36" s="6" t="n"/>
      <c r="VF36" s="6" t="n"/>
      <c r="VG36" s="6" t="n"/>
      <c r="VH36" s="6" t="n"/>
      <c r="VI36" s="6" t="n"/>
      <c r="VJ36" s="6" t="n"/>
      <c r="VK36" s="6" t="n"/>
      <c r="VL36" s="6" t="n"/>
      <c r="VM36" s="6" t="n"/>
      <c r="VN36" s="6" t="n"/>
      <c r="VO36" s="6" t="n"/>
      <c r="VP36" s="6" t="n"/>
      <c r="VQ36" s="6">
        <f>IF(COUNTA(UM36:VP36)=0, "", SUMPRODUCT(--ISNUMBER(SEARCH("m", UM36:VP36))))</f>
        <v/>
      </c>
      <c r="VR36" s="6">
        <f>IF(COUNTA(UM36:VP36)=0, "", COUNTA(UM36:VP36) - SUMPRODUCT(--ISNUMBER(SEARCH("m", UM36:VP36))))</f>
        <v/>
      </c>
      <c r="VS36" s="6" t="n"/>
      <c r="VT36" s="6" t="n"/>
      <c r="VU36" s="6" t="n"/>
      <c r="VV36" s="6" t="n"/>
      <c r="VW36" s="6" t="n"/>
      <c r="VX36" s="6" t="n"/>
      <c r="VY36" s="6" t="n"/>
      <c r="VZ36" s="6" t="n"/>
      <c r="WA36" s="6" t="n"/>
      <c r="WB36" s="6" t="n"/>
      <c r="WC36" s="6" t="n"/>
      <c r="WD36" s="6" t="n"/>
      <c r="WE36" s="6" t="n"/>
      <c r="WF36" s="6" t="n"/>
      <c r="WG36" s="6" t="n"/>
      <c r="WH36" s="6" t="n"/>
      <c r="WI36" s="6" t="n"/>
      <c r="WJ36" s="6" t="n"/>
      <c r="WK36" s="6" t="n"/>
      <c r="WL36" s="6" t="n"/>
      <c r="WM36" s="20">
        <f>IFERROR(ROUND(AVERAGE(VS36,VU36,VW36,VY36,WA36,WC36,WE36,WG36,WI36,WK36), 2), "")</f>
        <v/>
      </c>
      <c r="WN36" s="6" t="n"/>
      <c r="WO36" s="6" t="n"/>
      <c r="WP36" s="6" t="n"/>
      <c r="WQ36" s="6" t="n"/>
      <c r="WR36" s="6" t="n"/>
      <c r="WS36" s="6" t="n"/>
      <c r="WT36" s="6" t="n"/>
      <c r="WU36" s="6" t="n"/>
      <c r="WV36" s="6" t="n"/>
      <c r="WW36" s="6" t="n"/>
      <c r="WX36" s="6" t="n"/>
      <c r="WY36" s="6" t="n"/>
      <c r="WZ36" s="6" t="n"/>
      <c r="XA36" s="6" t="n"/>
      <c r="XB36" s="6" t="n"/>
      <c r="XC36" s="6" t="n"/>
      <c r="XD36" s="6" t="n"/>
      <c r="XE36" s="6" t="n"/>
      <c r="XF36" s="6" t="n"/>
      <c r="XG36" s="6" t="n"/>
      <c r="XH36" s="6" t="n"/>
      <c r="XI36" s="6" t="n"/>
      <c r="XJ36" s="6" t="n"/>
      <c r="XK36" s="6" t="n"/>
      <c r="XL36" s="6" t="n"/>
      <c r="XM36" s="6" t="n"/>
      <c r="XN36" s="6" t="n"/>
      <c r="XO36" s="6" t="n"/>
      <c r="XP36" s="6" t="n"/>
      <c r="XQ36" s="6" t="n"/>
      <c r="XR36" s="6">
        <f>IF(COUNTA(WN36:XQ36)=0, "", SUMPRODUCT(--ISNUMBER(SEARCH("m", WN36:XQ36))))</f>
        <v/>
      </c>
      <c r="XS36" s="6">
        <f>IF(COUNTA(WN36:XQ36)=0, "", COUNTA(WN36:XQ36) - SUMPRODUCT(--ISNUMBER(SEARCH("m", WN36:XQ36))))</f>
        <v/>
      </c>
      <c r="XT36" s="6" t="n"/>
      <c r="XU36" s="6" t="n"/>
      <c r="XV36" s="6" t="n"/>
      <c r="XW36" s="6" t="n"/>
      <c r="XX36" s="6" t="n"/>
      <c r="XY36" s="6" t="n"/>
      <c r="XZ36" s="6" t="n"/>
      <c r="YA36" s="6" t="n"/>
      <c r="YB36" s="6" t="n"/>
      <c r="YC36" s="6" t="n"/>
      <c r="YD36" s="6" t="n"/>
      <c r="YE36" s="6" t="n"/>
      <c r="YF36" s="6" t="n"/>
      <c r="YG36" s="6" t="n"/>
      <c r="YH36" s="6" t="n"/>
      <c r="YI36" s="6" t="n"/>
      <c r="YJ36" s="6" t="n"/>
      <c r="YK36" s="6" t="n"/>
      <c r="YL36" s="6" t="n"/>
      <c r="YM36" s="6" t="n"/>
      <c r="YN36" s="20">
        <f>IFERROR(ROUND(AVERAGE(XT36,XV36,XX36,XZ36,YB36,YD36,YF36,YH36,YJ36,YL36), 2), "")</f>
        <v/>
      </c>
      <c r="YO36" s="6" t="n"/>
      <c r="YP36" s="6" t="n"/>
      <c r="YQ36" s="6" t="n"/>
      <c r="YR36" s="6" t="n"/>
      <c r="YS36" s="6" t="n"/>
      <c r="YT36" s="6" t="n"/>
      <c r="YU36" s="6" t="n"/>
      <c r="YV36" s="6" t="n"/>
      <c r="YW36" s="6" t="n"/>
      <c r="YX36" s="6" t="n"/>
      <c r="YY36" s="6" t="n"/>
      <c r="YZ36" s="6" t="n"/>
      <c r="ZA36" s="6" t="n"/>
      <c r="ZB36" s="6" t="n"/>
      <c r="ZC36" s="6" t="n"/>
      <c r="ZD36" s="6" t="n"/>
      <c r="ZE36" s="6" t="n"/>
      <c r="ZF36" s="6" t="n"/>
      <c r="ZG36" s="6" t="n"/>
      <c r="ZH36" s="6" t="n"/>
      <c r="ZI36" s="6" t="n"/>
      <c r="ZJ36" s="6" t="n"/>
      <c r="ZK36" s="6" t="n"/>
      <c r="ZL36" s="6" t="n"/>
      <c r="ZM36" s="6" t="n"/>
      <c r="ZN36" s="6" t="n"/>
      <c r="ZO36" s="6" t="n"/>
      <c r="ZP36" s="6" t="n"/>
      <c r="ZQ36" s="6" t="n"/>
      <c r="ZR36" s="6" t="n"/>
      <c r="ZS36" s="6">
        <f>IF(COUNTA(YO36:ZR36)=0, "", SUMPRODUCT(--ISNUMBER(SEARCH("m", YO36:ZR36))))</f>
        <v/>
      </c>
      <c r="ZT36" s="6">
        <f>IF(COUNTA(YO36:ZR36)=0, "", COUNTA(YO36:ZR36) - SUMPRODUCT(--ISNUMBER(SEARCH("m", YO36:ZR36))))</f>
        <v/>
      </c>
      <c r="ZU36" s="6" t="n"/>
      <c r="ZV36" s="6" t="n"/>
      <c r="ZW36" s="6" t="n"/>
      <c r="ZX36" s="6" t="n"/>
      <c r="ZY36" s="6" t="n"/>
      <c r="ZZ36" s="6" t="n"/>
      <c r="AAA36" s="6" t="n"/>
      <c r="AAB36" s="6" t="n"/>
      <c r="AAC36" s="6" t="n"/>
      <c r="AAD36" s="6" t="n"/>
      <c r="AAE36" s="6" t="n"/>
      <c r="AAF36" s="6" t="n"/>
      <c r="AAG36" s="6" t="n"/>
      <c r="AAH36" s="6" t="n"/>
      <c r="AAI36" s="6" t="n"/>
      <c r="AAJ36" s="6" t="n"/>
      <c r="AAK36" s="6" t="n"/>
      <c r="AAL36" s="6" t="n"/>
      <c r="AAM36" s="6" t="n"/>
      <c r="AAN36" s="6" t="n"/>
      <c r="AAO36" s="20">
        <f>IFERROR(ROUND(AVERAGE(ZU36,ZW36,ZY36,AAA36,AAC36,AAE36,AAG36,AAI36,AAK36,AAM36), 2), "")</f>
        <v/>
      </c>
      <c r="AAP36" s="6" t="n"/>
      <c r="AAQ36" s="6" t="n"/>
      <c r="AAR36" s="6" t="n"/>
      <c r="AAS36" s="6" t="n"/>
      <c r="AAT36" s="6" t="n"/>
      <c r="AAU36" s="6" t="n"/>
      <c r="AAV36" s="6" t="n"/>
      <c r="AAW36" s="6" t="n"/>
      <c r="AAX36" s="6" t="n"/>
      <c r="AAY36" s="6" t="n"/>
      <c r="AAZ36" s="6" t="n"/>
      <c r="ABA36" s="6" t="n"/>
      <c r="ABB36" s="6" t="n"/>
      <c r="ABC36" s="6" t="n"/>
      <c r="ABD36" s="6" t="n"/>
      <c r="ABE36" s="6" t="n"/>
      <c r="ABF36" s="6" t="n"/>
      <c r="ABG36" s="6" t="n"/>
      <c r="ABH36" s="6" t="n"/>
      <c r="ABI36" s="6" t="n"/>
      <c r="ABJ36" s="6" t="n"/>
      <c r="ABK36" s="6" t="n"/>
      <c r="ABL36" s="6" t="n"/>
      <c r="ABM36" s="6" t="n"/>
      <c r="ABN36" s="6" t="n"/>
      <c r="ABO36" s="6" t="n"/>
      <c r="ABP36" s="6" t="n"/>
      <c r="ABQ36" s="6" t="n"/>
      <c r="ABR36" s="6" t="n"/>
      <c r="ABS36" s="6" t="n"/>
      <c r="ABT36" s="6">
        <f>IF(COUNTA(AAP36:ABS36)=0, "", SUMPRODUCT(--ISNUMBER(SEARCH("m", AAP36:ABS36))))</f>
        <v/>
      </c>
      <c r="ABU36" s="6">
        <f>IF(COUNTA(AAP36:ABS36)=0, "", COUNTA(AAP36:ABS36) - SUMPRODUCT(--ISNUMBER(SEARCH("m", AAP36:ABS36))))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8">
        <f>IFERROR(ROUND(AVERAGE(AB37,CC37,ED37,GE37,IF37,KG37,MH37,OI37,QJ37,SK37,UL37,WM37,YN37,AAO37), 2), "")</f>
        <v/>
      </c>
      <c r="F37" s="14">
        <f>IF(SUM(BH37,DI37,FJ37,HK37,JL37,LM37,NN37,PO37,RP37,TQ37,VR37,XS37,ZT37,ABU37)=0, "", SUM(BH37,DI37,FJ37,HK37,JL37,LM37,NN37,PO37,RP37,TQ37,VR37,XS37,ZT37,ABU37))</f>
        <v/>
      </c>
      <c r="G37" s="8">
        <f>IF(SUM(BG37,DH37,FI37,HJ37,JK37,LL37,NM37,PN37,RO37,TP37,VQ37,XR37,ZS37,ABT37)=0, "", SUM(BG37,DH37,FI37,HJ37,JK37,LL37,NM37,PN37,RO37,TP37,VQ37,XR37,ZS37,ABT37))</f>
        <v/>
      </c>
      <c r="H37" s="6" t="n"/>
      <c r="I37" s="79" t="n"/>
      <c r="J37" s="6" t="n"/>
      <c r="K37" s="79" t="n"/>
      <c r="L37" s="6" t="n"/>
      <c r="M37" s="79" t="n"/>
      <c r="N37" s="6" t="n"/>
      <c r="O37" s="79" t="n"/>
      <c r="P37" s="6" t="n"/>
      <c r="Q37" s="79" t="n"/>
      <c r="R37" s="18" t="n"/>
      <c r="S37" s="79" t="n"/>
      <c r="T37" s="79" t="n"/>
      <c r="U37" s="79" t="n"/>
      <c r="V37" s="79" t="n"/>
      <c r="W37" s="79" t="n"/>
      <c r="X37" s="79" t="n"/>
      <c r="Y37" s="79" t="n"/>
      <c r="Z37" s="79" t="n"/>
      <c r="AA37" s="18" t="n"/>
      <c r="AB37" s="14">
        <f>IFERROR(ROUND(AVERAGE(H37,J37,L37,N37,P37,R37,T37,V37,X37,Z37), 2), "")</f>
        <v/>
      </c>
      <c r="AC37" s="6" t="n"/>
      <c r="AD37" s="79" t="n"/>
      <c r="AE37" s="6" t="n"/>
      <c r="AF37" s="79" t="n"/>
      <c r="AG37" s="6" t="n"/>
      <c r="AH37" s="79" t="n"/>
      <c r="AI37" s="6" t="n"/>
      <c r="AJ37" s="79" t="n"/>
      <c r="AK37" s="6" t="n"/>
      <c r="AL37" s="79" t="n"/>
      <c r="AM37" s="18" t="n"/>
      <c r="AN37" s="79" t="n"/>
      <c r="AO37" s="79" t="n"/>
      <c r="AP37" s="79" t="n"/>
      <c r="AQ37" s="79" t="n"/>
      <c r="AR37" s="79" t="n"/>
      <c r="AS37" s="79" t="n"/>
      <c r="AT37" s="79" t="n"/>
      <c r="AU37" s="79" t="n"/>
      <c r="AV37" s="18" t="n"/>
      <c r="AW37" s="19" t="n"/>
      <c r="AX37" s="6" t="n"/>
      <c r="AY37" s="79" t="n"/>
      <c r="AZ37" s="6" t="n"/>
      <c r="BA37" s="79" t="n"/>
      <c r="BB37" s="6" t="n"/>
      <c r="BC37" s="79" t="n"/>
      <c r="BD37" s="6" t="n"/>
      <c r="BE37" s="79" t="n"/>
      <c r="BF37" s="6" t="n"/>
      <c r="BG37" s="79">
        <f>IF(COUNTA(AC37:BF37)=0, "", SUMPRODUCT(--ISNUMBER(SEARCH("m", AC37:BF37))))</f>
        <v/>
      </c>
      <c r="BH37" s="18">
        <f>IF(COUNTA(AC37:BF37)=0, "", COUNTA(AC37:BF37) - SUMPRODUCT(--ISNUMBER(SEARCH("m", AC37:BF37))))</f>
        <v/>
      </c>
      <c r="BI37" s="79" t="n"/>
      <c r="BJ37" s="79" t="n"/>
      <c r="BK37" s="79" t="n"/>
      <c r="BL37" s="79" t="n"/>
      <c r="BM37" s="79" t="n"/>
      <c r="BN37" s="79" t="n"/>
      <c r="BO37" s="79" t="n"/>
      <c r="BP37" s="79" t="n"/>
      <c r="BQ37" s="18" t="n"/>
      <c r="BR37" s="19" t="n"/>
      <c r="BS37" s="6" t="n"/>
      <c r="BT37" s="79" t="n"/>
      <c r="BU37" s="6" t="n"/>
      <c r="BV37" s="79" t="n"/>
      <c r="BW37" s="6" t="n"/>
      <c r="BX37" s="79" t="n"/>
      <c r="BY37" s="6" t="n"/>
      <c r="BZ37" s="79" t="n"/>
      <c r="CA37" s="6" t="n"/>
      <c r="CB37" s="79" t="n"/>
      <c r="CC37" s="8">
        <f>IFERROR(ROUND(AVERAGE(BI37,BK37,BM37,BO37,BQ37,BS37,BU37,BW37,BY37,CA37), 2), "")</f>
        <v/>
      </c>
      <c r="CD37" s="79" t="n"/>
      <c r="CE37" s="79" t="n"/>
      <c r="CF37" s="79" t="n"/>
      <c r="CG37" s="79" t="n"/>
      <c r="CH37" s="79" t="n"/>
      <c r="CI37" s="79" t="n"/>
      <c r="CJ37" s="79" t="n"/>
      <c r="CK37" s="79" t="n"/>
      <c r="CL37" s="18" t="n"/>
      <c r="CM37" s="19" t="n"/>
      <c r="CN37" s="6" t="n"/>
      <c r="CO37" s="79" t="n"/>
      <c r="CP37" s="6" t="n"/>
      <c r="CQ37" s="79" t="n"/>
      <c r="CR37" s="6" t="n"/>
      <c r="CS37" s="79" t="n"/>
      <c r="CT37" s="6" t="n"/>
      <c r="CU37" s="79" t="n"/>
      <c r="CV37" s="6" t="n"/>
      <c r="CW37" s="79" t="n"/>
      <c r="CX37" s="18" t="n"/>
      <c r="CY37" s="79" t="n"/>
      <c r="CZ37" s="79" t="n"/>
      <c r="DA37" s="79" t="n"/>
      <c r="DB37" s="79" t="n"/>
      <c r="DC37" s="79" t="n"/>
      <c r="DD37" s="79" t="n"/>
      <c r="DE37" s="79" t="n"/>
      <c r="DF37" s="79" t="n"/>
      <c r="DG37" s="18" t="n"/>
      <c r="DH37" s="19">
        <f>IF(COUNTA(CD37:DG37)=0, "", SUMPRODUCT(--ISNUMBER(SEARCH("m", CD37:DG37))))</f>
        <v/>
      </c>
      <c r="DI37" s="6">
        <f>IF(COUNTA(CD37:DG37)=0, "", COUNTA(CD37:DG37) - SUMPRODUCT(--ISNUMBER(SEARCH("m", CD37:DG37))))</f>
        <v/>
      </c>
      <c r="DJ37" s="79" t="n"/>
      <c r="DK37" s="6" t="n"/>
      <c r="DL37" s="79" t="n"/>
      <c r="DM37" s="6" t="n"/>
      <c r="DN37" s="79" t="n"/>
      <c r="DO37" s="6" t="n"/>
      <c r="DP37" s="79" t="n"/>
      <c r="DQ37" s="6" t="n"/>
      <c r="DR37" s="79" t="n"/>
      <c r="DS37" s="18" t="n"/>
      <c r="DT37" s="79" t="n"/>
      <c r="DU37" s="79" t="n"/>
      <c r="DV37" s="79" t="n"/>
      <c r="DW37" s="79" t="n"/>
      <c r="DX37" s="79" t="n"/>
      <c r="DY37" s="79" t="n"/>
      <c r="DZ37" s="79" t="n"/>
      <c r="EA37" s="79" t="n"/>
      <c r="EB37" s="18" t="n"/>
      <c r="EC37" s="19" t="n"/>
      <c r="ED37" s="20">
        <f>IFERROR(ROUND(AVERAGE(DJ37,DL37,DN37,DP37,DR37,DT37,DV37,DX37,DZ37,EB37), 2), "")</f>
        <v/>
      </c>
      <c r="EE37" s="79" t="n"/>
      <c r="EF37" s="6" t="n"/>
      <c r="EG37" s="79" t="n"/>
      <c r="EH37" s="6" t="n"/>
      <c r="EI37" s="79" t="n"/>
      <c r="EJ37" s="6" t="n"/>
      <c r="EK37" s="79" t="n"/>
      <c r="EL37" s="6" t="n"/>
      <c r="EM37" s="79" t="n"/>
      <c r="EN37" s="18" t="n"/>
      <c r="EO37" s="79" t="n"/>
      <c r="EP37" s="79" t="n"/>
      <c r="EQ37" s="79" t="n"/>
      <c r="ER37" s="79" t="n"/>
      <c r="ES37" s="79" t="n"/>
      <c r="ET37" s="79" t="n"/>
      <c r="EU37" s="79" t="n"/>
      <c r="EV37" s="79" t="n"/>
      <c r="EW37" s="18" t="n"/>
      <c r="EX37" s="19" t="n"/>
      <c r="EY37" s="6" t="n"/>
      <c r="EZ37" s="79" t="n"/>
      <c r="FA37" s="6" t="n"/>
      <c r="FB37" s="79" t="n"/>
      <c r="FC37" s="6" t="n"/>
      <c r="FD37" s="79" t="n"/>
      <c r="FE37" s="6" t="n"/>
      <c r="FF37" s="79" t="n"/>
      <c r="FG37" s="6" t="n"/>
      <c r="FH37" s="79" t="n"/>
      <c r="FI37" s="18">
        <f>IF(COUNTA(EE37:FH37)=0, "", SUMPRODUCT(--ISNUMBER(SEARCH("m", EE37:FH37))))</f>
        <v/>
      </c>
      <c r="FJ37" s="79">
        <f>IF(COUNTA(EE37:FH37)=0, "", COUNTA(EE37:FH37) - SUMPRODUCT(--ISNUMBER(SEARCH("m", EE37:FH37))))</f>
        <v/>
      </c>
      <c r="FK37" s="79" t="n"/>
      <c r="FL37" s="79" t="n"/>
      <c r="FM37" s="79" t="n"/>
      <c r="FN37" s="79" t="n"/>
      <c r="FO37" s="79" t="n"/>
      <c r="FP37" s="79" t="n"/>
      <c r="FQ37" s="79" t="n"/>
      <c r="FR37" s="18" t="n"/>
      <c r="FS37" s="19" t="n"/>
      <c r="FT37" s="6" t="n"/>
      <c r="FU37" s="79" t="n"/>
      <c r="FV37" s="6" t="n"/>
      <c r="FW37" s="79" t="n"/>
      <c r="FX37" s="6" t="n"/>
      <c r="FY37" s="79" t="n"/>
      <c r="FZ37" s="6" t="n"/>
      <c r="GA37" s="79" t="n"/>
      <c r="GB37" s="6" t="n"/>
      <c r="GC37" s="79" t="n"/>
      <c r="GD37" s="18" t="n"/>
      <c r="GE37" s="80">
        <f>IFERROR(ROUND(AVERAGE(FK37,FM37,FO37,FQ37,FS37,FU37,FW37,FY37,GA37,GC37), 2), "")</f>
        <v/>
      </c>
      <c r="GF37" s="79" t="n"/>
      <c r="GG37" s="79" t="n"/>
      <c r="GH37" s="79" t="n"/>
      <c r="GI37" s="79" t="n"/>
      <c r="GJ37" s="79" t="n"/>
      <c r="GK37" s="79" t="n"/>
      <c r="GL37" s="79" t="n"/>
      <c r="GM37" s="18" t="n"/>
      <c r="GN37" s="19" t="n"/>
      <c r="GO37" s="6" t="n"/>
      <c r="GP37" s="79" t="n"/>
      <c r="GQ37" s="6" t="n"/>
      <c r="GR37" s="79" t="n"/>
      <c r="GS37" s="6" t="n"/>
      <c r="GT37" s="79" t="n"/>
      <c r="GU37" s="6" t="n"/>
      <c r="GV37" s="79" t="n"/>
      <c r="GW37" s="6" t="n"/>
      <c r="GX37" s="79" t="n"/>
      <c r="GY37" s="18" t="n"/>
      <c r="GZ37" s="79" t="n"/>
      <c r="HA37" s="79" t="n"/>
      <c r="HB37" s="79" t="n"/>
      <c r="HC37" s="79" t="n"/>
      <c r="HD37" s="79" t="n"/>
      <c r="HE37" s="79" t="n"/>
      <c r="HF37" s="79" t="n"/>
      <c r="HG37" s="79" t="n"/>
      <c r="HH37" s="18" t="n"/>
      <c r="HI37" s="19" t="n"/>
      <c r="HJ37" s="6">
        <f>IF(COUNTA(GF37:HI37)=0, "", SUMPRODUCT(--ISNUMBER(SEARCH("m", GF37:HI37))))</f>
        <v/>
      </c>
      <c r="HK37" s="79">
        <f>IF(COUNTA(GF37:HI37)=0, "", COUNTA(GF37:HI37) - SUMPRODUCT(--ISNUMBER(SEARCH("m", GF37:HI37))))</f>
        <v/>
      </c>
      <c r="HL37" s="6" t="n"/>
      <c r="HM37" s="79" t="n"/>
      <c r="HN37" s="6" t="n"/>
      <c r="HO37" s="79" t="n"/>
      <c r="HP37" s="6" t="n"/>
      <c r="HQ37" s="79" t="n"/>
      <c r="HR37" s="6" t="n"/>
      <c r="HS37" s="79" t="n"/>
      <c r="HT37" s="18" t="n"/>
      <c r="HU37" s="79" t="n"/>
      <c r="HV37" s="79" t="n"/>
      <c r="HW37" s="79" t="n"/>
      <c r="HX37" s="79" t="n"/>
      <c r="HY37" s="79" t="n"/>
      <c r="HZ37" s="79" t="n"/>
      <c r="IA37" s="79" t="n"/>
      <c r="IB37" s="79" t="n"/>
      <c r="IC37" s="18" t="n"/>
      <c r="ID37" s="19" t="n"/>
      <c r="IE37" s="6" t="n"/>
      <c r="IF37" s="80">
        <f>IFERROR(ROUND(AVERAGE(HL37,HN37,HP37,HR37,HT37,HV37,HX37,HZ37,IB37,ID37), 2), "")</f>
        <v/>
      </c>
      <c r="IG37" s="6" t="n"/>
      <c r="IH37" s="79" t="n"/>
      <c r="II37" s="6" t="n"/>
      <c r="IJ37" s="79" t="n"/>
      <c r="IK37" s="6" t="n"/>
      <c r="IL37" s="79" t="n"/>
      <c r="IM37" s="6" t="n"/>
      <c r="IN37" s="79" t="n"/>
      <c r="IO37" s="18" t="n"/>
      <c r="IP37" s="79" t="n"/>
      <c r="IQ37" s="79" t="n"/>
      <c r="IR37" s="79" t="n"/>
      <c r="IS37" s="79" t="n"/>
      <c r="IT37" s="79" t="n"/>
      <c r="IU37" s="79" t="n"/>
      <c r="IV37" s="79" t="n"/>
      <c r="IW37" s="79" t="n"/>
      <c r="IX37" s="18" t="n"/>
      <c r="IY37" s="19" t="n"/>
      <c r="IZ37" s="6" t="n"/>
      <c r="JA37" s="79" t="n"/>
      <c r="JB37" s="6" t="n"/>
      <c r="JC37" s="79" t="n"/>
      <c r="JD37" s="6" t="n"/>
      <c r="JE37" s="79" t="n"/>
      <c r="JF37" s="6" t="n"/>
      <c r="JG37" s="79" t="n"/>
      <c r="JH37" s="6" t="n"/>
      <c r="JI37" s="79" t="n"/>
      <c r="JJ37" s="18" t="n"/>
      <c r="JK37" s="79">
        <f>IF(COUNTA(IG37:JJ37)=0, "", SUMPRODUCT(--ISNUMBER(SEARCH("m", IG37:JJ37))))</f>
        <v/>
      </c>
      <c r="JL37" s="79">
        <f>IF(COUNTA(IG37:JJ37)=0, "", COUNTA(IG37:JJ37) - SUMPRODUCT(--ISNUMBER(SEARCH("m", IG37:JJ37))))</f>
        <v/>
      </c>
      <c r="JM37" s="79" t="n"/>
      <c r="JN37" s="79" t="n"/>
      <c r="JO37" s="79" t="n"/>
      <c r="JP37" s="79" t="n"/>
      <c r="JQ37" s="79" t="n"/>
      <c r="JR37" s="79" t="n"/>
      <c r="JS37" s="18" t="n"/>
      <c r="JT37" s="19" t="n"/>
      <c r="JU37" s="6" t="n"/>
      <c r="JV37" s="79" t="n"/>
      <c r="JW37" s="6" t="n"/>
      <c r="JX37" s="79" t="n"/>
      <c r="JY37" s="6" t="n"/>
      <c r="JZ37" s="79" t="n"/>
      <c r="KA37" s="6" t="n"/>
      <c r="KB37" s="79" t="n"/>
      <c r="KC37" s="6" t="n"/>
      <c r="KD37" s="79" t="n"/>
      <c r="KE37" s="18" t="n"/>
      <c r="KF37" s="79" t="n"/>
      <c r="KG37" s="80">
        <f>IFERROR(ROUND(AVERAGE(JM37,JO37,JQ37,JS37,JU37,JW37,JY37,KA37,KC37,KE37), 2), "")</f>
        <v/>
      </c>
      <c r="KH37" s="79" t="n"/>
      <c r="KI37" s="79" t="n"/>
      <c r="KJ37" s="79" t="n"/>
      <c r="KK37" s="79" t="n"/>
      <c r="KL37" s="79" t="n"/>
      <c r="KM37" s="79" t="n"/>
      <c r="KN37" s="18" t="n"/>
      <c r="KO37" s="19" t="n"/>
      <c r="KP37" s="6" t="n"/>
      <c r="KQ37" s="6" t="n"/>
      <c r="KR37" s="6" t="n"/>
      <c r="KS37" s="6" t="n"/>
      <c r="KT37" s="6" t="n"/>
      <c r="KU37" s="6" t="n"/>
      <c r="KV37" s="6" t="n"/>
      <c r="KW37" s="6" t="n"/>
      <c r="KX37" s="6" t="n"/>
      <c r="KY37" s="6" t="n"/>
      <c r="KZ37" s="6" t="n"/>
      <c r="LA37" s="6" t="n"/>
      <c r="LB37" s="6" t="n"/>
      <c r="LC37" s="6" t="n"/>
      <c r="LD37" s="6" t="n"/>
      <c r="LE37" s="6" t="n"/>
      <c r="LF37" s="6" t="n"/>
      <c r="LG37" s="6" t="n"/>
      <c r="LH37" s="6" t="n"/>
      <c r="LI37" s="6" t="n"/>
      <c r="LJ37" s="6" t="n"/>
      <c r="LK37" s="6" t="n"/>
      <c r="LL37" s="6">
        <f>IF(COUNTA(KH37:LK37)=0, "", SUMPRODUCT(--ISNUMBER(SEARCH("m", KH37:LK37))))</f>
        <v/>
      </c>
      <c r="LM37" s="6">
        <f>IF(COUNTA(KH37:LK37)=0, "", COUNTA(KH37:LK37) - SUMPRODUCT(--ISNUMBER(SEARCH("m", KH37:LK37))))</f>
        <v/>
      </c>
      <c r="LN37" s="6" t="n"/>
      <c r="LO37" s="6" t="n"/>
      <c r="LP37" s="6" t="n"/>
      <c r="LQ37" s="6" t="n"/>
      <c r="LR37" s="6" t="n"/>
      <c r="LS37" s="6" t="n"/>
      <c r="LT37" s="6" t="n"/>
      <c r="LU37" s="6" t="n"/>
      <c r="LV37" s="6" t="n"/>
      <c r="LW37" s="6" t="n"/>
      <c r="LX37" s="6" t="n"/>
      <c r="LY37" s="6" t="n"/>
      <c r="LZ37" s="6" t="n"/>
      <c r="MA37" s="6" t="n"/>
      <c r="MB37" s="6" t="n"/>
      <c r="MC37" s="6" t="n"/>
      <c r="MD37" s="6" t="n"/>
      <c r="ME37" s="6" t="n"/>
      <c r="MF37" s="6" t="n"/>
      <c r="MG37" s="6" t="n"/>
      <c r="MH37" s="20">
        <f>IFERROR(ROUND(AVERAGE(LN37,LP37,LR37,LT37,LV37,LX37,LZ37,MB37,MD37,MF37), 2), "")</f>
        <v/>
      </c>
      <c r="MI37" s="6" t="n"/>
      <c r="MJ37" s="6" t="n"/>
      <c r="MK37" s="6" t="n"/>
      <c r="ML37" s="6" t="n"/>
      <c r="MM37" s="6" t="n"/>
      <c r="MN37" s="6" t="n"/>
      <c r="MO37" s="6" t="n"/>
      <c r="MP37" s="6" t="n"/>
      <c r="MQ37" s="6" t="n"/>
      <c r="MR37" s="6" t="n"/>
      <c r="MS37" s="6" t="n"/>
      <c r="MT37" s="6" t="n"/>
      <c r="MU37" s="6" t="n"/>
      <c r="MV37" s="6" t="n"/>
      <c r="MW37" s="6" t="n"/>
      <c r="MX37" s="6" t="n"/>
      <c r="MY37" s="6" t="n"/>
      <c r="MZ37" s="6" t="n"/>
      <c r="NA37" s="6" t="n"/>
      <c r="NB37" s="6" t="n"/>
      <c r="NC37" s="6" t="n"/>
      <c r="ND37" s="6" t="n"/>
      <c r="NE37" s="6" t="n"/>
      <c r="NF37" s="6" t="n"/>
      <c r="NG37" s="6" t="n"/>
      <c r="NH37" s="6" t="n"/>
      <c r="NI37" s="6" t="n"/>
      <c r="NJ37" s="6" t="n"/>
      <c r="NK37" s="6" t="n"/>
      <c r="NL37" s="6" t="n"/>
      <c r="NM37" s="6">
        <f>IF(COUNTA(MI37:NL37)=0, "", SUMPRODUCT(--ISNUMBER(SEARCH("m", MI37:NL37))))</f>
        <v/>
      </c>
      <c r="NN37" s="6">
        <f>IF(COUNTA(MI37:NL37)=0, "", COUNTA(MI37:NL37) - SUMPRODUCT(--ISNUMBER(SEARCH("m", MI37:NL37))))</f>
        <v/>
      </c>
      <c r="NO37" s="6" t="n"/>
      <c r="NP37" s="6" t="n"/>
      <c r="NQ37" s="6" t="n"/>
      <c r="NR37" s="6" t="n"/>
      <c r="NS37" s="6" t="n"/>
      <c r="NT37" s="6" t="n"/>
      <c r="NU37" s="6" t="n"/>
      <c r="NV37" s="6" t="n"/>
      <c r="NW37" s="6" t="n"/>
      <c r="NX37" s="6" t="n"/>
      <c r="NY37" s="6" t="n"/>
      <c r="NZ37" s="6" t="n"/>
      <c r="OA37" s="6" t="n"/>
      <c r="OB37" s="6" t="n"/>
      <c r="OC37" s="6" t="n"/>
      <c r="OD37" s="6" t="n"/>
      <c r="OE37" s="6" t="n"/>
      <c r="OF37" s="6" t="n"/>
      <c r="OG37" s="6" t="n"/>
      <c r="OH37" s="6" t="n"/>
      <c r="OI37" s="20">
        <f>IFERROR(ROUND(AVERAGE(NO37,NQ37,NS37,NU37,NW37,NY37,OA37,OC37,OE37,OG37), 2), "")</f>
        <v/>
      </c>
      <c r="OJ37" s="6" t="n"/>
      <c r="OK37" s="6" t="n"/>
      <c r="OL37" s="6" t="n"/>
      <c r="OM37" s="6" t="n"/>
      <c r="ON37" s="6" t="n"/>
      <c r="OO37" s="6" t="n"/>
      <c r="OP37" s="6" t="n"/>
      <c r="OQ37" s="6" t="n"/>
      <c r="OR37" s="6" t="n"/>
      <c r="OS37" s="6" t="n"/>
      <c r="OT37" s="6" t="n"/>
      <c r="OU37" s="6" t="n"/>
      <c r="OV37" s="6" t="n"/>
      <c r="OW37" s="6" t="n"/>
      <c r="OX37" s="6" t="n"/>
      <c r="OY37" s="6" t="n"/>
      <c r="OZ37" s="6" t="n"/>
      <c r="PA37" s="6" t="n"/>
      <c r="PB37" s="6" t="n"/>
      <c r="PC37" s="6" t="n"/>
      <c r="PD37" s="6" t="n"/>
      <c r="PE37" s="6" t="n"/>
      <c r="PF37" s="6" t="n"/>
      <c r="PG37" s="6" t="n"/>
      <c r="PH37" s="6" t="n"/>
      <c r="PI37" s="6" t="n"/>
      <c r="PJ37" s="6" t="n"/>
      <c r="PK37" s="6" t="n"/>
      <c r="PL37" s="6" t="n"/>
      <c r="PM37" s="6" t="n"/>
      <c r="PN37" s="6">
        <f>IF(COUNTA(OJ37:PM37)=0, "", SUMPRODUCT(--ISNUMBER(SEARCH("m", OJ37:PM37))))</f>
        <v/>
      </c>
      <c r="PO37" s="6">
        <f>IF(COUNTA(OJ37:PM37)=0, "", COUNTA(OJ37:PM37) - SUMPRODUCT(--ISNUMBER(SEARCH("m", OJ37:PM37))))</f>
        <v/>
      </c>
      <c r="PP37" s="6" t="n"/>
      <c r="PQ37" s="6" t="n"/>
      <c r="PR37" s="6" t="n"/>
      <c r="PS37" s="6" t="n"/>
      <c r="PT37" s="6" t="n"/>
      <c r="PU37" s="6" t="n"/>
      <c r="PV37" s="6" t="n"/>
      <c r="PW37" s="6" t="n"/>
      <c r="PX37" s="6" t="n"/>
      <c r="PY37" s="6" t="n"/>
      <c r="PZ37" s="6" t="n"/>
      <c r="QA37" s="6" t="n"/>
      <c r="QB37" s="6" t="n"/>
      <c r="QC37" s="6" t="n"/>
      <c r="QD37" s="6" t="n"/>
      <c r="QE37" s="6" t="n"/>
      <c r="QF37" s="6" t="n"/>
      <c r="QG37" s="6" t="n"/>
      <c r="QH37" s="6" t="n"/>
      <c r="QI37" s="6" t="n"/>
      <c r="QJ37" s="20">
        <f>IFERROR(ROUND(AVERAGE(PP37,PR37,PT37,PV37,PX37,PZ37,QB37,QD37,QF37,QH37), 2), "")</f>
        <v/>
      </c>
      <c r="QK37" s="6" t="n"/>
      <c r="QL37" s="6" t="n"/>
      <c r="QM37" s="6" t="n"/>
      <c r="QN37" s="6" t="n"/>
      <c r="QO37" s="6" t="n"/>
      <c r="QP37" s="6" t="n"/>
      <c r="QQ37" s="6" t="n"/>
      <c r="QR37" s="6" t="n"/>
      <c r="QS37" s="6" t="n"/>
      <c r="QT37" s="6" t="n"/>
      <c r="QU37" s="6" t="n"/>
      <c r="QV37" s="6" t="n"/>
      <c r="QW37" s="6" t="n"/>
      <c r="QX37" s="6" t="n"/>
      <c r="QY37" s="6" t="n"/>
      <c r="QZ37" s="6" t="n"/>
      <c r="RA37" s="6" t="n"/>
      <c r="RB37" s="6" t="n"/>
      <c r="RC37" s="6" t="n"/>
      <c r="RD37" s="6" t="n"/>
      <c r="RE37" s="6" t="n"/>
      <c r="RF37" s="6" t="n"/>
      <c r="RG37" s="6" t="n"/>
      <c r="RH37" s="6" t="n"/>
      <c r="RI37" s="6" t="n"/>
      <c r="RJ37" s="6" t="n"/>
      <c r="RK37" s="6" t="n"/>
      <c r="RL37" s="6" t="n"/>
      <c r="RM37" s="6" t="n"/>
      <c r="RN37" s="6" t="n"/>
      <c r="RO37" s="6">
        <f>IF(COUNTA(QK37:RN37)=0, "", SUMPRODUCT(--ISNUMBER(SEARCH("m", QK37:RN37))))</f>
        <v/>
      </c>
      <c r="RP37" s="6">
        <f>IF(COUNTA(QK37:RN37)=0, "", COUNTA(QK37:RN37) - SUMPRODUCT(--ISNUMBER(SEARCH("m", QK37:RN37))))</f>
        <v/>
      </c>
      <c r="RQ37" s="6" t="n"/>
      <c r="RR37" s="6" t="n"/>
      <c r="RS37" s="6" t="n"/>
      <c r="RT37" s="6" t="n"/>
      <c r="RU37" s="6" t="n"/>
      <c r="RV37" s="6" t="n"/>
      <c r="RW37" s="6" t="n"/>
      <c r="RX37" s="6" t="n"/>
      <c r="RY37" s="6" t="n"/>
      <c r="RZ37" s="6" t="n"/>
      <c r="SA37" s="6" t="n"/>
      <c r="SB37" s="6" t="n"/>
      <c r="SC37" s="6" t="n"/>
      <c r="SD37" s="6" t="n"/>
      <c r="SE37" s="6" t="n"/>
      <c r="SF37" s="6" t="n"/>
      <c r="SG37" s="6" t="n"/>
      <c r="SH37" s="6" t="n"/>
      <c r="SI37" s="6" t="n"/>
      <c r="SJ37" s="6" t="n"/>
      <c r="SK37" s="20">
        <f>IFERROR(ROUND(AVERAGE(RQ37,RS37,RU37,RW37,RY37,SA37,SC37,SE37,SG37,SI37), 2), "")</f>
        <v/>
      </c>
      <c r="SL37" s="6" t="n"/>
      <c r="SM37" s="6" t="n"/>
      <c r="SN37" s="6" t="n"/>
      <c r="SO37" s="6" t="n"/>
      <c r="SP37" s="6" t="n"/>
      <c r="SQ37" s="6" t="n"/>
      <c r="SR37" s="6" t="n"/>
      <c r="SS37" s="6" t="n"/>
      <c r="ST37" s="6" t="n"/>
      <c r="SU37" s="6" t="n"/>
      <c r="SV37" s="6" t="n"/>
      <c r="SW37" s="6" t="n"/>
      <c r="SX37" s="6" t="n"/>
      <c r="SY37" s="6" t="n"/>
      <c r="SZ37" s="6" t="n"/>
      <c r="TA37" s="6" t="n"/>
      <c r="TB37" s="6" t="n"/>
      <c r="TC37" s="6" t="n"/>
      <c r="TD37" s="6" t="n"/>
      <c r="TE37" s="6" t="n"/>
      <c r="TF37" s="6" t="n"/>
      <c r="TG37" s="6" t="n"/>
      <c r="TH37" s="6" t="n"/>
      <c r="TI37" s="6" t="n"/>
      <c r="TJ37" s="6" t="n"/>
      <c r="TK37" s="6" t="n"/>
      <c r="TL37" s="6" t="n"/>
      <c r="TM37" s="6" t="n"/>
      <c r="TN37" s="6" t="n"/>
      <c r="TO37" s="6" t="n"/>
      <c r="TP37" s="6">
        <f>IF(COUNTA(SL37:TO37)=0, "", SUMPRODUCT(--ISNUMBER(SEARCH("m", SL37:TO37))))</f>
        <v/>
      </c>
      <c r="TQ37" s="6">
        <f>IF(COUNTA(SL37:TO37)=0, "", COUNTA(SL37:TO37) - SUMPRODUCT(--ISNUMBER(SEARCH("m", SL37:TO37))))</f>
        <v/>
      </c>
      <c r="TR37" s="6" t="n"/>
      <c r="TS37" s="6" t="n"/>
      <c r="TT37" s="6" t="n"/>
      <c r="TU37" s="6" t="n"/>
      <c r="TV37" s="6" t="n"/>
      <c r="TW37" s="6" t="n"/>
      <c r="TX37" s="6" t="n"/>
      <c r="TY37" s="6" t="n"/>
      <c r="TZ37" s="6" t="n"/>
      <c r="UA37" s="6" t="n"/>
      <c r="UB37" s="6" t="n"/>
      <c r="UC37" s="6" t="n"/>
      <c r="UD37" s="6" t="n"/>
      <c r="UE37" s="6" t="n"/>
      <c r="UF37" s="6" t="n"/>
      <c r="UG37" s="6" t="n"/>
      <c r="UH37" s="6" t="n"/>
      <c r="UI37" s="6" t="n"/>
      <c r="UJ37" s="6" t="n"/>
      <c r="UK37" s="6" t="n"/>
      <c r="UL37" s="20">
        <f>IFERROR(ROUND(AVERAGE(TR37,TT37,TV37,TX37,TZ37,UB37,UD37,UF37,UH37,UJ37), 2), "")</f>
        <v/>
      </c>
      <c r="UM37" s="6" t="n"/>
      <c r="UN37" s="6" t="n"/>
      <c r="UO37" s="6" t="n"/>
      <c r="UP37" s="6" t="n"/>
      <c r="UQ37" s="6" t="n"/>
      <c r="UR37" s="6" t="n"/>
      <c r="US37" s="6" t="n"/>
      <c r="UT37" s="6" t="n"/>
      <c r="UU37" s="6" t="n"/>
      <c r="UV37" s="6" t="n"/>
      <c r="UW37" s="6" t="n"/>
      <c r="UX37" s="6" t="n"/>
      <c r="UY37" s="6" t="n"/>
      <c r="UZ37" s="6" t="n"/>
      <c r="VA37" s="6" t="n"/>
      <c r="VB37" s="6" t="n"/>
      <c r="VC37" s="6" t="n"/>
      <c r="VD37" s="6" t="n"/>
      <c r="VE37" s="6" t="n"/>
      <c r="VF37" s="6" t="n"/>
      <c r="VG37" s="6" t="n"/>
      <c r="VH37" s="6" t="n"/>
      <c r="VI37" s="6" t="n"/>
      <c r="VJ37" s="6" t="n"/>
      <c r="VK37" s="6" t="n"/>
      <c r="VL37" s="6" t="n"/>
      <c r="VM37" s="6" t="n"/>
      <c r="VN37" s="6" t="n"/>
      <c r="VO37" s="6" t="n"/>
      <c r="VP37" s="6" t="n"/>
      <c r="VQ37" s="6">
        <f>IF(COUNTA(UM37:VP37)=0, "", SUMPRODUCT(--ISNUMBER(SEARCH("m", UM37:VP37))))</f>
        <v/>
      </c>
      <c r="VR37" s="6">
        <f>IF(COUNTA(UM37:VP37)=0, "", COUNTA(UM37:VP37) - SUMPRODUCT(--ISNUMBER(SEARCH("m", UM37:VP37))))</f>
        <v/>
      </c>
      <c r="VS37" s="6" t="n"/>
      <c r="VT37" s="6" t="n"/>
      <c r="VU37" s="6" t="n"/>
      <c r="VV37" s="6" t="n"/>
      <c r="VW37" s="6" t="n"/>
      <c r="VX37" s="6" t="n"/>
      <c r="VY37" s="6" t="n"/>
      <c r="VZ37" s="6" t="n"/>
      <c r="WA37" s="6" t="n"/>
      <c r="WB37" s="6" t="n"/>
      <c r="WC37" s="6" t="n"/>
      <c r="WD37" s="6" t="n"/>
      <c r="WE37" s="6" t="n"/>
      <c r="WF37" s="6" t="n"/>
      <c r="WG37" s="6" t="n"/>
      <c r="WH37" s="6" t="n"/>
      <c r="WI37" s="6" t="n"/>
      <c r="WJ37" s="6" t="n"/>
      <c r="WK37" s="6" t="n"/>
      <c r="WL37" s="6" t="n"/>
      <c r="WM37" s="20">
        <f>IFERROR(ROUND(AVERAGE(VS37,VU37,VW37,VY37,WA37,WC37,WE37,WG37,WI37,WK37), 2), "")</f>
        <v/>
      </c>
      <c r="WN37" s="6" t="n"/>
      <c r="WO37" s="6" t="n"/>
      <c r="WP37" s="6" t="n"/>
      <c r="WQ37" s="6" t="n"/>
      <c r="WR37" s="6" t="n"/>
      <c r="WS37" s="6" t="n"/>
      <c r="WT37" s="6" t="n"/>
      <c r="WU37" s="6" t="n"/>
      <c r="WV37" s="6" t="n"/>
      <c r="WW37" s="6" t="n"/>
      <c r="WX37" s="6" t="n"/>
      <c r="WY37" s="6" t="n"/>
      <c r="WZ37" s="6" t="n"/>
      <c r="XA37" s="6" t="n"/>
      <c r="XB37" s="6" t="n"/>
      <c r="XC37" s="6" t="n"/>
      <c r="XD37" s="6" t="n"/>
      <c r="XE37" s="6" t="n"/>
      <c r="XF37" s="6" t="n"/>
      <c r="XG37" s="6" t="n"/>
      <c r="XH37" s="6" t="n"/>
      <c r="XI37" s="6" t="n"/>
      <c r="XJ37" s="6" t="n"/>
      <c r="XK37" s="6" t="n"/>
      <c r="XL37" s="6" t="n"/>
      <c r="XM37" s="6" t="n"/>
      <c r="XN37" s="6" t="n"/>
      <c r="XO37" s="6" t="n"/>
      <c r="XP37" s="6" t="n"/>
      <c r="XQ37" s="6" t="n"/>
      <c r="XR37" s="6">
        <f>IF(COUNTA(WN37:XQ37)=0, "", SUMPRODUCT(--ISNUMBER(SEARCH("m", WN37:XQ37))))</f>
        <v/>
      </c>
      <c r="XS37" s="6">
        <f>IF(COUNTA(WN37:XQ37)=0, "", COUNTA(WN37:XQ37) - SUMPRODUCT(--ISNUMBER(SEARCH("m", WN37:XQ37))))</f>
        <v/>
      </c>
      <c r="XT37" s="6" t="n"/>
      <c r="XU37" s="6" t="n"/>
      <c r="XV37" s="6" t="n"/>
      <c r="XW37" s="6" t="n"/>
      <c r="XX37" s="6" t="n"/>
      <c r="XY37" s="6" t="n"/>
      <c r="XZ37" s="6" t="n"/>
      <c r="YA37" s="6" t="n"/>
      <c r="YB37" s="6" t="n"/>
      <c r="YC37" s="6" t="n"/>
      <c r="YD37" s="6" t="n"/>
      <c r="YE37" s="6" t="n"/>
      <c r="YF37" s="6" t="n"/>
      <c r="YG37" s="6" t="n"/>
      <c r="YH37" s="6" t="n"/>
      <c r="YI37" s="6" t="n"/>
      <c r="YJ37" s="6" t="n"/>
      <c r="YK37" s="6" t="n"/>
      <c r="YL37" s="6" t="n"/>
      <c r="YM37" s="6" t="n"/>
      <c r="YN37" s="20">
        <f>IFERROR(ROUND(AVERAGE(XT37,XV37,XX37,XZ37,YB37,YD37,YF37,YH37,YJ37,YL37), 2), "")</f>
        <v/>
      </c>
      <c r="YO37" s="6" t="n"/>
      <c r="YP37" s="6" t="n"/>
      <c r="YQ37" s="6" t="n"/>
      <c r="YR37" s="6" t="n"/>
      <c r="YS37" s="6" t="n"/>
      <c r="YT37" s="6" t="n"/>
      <c r="YU37" s="6" t="n"/>
      <c r="YV37" s="6" t="n"/>
      <c r="YW37" s="6" t="n"/>
      <c r="YX37" s="6" t="n"/>
      <c r="YY37" s="6" t="n"/>
      <c r="YZ37" s="6" t="n"/>
      <c r="ZA37" s="6" t="n"/>
      <c r="ZB37" s="6" t="n"/>
      <c r="ZC37" s="6" t="n"/>
      <c r="ZD37" s="6" t="n"/>
      <c r="ZE37" s="6" t="n"/>
      <c r="ZF37" s="6" t="n"/>
      <c r="ZG37" s="6" t="n"/>
      <c r="ZH37" s="6" t="n"/>
      <c r="ZI37" s="6" t="n"/>
      <c r="ZJ37" s="6" t="n"/>
      <c r="ZK37" s="6" t="n"/>
      <c r="ZL37" s="6" t="n"/>
      <c r="ZM37" s="6" t="n"/>
      <c r="ZN37" s="6" t="n"/>
      <c r="ZO37" s="6" t="n"/>
      <c r="ZP37" s="6" t="n"/>
      <c r="ZQ37" s="6" t="n"/>
      <c r="ZR37" s="6" t="n"/>
      <c r="ZS37" s="6">
        <f>IF(COUNTA(YO37:ZR37)=0, "", SUMPRODUCT(--ISNUMBER(SEARCH("m", YO37:ZR37))))</f>
        <v/>
      </c>
      <c r="ZT37" s="6">
        <f>IF(COUNTA(YO37:ZR37)=0, "", COUNTA(YO37:ZR37) - SUMPRODUCT(--ISNUMBER(SEARCH("m", YO37:ZR37))))</f>
        <v/>
      </c>
      <c r="ZU37" s="6" t="n"/>
      <c r="ZV37" s="6" t="n"/>
      <c r="ZW37" s="6" t="n"/>
      <c r="ZX37" s="6" t="n"/>
      <c r="ZY37" s="6" t="n"/>
      <c r="ZZ37" s="6" t="n"/>
      <c r="AAA37" s="6" t="n"/>
      <c r="AAB37" s="6" t="n"/>
      <c r="AAC37" s="6" t="n"/>
      <c r="AAD37" s="6" t="n"/>
      <c r="AAE37" s="6" t="n"/>
      <c r="AAF37" s="6" t="n"/>
      <c r="AAG37" s="6" t="n"/>
      <c r="AAH37" s="6" t="n"/>
      <c r="AAI37" s="6" t="n"/>
      <c r="AAJ37" s="6" t="n"/>
      <c r="AAK37" s="6" t="n"/>
      <c r="AAL37" s="6" t="n"/>
      <c r="AAM37" s="6" t="n"/>
      <c r="AAN37" s="6" t="n"/>
      <c r="AAO37" s="20">
        <f>IFERROR(ROUND(AVERAGE(ZU37,ZW37,ZY37,AAA37,AAC37,AAE37,AAG37,AAI37,AAK37,AAM37), 2), "")</f>
        <v/>
      </c>
      <c r="AAP37" s="6" t="n"/>
      <c r="AAQ37" s="6" t="n"/>
      <c r="AAR37" s="6" t="n"/>
      <c r="AAS37" s="6" t="n"/>
      <c r="AAT37" s="6" t="n"/>
      <c r="AAU37" s="6" t="n"/>
      <c r="AAV37" s="6" t="n"/>
      <c r="AAW37" s="6" t="n"/>
      <c r="AAX37" s="6" t="n"/>
      <c r="AAY37" s="6" t="n"/>
      <c r="AAZ37" s="6" t="n"/>
      <c r="ABA37" s="6" t="n"/>
      <c r="ABB37" s="6" t="n"/>
      <c r="ABC37" s="6" t="n"/>
      <c r="ABD37" s="6" t="n"/>
      <c r="ABE37" s="6" t="n"/>
      <c r="ABF37" s="6" t="n"/>
      <c r="ABG37" s="6" t="n"/>
      <c r="ABH37" s="6" t="n"/>
      <c r="ABI37" s="6" t="n"/>
      <c r="ABJ37" s="6" t="n"/>
      <c r="ABK37" s="6" t="n"/>
      <c r="ABL37" s="6" t="n"/>
      <c r="ABM37" s="6" t="n"/>
      <c r="ABN37" s="6" t="n"/>
      <c r="ABO37" s="6" t="n"/>
      <c r="ABP37" s="6" t="n"/>
      <c r="ABQ37" s="6" t="n"/>
      <c r="ABR37" s="6" t="n"/>
      <c r="ABS37" s="6" t="n"/>
      <c r="ABT37" s="6">
        <f>IF(COUNTA(AAP37:ABS37)=0, "", SUMPRODUCT(--ISNUMBER(SEARCH("m", AAP37:ABS37))))</f>
        <v/>
      </c>
      <c r="ABU37" s="6">
        <f>IF(COUNTA(AAP37:ABS37)=0, "", COUNTA(AAP37:ABS37) - SUMPRODUCT(--ISNUMBER(SEARCH("m", AAP37:ABS37))))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8">
        <f>IFERROR(ROUND(AVERAGE(AB38,CC38,ED38,GE38,IF38,KG38,MH38,OI38,QJ38,SK38,UL38,WM38,YN38,AAO38), 2), "")</f>
        <v/>
      </c>
      <c r="F38" s="14">
        <f>IF(SUM(BH38,DI38,FJ38,HK38,JL38,LM38,NN38,PO38,RP38,TQ38,VR38,XS38,ZT38,ABU38)=0, "", SUM(BH38,DI38,FJ38,HK38,JL38,LM38,NN38,PO38,RP38,TQ38,VR38,XS38,ZT38,ABU38))</f>
        <v/>
      </c>
      <c r="G38" s="8">
        <f>IF(SUM(BG38,DH38,FI38,HJ38,JK38,LL38,NM38,PN38,RO38,TP38,VQ38,XR38,ZS38,ABT38)=0, "", SUM(BG38,DH38,FI38,HJ38,JK38,LL38,NM38,PN38,RO38,TP38,VQ38,XR38,ZS38,ABT38))</f>
        <v/>
      </c>
      <c r="H38" s="6" t="n"/>
      <c r="I38" s="79" t="n"/>
      <c r="J38" s="6" t="n"/>
      <c r="K38" s="79" t="n"/>
      <c r="L38" s="6" t="n"/>
      <c r="M38" s="79" t="n"/>
      <c r="N38" s="6" t="n"/>
      <c r="O38" s="79" t="n"/>
      <c r="P38" s="6" t="n"/>
      <c r="Q38" s="79" t="n"/>
      <c r="R38" s="18" t="n"/>
      <c r="S38" s="79" t="n"/>
      <c r="T38" s="79" t="n"/>
      <c r="U38" s="79" t="n"/>
      <c r="V38" s="79" t="n"/>
      <c r="W38" s="79" t="n"/>
      <c r="X38" s="79" t="n"/>
      <c r="Y38" s="79" t="n"/>
      <c r="Z38" s="79" t="n"/>
      <c r="AA38" s="18" t="n"/>
      <c r="AB38" s="14">
        <f>IFERROR(ROUND(AVERAGE(H38,J38,L38,N38,P38,R38,T38,V38,X38,Z38), 2), "")</f>
        <v/>
      </c>
      <c r="AC38" s="6" t="n"/>
      <c r="AD38" s="79" t="n"/>
      <c r="AE38" s="6" t="n"/>
      <c r="AF38" s="79" t="n"/>
      <c r="AG38" s="6" t="n"/>
      <c r="AH38" s="79" t="n"/>
      <c r="AI38" s="6" t="n"/>
      <c r="AJ38" s="79" t="n"/>
      <c r="AK38" s="6" t="n"/>
      <c r="AL38" s="79" t="n"/>
      <c r="AM38" s="18" t="n"/>
      <c r="AN38" s="79" t="n"/>
      <c r="AO38" s="79" t="n"/>
      <c r="AP38" s="79" t="n"/>
      <c r="AQ38" s="79" t="n"/>
      <c r="AR38" s="79" t="n"/>
      <c r="AS38" s="79" t="n"/>
      <c r="AT38" s="79" t="n"/>
      <c r="AU38" s="79" t="n"/>
      <c r="AV38" s="18" t="n"/>
      <c r="AW38" s="19" t="n"/>
      <c r="AX38" s="6" t="n"/>
      <c r="AY38" s="79" t="n"/>
      <c r="AZ38" s="6" t="n"/>
      <c r="BA38" s="79" t="n"/>
      <c r="BB38" s="6" t="n"/>
      <c r="BC38" s="79" t="n"/>
      <c r="BD38" s="6" t="n"/>
      <c r="BE38" s="79" t="n"/>
      <c r="BF38" s="6" t="n"/>
      <c r="BG38" s="79">
        <f>IF(COUNTA(AC38:BF38)=0, "", SUMPRODUCT(--ISNUMBER(SEARCH("m", AC38:BF38))))</f>
        <v/>
      </c>
      <c r="BH38" s="18">
        <f>IF(COUNTA(AC38:BF38)=0, "", COUNTA(AC38:BF38) - SUMPRODUCT(--ISNUMBER(SEARCH("m", AC38:BF38))))</f>
        <v/>
      </c>
      <c r="BI38" s="79" t="n"/>
      <c r="BJ38" s="79" t="n"/>
      <c r="BK38" s="79" t="n"/>
      <c r="BL38" s="79" t="n"/>
      <c r="BM38" s="79" t="n"/>
      <c r="BN38" s="79" t="n"/>
      <c r="BO38" s="79" t="n"/>
      <c r="BP38" s="79" t="n"/>
      <c r="BQ38" s="18" t="n"/>
      <c r="BR38" s="19" t="n"/>
      <c r="BS38" s="6" t="n"/>
      <c r="BT38" s="79" t="n"/>
      <c r="BU38" s="6" t="n"/>
      <c r="BV38" s="79" t="n"/>
      <c r="BW38" s="6" t="n"/>
      <c r="BX38" s="79" t="n"/>
      <c r="BY38" s="6" t="n"/>
      <c r="BZ38" s="79" t="n"/>
      <c r="CA38" s="6" t="n"/>
      <c r="CB38" s="79" t="n"/>
      <c r="CC38" s="8">
        <f>IFERROR(ROUND(AVERAGE(BI38,BK38,BM38,BO38,BQ38,BS38,BU38,BW38,BY38,CA38), 2), "")</f>
        <v/>
      </c>
      <c r="CD38" s="79" t="n"/>
      <c r="CE38" s="79" t="n"/>
      <c r="CF38" s="79" t="n"/>
      <c r="CG38" s="79" t="n"/>
      <c r="CH38" s="79" t="n"/>
      <c r="CI38" s="79" t="n"/>
      <c r="CJ38" s="79" t="n"/>
      <c r="CK38" s="79" t="n"/>
      <c r="CL38" s="18" t="n"/>
      <c r="CM38" s="19" t="n"/>
      <c r="CN38" s="6" t="n"/>
      <c r="CO38" s="79" t="n"/>
      <c r="CP38" s="6" t="n"/>
      <c r="CQ38" s="79" t="n"/>
      <c r="CR38" s="6" t="n"/>
      <c r="CS38" s="79" t="n"/>
      <c r="CT38" s="6" t="n"/>
      <c r="CU38" s="79" t="n"/>
      <c r="CV38" s="6" t="n"/>
      <c r="CW38" s="79" t="n"/>
      <c r="CX38" s="18" t="n"/>
      <c r="CY38" s="79" t="n"/>
      <c r="CZ38" s="79" t="n"/>
      <c r="DA38" s="79" t="n"/>
      <c r="DB38" s="79" t="n"/>
      <c r="DC38" s="79" t="n"/>
      <c r="DD38" s="79" t="n"/>
      <c r="DE38" s="79" t="n"/>
      <c r="DF38" s="79" t="n"/>
      <c r="DG38" s="18" t="n"/>
      <c r="DH38" s="19">
        <f>IF(COUNTA(CD38:DG38)=0, "", SUMPRODUCT(--ISNUMBER(SEARCH("m", CD38:DG38))))</f>
        <v/>
      </c>
      <c r="DI38" s="6">
        <f>IF(COUNTA(CD38:DG38)=0, "", COUNTA(CD38:DG38) - SUMPRODUCT(--ISNUMBER(SEARCH("m", CD38:DG38))))</f>
        <v/>
      </c>
      <c r="DJ38" s="79" t="n"/>
      <c r="DK38" s="6" t="n"/>
      <c r="DL38" s="79" t="n"/>
      <c r="DM38" s="6" t="n"/>
      <c r="DN38" s="79" t="n"/>
      <c r="DO38" s="6" t="n"/>
      <c r="DP38" s="79" t="n"/>
      <c r="DQ38" s="6" t="n"/>
      <c r="DR38" s="79" t="n"/>
      <c r="DS38" s="18" t="n"/>
      <c r="DT38" s="79" t="n"/>
      <c r="DU38" s="79" t="n"/>
      <c r="DV38" s="79" t="n"/>
      <c r="DW38" s="79" t="n"/>
      <c r="DX38" s="79" t="n"/>
      <c r="DY38" s="79" t="n"/>
      <c r="DZ38" s="79" t="n"/>
      <c r="EA38" s="79" t="n"/>
      <c r="EB38" s="18" t="n"/>
      <c r="EC38" s="19" t="n"/>
      <c r="ED38" s="20">
        <f>IFERROR(ROUND(AVERAGE(DJ38,DL38,DN38,DP38,DR38,DT38,DV38,DX38,DZ38,EB38), 2), "")</f>
        <v/>
      </c>
      <c r="EE38" s="79" t="n"/>
      <c r="EF38" s="6" t="n"/>
      <c r="EG38" s="79" t="n"/>
      <c r="EH38" s="6" t="n"/>
      <c r="EI38" s="79" t="n"/>
      <c r="EJ38" s="6" t="n"/>
      <c r="EK38" s="79" t="n"/>
      <c r="EL38" s="6" t="n"/>
      <c r="EM38" s="79" t="n"/>
      <c r="EN38" s="18" t="n"/>
      <c r="EO38" s="79" t="n"/>
      <c r="EP38" s="79" t="n"/>
      <c r="EQ38" s="79" t="n"/>
      <c r="ER38" s="79" t="n"/>
      <c r="ES38" s="79" t="n"/>
      <c r="ET38" s="79" t="n"/>
      <c r="EU38" s="79" t="n"/>
      <c r="EV38" s="79" t="n"/>
      <c r="EW38" s="18" t="n"/>
      <c r="EX38" s="19" t="n"/>
      <c r="EY38" s="6" t="n"/>
      <c r="EZ38" s="79" t="n"/>
      <c r="FA38" s="6" t="n"/>
      <c r="FB38" s="79" t="n"/>
      <c r="FC38" s="6" t="n"/>
      <c r="FD38" s="79" t="n"/>
      <c r="FE38" s="6" t="n"/>
      <c r="FF38" s="79" t="n"/>
      <c r="FG38" s="6" t="n"/>
      <c r="FH38" s="79" t="n"/>
      <c r="FI38" s="18">
        <f>IF(COUNTA(EE38:FH38)=0, "", SUMPRODUCT(--ISNUMBER(SEARCH("m", EE38:FH38))))</f>
        <v/>
      </c>
      <c r="FJ38" s="79">
        <f>IF(COUNTA(EE38:FH38)=0, "", COUNTA(EE38:FH38) - SUMPRODUCT(--ISNUMBER(SEARCH("m", EE38:FH38))))</f>
        <v/>
      </c>
      <c r="FK38" s="79" t="n"/>
      <c r="FL38" s="79" t="n"/>
      <c r="FM38" s="79" t="n"/>
      <c r="FN38" s="79" t="n"/>
      <c r="FO38" s="79" t="n"/>
      <c r="FP38" s="79" t="n"/>
      <c r="FQ38" s="79" t="n"/>
      <c r="FR38" s="18" t="n"/>
      <c r="FS38" s="19" t="n"/>
      <c r="FT38" s="6" t="n"/>
      <c r="FU38" s="79" t="n"/>
      <c r="FV38" s="6" t="n"/>
      <c r="FW38" s="79" t="n"/>
      <c r="FX38" s="6" t="n"/>
      <c r="FY38" s="79" t="n"/>
      <c r="FZ38" s="6" t="n"/>
      <c r="GA38" s="79" t="n"/>
      <c r="GB38" s="6" t="n"/>
      <c r="GC38" s="79" t="n"/>
      <c r="GD38" s="18" t="n"/>
      <c r="GE38" s="80">
        <f>IFERROR(ROUND(AVERAGE(FK38,FM38,FO38,FQ38,FS38,FU38,FW38,FY38,GA38,GC38), 2), "")</f>
        <v/>
      </c>
      <c r="GF38" s="79" t="n"/>
      <c r="GG38" s="79" t="n"/>
      <c r="GH38" s="79" t="n"/>
      <c r="GI38" s="79" t="n"/>
      <c r="GJ38" s="79" t="n"/>
      <c r="GK38" s="79" t="n"/>
      <c r="GL38" s="79" t="n"/>
      <c r="GM38" s="18" t="n"/>
      <c r="GN38" s="19" t="n"/>
      <c r="GO38" s="6" t="n"/>
      <c r="GP38" s="79" t="n"/>
      <c r="GQ38" s="6" t="n"/>
      <c r="GR38" s="79" t="n"/>
      <c r="GS38" s="6" t="n"/>
      <c r="GT38" s="79" t="n"/>
      <c r="GU38" s="6" t="n"/>
      <c r="GV38" s="79" t="n"/>
      <c r="GW38" s="6" t="n"/>
      <c r="GX38" s="79" t="n"/>
      <c r="GY38" s="18" t="n"/>
      <c r="GZ38" s="79" t="n"/>
      <c r="HA38" s="79" t="n"/>
      <c r="HB38" s="79" t="n"/>
      <c r="HC38" s="79" t="n"/>
      <c r="HD38" s="79" t="n"/>
      <c r="HE38" s="79" t="n"/>
      <c r="HF38" s="79" t="n"/>
      <c r="HG38" s="79" t="n"/>
      <c r="HH38" s="18" t="n"/>
      <c r="HI38" s="19" t="n"/>
      <c r="HJ38" s="6">
        <f>IF(COUNTA(GF38:HI38)=0, "", SUMPRODUCT(--ISNUMBER(SEARCH("m", GF38:HI38))))</f>
        <v/>
      </c>
      <c r="HK38" s="79">
        <f>IF(COUNTA(GF38:HI38)=0, "", COUNTA(GF38:HI38) - SUMPRODUCT(--ISNUMBER(SEARCH("m", GF38:HI38))))</f>
        <v/>
      </c>
      <c r="HL38" s="6" t="n"/>
      <c r="HM38" s="79" t="n"/>
      <c r="HN38" s="6" t="n"/>
      <c r="HO38" s="79" t="n"/>
      <c r="HP38" s="6" t="n"/>
      <c r="HQ38" s="79" t="n"/>
      <c r="HR38" s="6" t="n"/>
      <c r="HS38" s="79" t="n"/>
      <c r="HT38" s="18" t="n"/>
      <c r="HU38" s="79" t="n"/>
      <c r="HV38" s="79" t="n"/>
      <c r="HW38" s="79" t="n"/>
      <c r="HX38" s="79" t="n"/>
      <c r="HY38" s="79" t="n"/>
      <c r="HZ38" s="79" t="n"/>
      <c r="IA38" s="79" t="n"/>
      <c r="IB38" s="79" t="n"/>
      <c r="IC38" s="18" t="n"/>
      <c r="ID38" s="19" t="n"/>
      <c r="IE38" s="6" t="n"/>
      <c r="IF38" s="80">
        <f>IFERROR(ROUND(AVERAGE(HL38,HN38,HP38,HR38,HT38,HV38,HX38,HZ38,IB38,ID38), 2), "")</f>
        <v/>
      </c>
      <c r="IG38" s="6" t="n"/>
      <c r="IH38" s="79" t="n"/>
      <c r="II38" s="6" t="n"/>
      <c r="IJ38" s="79" t="n"/>
      <c r="IK38" s="6" t="n"/>
      <c r="IL38" s="79" t="n"/>
      <c r="IM38" s="6" t="n"/>
      <c r="IN38" s="79" t="n"/>
      <c r="IO38" s="18" t="n"/>
      <c r="IP38" s="79" t="n"/>
      <c r="IQ38" s="79" t="n"/>
      <c r="IR38" s="79" t="n"/>
      <c r="IS38" s="79" t="n"/>
      <c r="IT38" s="79" t="n"/>
      <c r="IU38" s="79" t="n"/>
      <c r="IV38" s="79" t="n"/>
      <c r="IW38" s="79" t="n"/>
      <c r="IX38" s="18" t="n"/>
      <c r="IY38" s="19" t="n"/>
      <c r="IZ38" s="6" t="n"/>
      <c r="JA38" s="79" t="n"/>
      <c r="JB38" s="6" t="n"/>
      <c r="JC38" s="79" t="n"/>
      <c r="JD38" s="6" t="n"/>
      <c r="JE38" s="79" t="n"/>
      <c r="JF38" s="6" t="n"/>
      <c r="JG38" s="79" t="n"/>
      <c r="JH38" s="6" t="n"/>
      <c r="JI38" s="79" t="n"/>
      <c r="JJ38" s="18" t="n"/>
      <c r="JK38" s="79">
        <f>IF(COUNTA(IG38:JJ38)=0, "", SUMPRODUCT(--ISNUMBER(SEARCH("m", IG38:JJ38))))</f>
        <v/>
      </c>
      <c r="JL38" s="79">
        <f>IF(COUNTA(IG38:JJ38)=0, "", COUNTA(IG38:JJ38) - SUMPRODUCT(--ISNUMBER(SEARCH("m", IG38:JJ38))))</f>
        <v/>
      </c>
      <c r="JM38" s="79" t="n"/>
      <c r="JN38" s="79" t="n"/>
      <c r="JO38" s="79" t="n"/>
      <c r="JP38" s="79" t="n"/>
      <c r="JQ38" s="79" t="n"/>
      <c r="JR38" s="79" t="n"/>
      <c r="JS38" s="18" t="n"/>
      <c r="JT38" s="19" t="n"/>
      <c r="JU38" s="6" t="n"/>
      <c r="JV38" s="79" t="n"/>
      <c r="JW38" s="6" t="n"/>
      <c r="JX38" s="79" t="n"/>
      <c r="JY38" s="6" t="n"/>
      <c r="JZ38" s="79" t="n"/>
      <c r="KA38" s="6" t="n"/>
      <c r="KB38" s="79" t="n"/>
      <c r="KC38" s="6" t="n"/>
      <c r="KD38" s="79" t="n"/>
      <c r="KE38" s="18" t="n"/>
      <c r="KF38" s="79" t="n"/>
      <c r="KG38" s="80">
        <f>IFERROR(ROUND(AVERAGE(JM38,JO38,JQ38,JS38,JU38,JW38,JY38,KA38,KC38,KE38), 2), "")</f>
        <v/>
      </c>
      <c r="KH38" s="79" t="n"/>
      <c r="KI38" s="79" t="n"/>
      <c r="KJ38" s="79" t="n"/>
      <c r="KK38" s="79" t="n"/>
      <c r="KL38" s="79" t="n"/>
      <c r="KM38" s="79" t="n"/>
      <c r="KN38" s="18" t="n"/>
      <c r="KO38" s="19" t="n"/>
      <c r="KP38" s="6" t="n"/>
      <c r="KQ38" s="6" t="n"/>
      <c r="KR38" s="6" t="n"/>
      <c r="KS38" s="6" t="n"/>
      <c r="KT38" s="6" t="n"/>
      <c r="KU38" s="6" t="n"/>
      <c r="KV38" s="6" t="n"/>
      <c r="KW38" s="6" t="n"/>
      <c r="KX38" s="6" t="n"/>
      <c r="KY38" s="6" t="n"/>
      <c r="KZ38" s="6" t="n"/>
      <c r="LA38" s="6" t="n"/>
      <c r="LB38" s="6" t="n"/>
      <c r="LC38" s="6" t="n"/>
      <c r="LD38" s="6" t="n"/>
      <c r="LE38" s="6" t="n"/>
      <c r="LF38" s="6" t="n"/>
      <c r="LG38" s="6" t="n"/>
      <c r="LH38" s="6" t="n"/>
      <c r="LI38" s="6" t="n"/>
      <c r="LJ38" s="6" t="n"/>
      <c r="LK38" s="6" t="n"/>
      <c r="LL38" s="6">
        <f>IF(COUNTA(KH38:LK38)=0, "", SUMPRODUCT(--ISNUMBER(SEARCH("m", KH38:LK38))))</f>
        <v/>
      </c>
      <c r="LM38" s="6">
        <f>IF(COUNTA(KH38:LK38)=0, "", COUNTA(KH38:LK38) - SUMPRODUCT(--ISNUMBER(SEARCH("m", KH38:LK38))))</f>
        <v/>
      </c>
      <c r="LN38" s="6" t="n"/>
      <c r="LO38" s="6" t="n"/>
      <c r="LP38" s="6" t="n"/>
      <c r="LQ38" s="6" t="n"/>
      <c r="LR38" s="6" t="n"/>
      <c r="LS38" s="6" t="n"/>
      <c r="LT38" s="6" t="n"/>
      <c r="LU38" s="6" t="n"/>
      <c r="LV38" s="6" t="n"/>
      <c r="LW38" s="6" t="n"/>
      <c r="LX38" s="6" t="n"/>
      <c r="LY38" s="6" t="n"/>
      <c r="LZ38" s="6" t="n"/>
      <c r="MA38" s="6" t="n"/>
      <c r="MB38" s="6" t="n"/>
      <c r="MC38" s="6" t="n"/>
      <c r="MD38" s="6" t="n"/>
      <c r="ME38" s="6" t="n"/>
      <c r="MF38" s="6" t="n"/>
      <c r="MG38" s="6" t="n"/>
      <c r="MH38" s="20">
        <f>IFERROR(ROUND(AVERAGE(LN38,LP38,LR38,LT38,LV38,LX38,LZ38,MB38,MD38,MF38), 2), "")</f>
        <v/>
      </c>
      <c r="MI38" s="6" t="n"/>
      <c r="MJ38" s="6" t="n"/>
      <c r="MK38" s="6" t="n"/>
      <c r="ML38" s="6" t="n"/>
      <c r="MM38" s="6" t="n"/>
      <c r="MN38" s="6" t="n"/>
      <c r="MO38" s="6" t="n"/>
      <c r="MP38" s="6" t="n"/>
      <c r="MQ38" s="6" t="n"/>
      <c r="MR38" s="6" t="n"/>
      <c r="MS38" s="6" t="n"/>
      <c r="MT38" s="6" t="n"/>
      <c r="MU38" s="6" t="n"/>
      <c r="MV38" s="6" t="n"/>
      <c r="MW38" s="6" t="n"/>
      <c r="MX38" s="6" t="n"/>
      <c r="MY38" s="6" t="n"/>
      <c r="MZ38" s="6" t="n"/>
      <c r="NA38" s="6" t="n"/>
      <c r="NB38" s="6" t="n"/>
      <c r="NC38" s="6" t="n"/>
      <c r="ND38" s="6" t="n"/>
      <c r="NE38" s="6" t="n"/>
      <c r="NF38" s="6" t="n"/>
      <c r="NG38" s="6" t="n"/>
      <c r="NH38" s="6" t="n"/>
      <c r="NI38" s="6" t="n"/>
      <c r="NJ38" s="6" t="n"/>
      <c r="NK38" s="6" t="n"/>
      <c r="NL38" s="6" t="n"/>
      <c r="NM38" s="6">
        <f>IF(COUNTA(MI38:NL38)=0, "", SUMPRODUCT(--ISNUMBER(SEARCH("m", MI38:NL38))))</f>
        <v/>
      </c>
      <c r="NN38" s="6">
        <f>IF(COUNTA(MI38:NL38)=0, "", COUNTA(MI38:NL38) - SUMPRODUCT(--ISNUMBER(SEARCH("m", MI38:NL38))))</f>
        <v/>
      </c>
      <c r="NO38" s="6" t="n"/>
      <c r="NP38" s="6" t="n"/>
      <c r="NQ38" s="6" t="n"/>
      <c r="NR38" s="6" t="n"/>
      <c r="NS38" s="6" t="n"/>
      <c r="NT38" s="6" t="n"/>
      <c r="NU38" s="6" t="n"/>
      <c r="NV38" s="6" t="n"/>
      <c r="NW38" s="6" t="n"/>
      <c r="NX38" s="6" t="n"/>
      <c r="NY38" s="6" t="n"/>
      <c r="NZ38" s="6" t="n"/>
      <c r="OA38" s="6" t="n"/>
      <c r="OB38" s="6" t="n"/>
      <c r="OC38" s="6" t="n"/>
      <c r="OD38" s="6" t="n"/>
      <c r="OE38" s="6" t="n"/>
      <c r="OF38" s="6" t="n"/>
      <c r="OG38" s="6" t="n"/>
      <c r="OH38" s="6" t="n"/>
      <c r="OI38" s="20">
        <f>IFERROR(ROUND(AVERAGE(NO38,NQ38,NS38,NU38,NW38,NY38,OA38,OC38,OE38,OG38), 2), "")</f>
        <v/>
      </c>
      <c r="OJ38" s="6" t="n"/>
      <c r="OK38" s="6" t="n"/>
      <c r="OL38" s="6" t="n"/>
      <c r="OM38" s="6" t="n"/>
      <c r="ON38" s="6" t="n"/>
      <c r="OO38" s="6" t="n"/>
      <c r="OP38" s="6" t="n"/>
      <c r="OQ38" s="6" t="n"/>
      <c r="OR38" s="6" t="n"/>
      <c r="OS38" s="6" t="n"/>
      <c r="OT38" s="6" t="n"/>
      <c r="OU38" s="6" t="n"/>
      <c r="OV38" s="6" t="n"/>
      <c r="OW38" s="6" t="n"/>
      <c r="OX38" s="6" t="n"/>
      <c r="OY38" s="6" t="n"/>
      <c r="OZ38" s="6" t="n"/>
      <c r="PA38" s="6" t="n"/>
      <c r="PB38" s="6" t="n"/>
      <c r="PC38" s="6" t="n"/>
      <c r="PD38" s="6" t="n"/>
      <c r="PE38" s="6" t="n"/>
      <c r="PF38" s="6" t="n"/>
      <c r="PG38" s="6" t="n"/>
      <c r="PH38" s="6" t="n"/>
      <c r="PI38" s="6" t="n"/>
      <c r="PJ38" s="6" t="n"/>
      <c r="PK38" s="6" t="n"/>
      <c r="PL38" s="6" t="n"/>
      <c r="PM38" s="6" t="n"/>
      <c r="PN38" s="6">
        <f>IF(COUNTA(OJ38:PM38)=0, "", SUMPRODUCT(--ISNUMBER(SEARCH("m", OJ38:PM38))))</f>
        <v/>
      </c>
      <c r="PO38" s="6">
        <f>IF(COUNTA(OJ38:PM38)=0, "", COUNTA(OJ38:PM38) - SUMPRODUCT(--ISNUMBER(SEARCH("m", OJ38:PM38))))</f>
        <v/>
      </c>
      <c r="PP38" s="6" t="n"/>
      <c r="PQ38" s="6" t="n"/>
      <c r="PR38" s="6" t="n"/>
      <c r="PS38" s="6" t="n"/>
      <c r="PT38" s="6" t="n"/>
      <c r="PU38" s="6" t="n"/>
      <c r="PV38" s="6" t="n"/>
      <c r="PW38" s="6" t="n"/>
      <c r="PX38" s="6" t="n"/>
      <c r="PY38" s="6" t="n"/>
      <c r="PZ38" s="6" t="n"/>
      <c r="QA38" s="6" t="n"/>
      <c r="QB38" s="6" t="n"/>
      <c r="QC38" s="6" t="n"/>
      <c r="QD38" s="6" t="n"/>
      <c r="QE38" s="6" t="n"/>
      <c r="QF38" s="6" t="n"/>
      <c r="QG38" s="6" t="n"/>
      <c r="QH38" s="6" t="n"/>
      <c r="QI38" s="6" t="n"/>
      <c r="QJ38" s="20">
        <f>IFERROR(ROUND(AVERAGE(PP38,PR38,PT38,PV38,PX38,PZ38,QB38,QD38,QF38,QH38), 2), "")</f>
        <v/>
      </c>
      <c r="QK38" s="6" t="n"/>
      <c r="QL38" s="6" t="n"/>
      <c r="QM38" s="6" t="n"/>
      <c r="QN38" s="6" t="n"/>
      <c r="QO38" s="6" t="n"/>
      <c r="QP38" s="6" t="n"/>
      <c r="QQ38" s="6" t="n"/>
      <c r="QR38" s="6" t="n"/>
      <c r="QS38" s="6" t="n"/>
      <c r="QT38" s="6" t="n"/>
      <c r="QU38" s="6" t="n"/>
      <c r="QV38" s="6" t="n"/>
      <c r="QW38" s="6" t="n"/>
      <c r="QX38" s="6" t="n"/>
      <c r="QY38" s="6" t="n"/>
      <c r="QZ38" s="6" t="n"/>
      <c r="RA38" s="6" t="n"/>
      <c r="RB38" s="6" t="n"/>
      <c r="RC38" s="6" t="n"/>
      <c r="RD38" s="6" t="n"/>
      <c r="RE38" s="6" t="n"/>
      <c r="RF38" s="6" t="n"/>
      <c r="RG38" s="6" t="n"/>
      <c r="RH38" s="6" t="n"/>
      <c r="RI38" s="6" t="n"/>
      <c r="RJ38" s="6" t="n"/>
      <c r="RK38" s="6" t="n"/>
      <c r="RL38" s="6" t="n"/>
      <c r="RM38" s="6" t="n"/>
      <c r="RN38" s="6" t="n"/>
      <c r="RO38" s="6">
        <f>IF(COUNTA(QK38:RN38)=0, "", SUMPRODUCT(--ISNUMBER(SEARCH("m", QK38:RN38))))</f>
        <v/>
      </c>
      <c r="RP38" s="6">
        <f>IF(COUNTA(QK38:RN38)=0, "", COUNTA(QK38:RN38) - SUMPRODUCT(--ISNUMBER(SEARCH("m", QK38:RN38))))</f>
        <v/>
      </c>
      <c r="RQ38" s="6" t="n"/>
      <c r="RR38" s="6" t="n"/>
      <c r="RS38" s="6" t="n"/>
      <c r="RT38" s="6" t="n"/>
      <c r="RU38" s="6" t="n"/>
      <c r="RV38" s="6" t="n"/>
      <c r="RW38" s="6" t="n"/>
      <c r="RX38" s="6" t="n"/>
      <c r="RY38" s="6" t="n"/>
      <c r="RZ38" s="6" t="n"/>
      <c r="SA38" s="6" t="n"/>
      <c r="SB38" s="6" t="n"/>
      <c r="SC38" s="6" t="n"/>
      <c r="SD38" s="6" t="n"/>
      <c r="SE38" s="6" t="n"/>
      <c r="SF38" s="6" t="n"/>
      <c r="SG38" s="6" t="n"/>
      <c r="SH38" s="6" t="n"/>
      <c r="SI38" s="6" t="n"/>
      <c r="SJ38" s="6" t="n"/>
      <c r="SK38" s="20">
        <f>IFERROR(ROUND(AVERAGE(RQ38,RS38,RU38,RW38,RY38,SA38,SC38,SE38,SG38,SI38), 2), "")</f>
        <v/>
      </c>
      <c r="SL38" s="6" t="n"/>
      <c r="SM38" s="6" t="n"/>
      <c r="SN38" s="6" t="n"/>
      <c r="SO38" s="6" t="n"/>
      <c r="SP38" s="6" t="n"/>
      <c r="SQ38" s="6" t="n"/>
      <c r="SR38" s="6" t="n"/>
      <c r="SS38" s="6" t="n"/>
      <c r="ST38" s="6" t="n"/>
      <c r="SU38" s="6" t="n"/>
      <c r="SV38" s="6" t="n"/>
      <c r="SW38" s="6" t="n"/>
      <c r="SX38" s="6" t="n"/>
      <c r="SY38" s="6" t="n"/>
      <c r="SZ38" s="6" t="n"/>
      <c r="TA38" s="6" t="n"/>
      <c r="TB38" s="6" t="n"/>
      <c r="TC38" s="6" t="n"/>
      <c r="TD38" s="6" t="n"/>
      <c r="TE38" s="6" t="n"/>
      <c r="TF38" s="6" t="n"/>
      <c r="TG38" s="6" t="n"/>
      <c r="TH38" s="6" t="n"/>
      <c r="TI38" s="6" t="n"/>
      <c r="TJ38" s="6" t="n"/>
      <c r="TK38" s="6" t="n"/>
      <c r="TL38" s="6" t="n"/>
      <c r="TM38" s="6" t="n"/>
      <c r="TN38" s="6" t="n"/>
      <c r="TO38" s="6" t="n"/>
      <c r="TP38" s="6">
        <f>IF(COUNTA(SL38:TO38)=0, "", SUMPRODUCT(--ISNUMBER(SEARCH("m", SL38:TO38))))</f>
        <v/>
      </c>
      <c r="TQ38" s="6">
        <f>IF(COUNTA(SL38:TO38)=0, "", COUNTA(SL38:TO38) - SUMPRODUCT(--ISNUMBER(SEARCH("m", SL38:TO38))))</f>
        <v/>
      </c>
      <c r="TR38" s="6" t="n"/>
      <c r="TS38" s="6" t="n"/>
      <c r="TT38" s="6" t="n"/>
      <c r="TU38" s="6" t="n"/>
      <c r="TV38" s="6" t="n"/>
      <c r="TW38" s="6" t="n"/>
      <c r="TX38" s="6" t="n"/>
      <c r="TY38" s="6" t="n"/>
      <c r="TZ38" s="6" t="n"/>
      <c r="UA38" s="6" t="n"/>
      <c r="UB38" s="6" t="n"/>
      <c r="UC38" s="6" t="n"/>
      <c r="UD38" s="6" t="n"/>
      <c r="UE38" s="6" t="n"/>
      <c r="UF38" s="6" t="n"/>
      <c r="UG38" s="6" t="n"/>
      <c r="UH38" s="6" t="n"/>
      <c r="UI38" s="6" t="n"/>
      <c r="UJ38" s="6" t="n"/>
      <c r="UK38" s="6" t="n"/>
      <c r="UL38" s="20">
        <f>IFERROR(ROUND(AVERAGE(TR38,TT38,TV38,TX38,TZ38,UB38,UD38,UF38,UH38,UJ38), 2), "")</f>
        <v/>
      </c>
      <c r="UM38" s="6" t="n"/>
      <c r="UN38" s="6" t="n"/>
      <c r="UO38" s="6" t="n"/>
      <c r="UP38" s="6" t="n"/>
      <c r="UQ38" s="6" t="n"/>
      <c r="UR38" s="6" t="n"/>
      <c r="US38" s="6" t="n"/>
      <c r="UT38" s="6" t="n"/>
      <c r="UU38" s="6" t="n"/>
      <c r="UV38" s="6" t="n"/>
      <c r="UW38" s="6" t="n"/>
      <c r="UX38" s="6" t="n"/>
      <c r="UY38" s="6" t="n"/>
      <c r="UZ38" s="6" t="n"/>
      <c r="VA38" s="6" t="n"/>
      <c r="VB38" s="6" t="n"/>
      <c r="VC38" s="6" t="n"/>
      <c r="VD38" s="6" t="n"/>
      <c r="VE38" s="6" t="n"/>
      <c r="VF38" s="6" t="n"/>
      <c r="VG38" s="6" t="n"/>
      <c r="VH38" s="6" t="n"/>
      <c r="VI38" s="6" t="n"/>
      <c r="VJ38" s="6" t="n"/>
      <c r="VK38" s="6" t="n"/>
      <c r="VL38" s="6" t="n"/>
      <c r="VM38" s="6" t="n"/>
      <c r="VN38" s="6" t="n"/>
      <c r="VO38" s="6" t="n"/>
      <c r="VP38" s="6" t="n"/>
      <c r="VQ38" s="6">
        <f>IF(COUNTA(UM38:VP38)=0, "", SUMPRODUCT(--ISNUMBER(SEARCH("m", UM38:VP38))))</f>
        <v/>
      </c>
      <c r="VR38" s="6">
        <f>IF(COUNTA(UM38:VP38)=0, "", COUNTA(UM38:VP38) - SUMPRODUCT(--ISNUMBER(SEARCH("m", UM38:VP38))))</f>
        <v/>
      </c>
      <c r="VS38" s="6" t="n"/>
      <c r="VT38" s="6" t="n"/>
      <c r="VU38" s="6" t="n"/>
      <c r="VV38" s="6" t="n"/>
      <c r="VW38" s="6" t="n"/>
      <c r="VX38" s="6" t="n"/>
      <c r="VY38" s="6" t="n"/>
      <c r="VZ38" s="6" t="n"/>
      <c r="WA38" s="6" t="n"/>
      <c r="WB38" s="6" t="n"/>
      <c r="WC38" s="6" t="n"/>
      <c r="WD38" s="6" t="n"/>
      <c r="WE38" s="6" t="n"/>
      <c r="WF38" s="6" t="n"/>
      <c r="WG38" s="6" t="n"/>
      <c r="WH38" s="6" t="n"/>
      <c r="WI38" s="6" t="n"/>
      <c r="WJ38" s="6" t="n"/>
      <c r="WK38" s="6" t="n"/>
      <c r="WL38" s="6" t="n"/>
      <c r="WM38" s="20">
        <f>IFERROR(ROUND(AVERAGE(VS38,VU38,VW38,VY38,WA38,WC38,WE38,WG38,WI38,WK38), 2), "")</f>
        <v/>
      </c>
      <c r="WN38" s="6" t="n"/>
      <c r="WO38" s="6" t="n"/>
      <c r="WP38" s="6" t="n"/>
      <c r="WQ38" s="6" t="n"/>
      <c r="WR38" s="6" t="n"/>
      <c r="WS38" s="6" t="n"/>
      <c r="WT38" s="6" t="n"/>
      <c r="WU38" s="6" t="n"/>
      <c r="WV38" s="6" t="n"/>
      <c r="WW38" s="6" t="n"/>
      <c r="WX38" s="6" t="n"/>
      <c r="WY38" s="6" t="n"/>
      <c r="WZ38" s="6" t="n"/>
      <c r="XA38" s="6" t="n"/>
      <c r="XB38" s="6" t="n"/>
      <c r="XC38" s="6" t="n"/>
      <c r="XD38" s="6" t="n"/>
      <c r="XE38" s="6" t="n"/>
      <c r="XF38" s="6" t="n"/>
      <c r="XG38" s="6" t="n"/>
      <c r="XH38" s="6" t="n"/>
      <c r="XI38" s="6" t="n"/>
      <c r="XJ38" s="6" t="n"/>
      <c r="XK38" s="6" t="n"/>
      <c r="XL38" s="6" t="n"/>
      <c r="XM38" s="6" t="n"/>
      <c r="XN38" s="6" t="n"/>
      <c r="XO38" s="6" t="n"/>
      <c r="XP38" s="6" t="n"/>
      <c r="XQ38" s="6" t="n"/>
      <c r="XR38" s="6">
        <f>IF(COUNTA(WN38:XQ38)=0, "", SUMPRODUCT(--ISNUMBER(SEARCH("m", WN38:XQ38))))</f>
        <v/>
      </c>
      <c r="XS38" s="6">
        <f>IF(COUNTA(WN38:XQ38)=0, "", COUNTA(WN38:XQ38) - SUMPRODUCT(--ISNUMBER(SEARCH("m", WN38:XQ38))))</f>
        <v/>
      </c>
      <c r="XT38" s="6" t="n"/>
      <c r="XU38" s="6" t="n"/>
      <c r="XV38" s="6" t="n"/>
      <c r="XW38" s="6" t="n"/>
      <c r="XX38" s="6" t="n"/>
      <c r="XY38" s="6" t="n"/>
      <c r="XZ38" s="6" t="n"/>
      <c r="YA38" s="6" t="n"/>
      <c r="YB38" s="6" t="n"/>
      <c r="YC38" s="6" t="n"/>
      <c r="YD38" s="6" t="n"/>
      <c r="YE38" s="6" t="n"/>
      <c r="YF38" s="6" t="n"/>
      <c r="YG38" s="6" t="n"/>
      <c r="YH38" s="6" t="n"/>
      <c r="YI38" s="6" t="n"/>
      <c r="YJ38" s="6" t="n"/>
      <c r="YK38" s="6" t="n"/>
      <c r="YL38" s="6" t="n"/>
      <c r="YM38" s="6" t="n"/>
      <c r="YN38" s="20">
        <f>IFERROR(ROUND(AVERAGE(XT38,XV38,XX38,XZ38,YB38,YD38,YF38,YH38,YJ38,YL38), 2), "")</f>
        <v/>
      </c>
      <c r="YO38" s="6" t="n"/>
      <c r="YP38" s="6" t="n"/>
      <c r="YQ38" s="6" t="n"/>
      <c r="YR38" s="6" t="n"/>
      <c r="YS38" s="6" t="n"/>
      <c r="YT38" s="6" t="n"/>
      <c r="YU38" s="6" t="n"/>
      <c r="YV38" s="6" t="n"/>
      <c r="YW38" s="6" t="n"/>
      <c r="YX38" s="6" t="n"/>
      <c r="YY38" s="6" t="n"/>
      <c r="YZ38" s="6" t="n"/>
      <c r="ZA38" s="6" t="n"/>
      <c r="ZB38" s="6" t="n"/>
      <c r="ZC38" s="6" t="n"/>
      <c r="ZD38" s="6" t="n"/>
      <c r="ZE38" s="6" t="n"/>
      <c r="ZF38" s="6" t="n"/>
      <c r="ZG38" s="6" t="n"/>
      <c r="ZH38" s="6" t="n"/>
      <c r="ZI38" s="6" t="n"/>
      <c r="ZJ38" s="6" t="n"/>
      <c r="ZK38" s="6" t="n"/>
      <c r="ZL38" s="6" t="n"/>
      <c r="ZM38" s="6" t="n"/>
      <c r="ZN38" s="6" t="n"/>
      <c r="ZO38" s="6" t="n"/>
      <c r="ZP38" s="6" t="n"/>
      <c r="ZQ38" s="6" t="n"/>
      <c r="ZR38" s="6" t="n"/>
      <c r="ZS38" s="6">
        <f>IF(COUNTA(YO38:ZR38)=0, "", SUMPRODUCT(--ISNUMBER(SEARCH("m", YO38:ZR38))))</f>
        <v/>
      </c>
      <c r="ZT38" s="6">
        <f>IF(COUNTA(YO38:ZR38)=0, "", COUNTA(YO38:ZR38) - SUMPRODUCT(--ISNUMBER(SEARCH("m", YO38:ZR38))))</f>
        <v/>
      </c>
      <c r="ZU38" s="6" t="n"/>
      <c r="ZV38" s="6" t="n"/>
      <c r="ZW38" s="6" t="n"/>
      <c r="ZX38" s="6" t="n"/>
      <c r="ZY38" s="6" t="n"/>
      <c r="ZZ38" s="6" t="n"/>
      <c r="AAA38" s="6" t="n"/>
      <c r="AAB38" s="6" t="n"/>
      <c r="AAC38" s="6" t="n"/>
      <c r="AAD38" s="6" t="n"/>
      <c r="AAE38" s="6" t="n"/>
      <c r="AAF38" s="6" t="n"/>
      <c r="AAG38" s="6" t="n"/>
      <c r="AAH38" s="6" t="n"/>
      <c r="AAI38" s="6" t="n"/>
      <c r="AAJ38" s="6" t="n"/>
      <c r="AAK38" s="6" t="n"/>
      <c r="AAL38" s="6" t="n"/>
      <c r="AAM38" s="6" t="n"/>
      <c r="AAN38" s="6" t="n"/>
      <c r="AAO38" s="20">
        <f>IFERROR(ROUND(AVERAGE(ZU38,ZW38,ZY38,AAA38,AAC38,AAE38,AAG38,AAI38,AAK38,AAM38), 2), "")</f>
        <v/>
      </c>
      <c r="AAP38" s="6" t="n"/>
      <c r="AAQ38" s="6" t="n"/>
      <c r="AAR38" s="6" t="n"/>
      <c r="AAS38" s="6" t="n"/>
      <c r="AAT38" s="6" t="n"/>
      <c r="AAU38" s="6" t="n"/>
      <c r="AAV38" s="6" t="n"/>
      <c r="AAW38" s="6" t="n"/>
      <c r="AAX38" s="6" t="n"/>
      <c r="AAY38" s="6" t="n"/>
      <c r="AAZ38" s="6" t="n"/>
      <c r="ABA38" s="6" t="n"/>
      <c r="ABB38" s="6" t="n"/>
      <c r="ABC38" s="6" t="n"/>
      <c r="ABD38" s="6" t="n"/>
      <c r="ABE38" s="6" t="n"/>
      <c r="ABF38" s="6" t="n"/>
      <c r="ABG38" s="6" t="n"/>
      <c r="ABH38" s="6" t="n"/>
      <c r="ABI38" s="6" t="n"/>
      <c r="ABJ38" s="6" t="n"/>
      <c r="ABK38" s="6" t="n"/>
      <c r="ABL38" s="6" t="n"/>
      <c r="ABM38" s="6" t="n"/>
      <c r="ABN38" s="6" t="n"/>
      <c r="ABO38" s="6" t="n"/>
      <c r="ABP38" s="6" t="n"/>
      <c r="ABQ38" s="6" t="n"/>
      <c r="ABR38" s="6" t="n"/>
      <c r="ABS38" s="6" t="n"/>
      <c r="ABT38" s="6">
        <f>IF(COUNTA(AAP38:ABS38)=0, "", SUMPRODUCT(--ISNUMBER(SEARCH("m", AAP38:ABS38))))</f>
        <v/>
      </c>
      <c r="ABU38" s="6">
        <f>IF(COUNTA(AAP38:ABS38)=0, "", COUNTA(AAP38:ABS38) - SUMPRODUCT(--ISNUMBER(SEARCH("m", AAP38:ABS38))))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8">
        <f>IFERROR(ROUND(AVERAGE(AB39,CC39,ED39,GE39,IF39,KG39,MH39,OI39,QJ39,SK39,UL39,WM39,YN39,AAO39), 2), "")</f>
        <v/>
      </c>
      <c r="F39" s="14">
        <f>IF(SUM(BH39,DI39,FJ39,HK39,JL39,LM39,NN39,PO39,RP39,TQ39,VR39,XS39,ZT39,ABU39)=0, "", SUM(BH39,DI39,FJ39,HK39,JL39,LM39,NN39,PO39,RP39,TQ39,VR39,XS39,ZT39,ABU39))</f>
        <v/>
      </c>
      <c r="G39" s="8">
        <f>IF(SUM(BG39,DH39,FI39,HJ39,JK39,LL39,NM39,PN39,RO39,TP39,VQ39,XR39,ZS39,ABT39)=0, "", SUM(BG39,DH39,FI39,HJ39,JK39,LL39,NM39,PN39,RO39,TP39,VQ39,XR39,ZS39,ABT39))</f>
        <v/>
      </c>
      <c r="H39" s="6" t="n"/>
      <c r="I39" s="79" t="n"/>
      <c r="J39" s="6" t="n"/>
      <c r="K39" s="79" t="n"/>
      <c r="L39" s="6" t="n"/>
      <c r="M39" s="79" t="n"/>
      <c r="N39" s="6" t="n"/>
      <c r="O39" s="79" t="n"/>
      <c r="P39" s="6" t="n"/>
      <c r="Q39" s="79" t="n"/>
      <c r="R39" s="18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18" t="n"/>
      <c r="AB39" s="14">
        <f>IFERROR(ROUND(AVERAGE(H39,J39,L39,N39,P39,R39,T39,V39,X39,Z39), 2), "")</f>
        <v/>
      </c>
      <c r="AC39" s="6" t="n"/>
      <c r="AD39" s="79" t="n"/>
      <c r="AE39" s="6" t="n"/>
      <c r="AF39" s="79" t="n"/>
      <c r="AG39" s="6" t="n"/>
      <c r="AH39" s="79" t="n"/>
      <c r="AI39" s="6" t="n"/>
      <c r="AJ39" s="79" t="n"/>
      <c r="AK39" s="6" t="n"/>
      <c r="AL39" s="79" t="n"/>
      <c r="AM39" s="18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18" t="n"/>
      <c r="AW39" s="19" t="n"/>
      <c r="AX39" s="6" t="n"/>
      <c r="AY39" s="79" t="n"/>
      <c r="AZ39" s="6" t="n"/>
      <c r="BA39" s="79" t="n"/>
      <c r="BB39" s="6" t="n"/>
      <c r="BC39" s="79" t="n"/>
      <c r="BD39" s="6" t="n"/>
      <c r="BE39" s="79" t="n"/>
      <c r="BF39" s="6" t="n"/>
      <c r="BG39" s="79">
        <f>IF(COUNTA(AC39:BF39)=0, "", SUMPRODUCT(--ISNUMBER(SEARCH("m", AC39:BF39))))</f>
        <v/>
      </c>
      <c r="BH39" s="18">
        <f>IF(COUNTA(AC39:BF39)=0, "", COUNTA(AC39:BF39) - SUMPRODUCT(--ISNUMBER(SEARCH("m", AC39:BF39))))</f>
        <v/>
      </c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18" t="n"/>
      <c r="BR39" s="19" t="n"/>
      <c r="BS39" s="6" t="n"/>
      <c r="BT39" s="79" t="n"/>
      <c r="BU39" s="6" t="n"/>
      <c r="BV39" s="79" t="n"/>
      <c r="BW39" s="6" t="n"/>
      <c r="BX39" s="79" t="n"/>
      <c r="BY39" s="6" t="n"/>
      <c r="BZ39" s="79" t="n"/>
      <c r="CA39" s="6" t="n"/>
      <c r="CB39" s="79" t="n"/>
      <c r="CC39" s="8">
        <f>IFERROR(ROUND(AVERAGE(BI39,BK39,BM39,BO39,BQ39,BS39,BU39,BW39,BY39,CA39), 2), "")</f>
        <v/>
      </c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18" t="n"/>
      <c r="CM39" s="19" t="n"/>
      <c r="CN39" s="6" t="n"/>
      <c r="CO39" s="79" t="n"/>
      <c r="CP39" s="6" t="n"/>
      <c r="CQ39" s="79" t="n"/>
      <c r="CR39" s="6" t="n"/>
      <c r="CS39" s="79" t="n"/>
      <c r="CT39" s="6" t="n"/>
      <c r="CU39" s="79" t="n"/>
      <c r="CV39" s="6" t="n"/>
      <c r="CW39" s="79" t="n"/>
      <c r="CX39" s="18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18" t="n"/>
      <c r="DH39" s="19">
        <f>IF(COUNTA(CD39:DG39)=0, "", SUMPRODUCT(--ISNUMBER(SEARCH("m", CD39:DG39))))</f>
        <v/>
      </c>
      <c r="DI39" s="6">
        <f>IF(COUNTA(CD39:DG39)=0, "", COUNTA(CD39:DG39) - SUMPRODUCT(--ISNUMBER(SEARCH("m", CD39:DG39))))</f>
        <v/>
      </c>
      <c r="DJ39" s="79" t="n"/>
      <c r="DK39" s="6" t="n"/>
      <c r="DL39" s="79" t="n"/>
      <c r="DM39" s="6" t="n"/>
      <c r="DN39" s="79" t="n"/>
      <c r="DO39" s="6" t="n"/>
      <c r="DP39" s="79" t="n"/>
      <c r="DQ39" s="6" t="n"/>
      <c r="DR39" s="79" t="n"/>
      <c r="DS39" s="18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18" t="n"/>
      <c r="EC39" s="19" t="n"/>
      <c r="ED39" s="20">
        <f>IFERROR(ROUND(AVERAGE(DJ39,DL39,DN39,DP39,DR39,DT39,DV39,DX39,DZ39,EB39), 2), "")</f>
        <v/>
      </c>
      <c r="EE39" s="79" t="n"/>
      <c r="EF39" s="6" t="n"/>
      <c r="EG39" s="79" t="n"/>
      <c r="EH39" s="6" t="n"/>
      <c r="EI39" s="79" t="n"/>
      <c r="EJ39" s="6" t="n"/>
      <c r="EK39" s="79" t="n"/>
      <c r="EL39" s="6" t="n"/>
      <c r="EM39" s="79" t="n"/>
      <c r="EN39" s="18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18" t="n"/>
      <c r="EX39" s="19" t="n"/>
      <c r="EY39" s="6" t="n"/>
      <c r="EZ39" s="79" t="n"/>
      <c r="FA39" s="6" t="n"/>
      <c r="FB39" s="79" t="n"/>
      <c r="FC39" s="6" t="n"/>
      <c r="FD39" s="79" t="n"/>
      <c r="FE39" s="6" t="n"/>
      <c r="FF39" s="79" t="n"/>
      <c r="FG39" s="6" t="n"/>
      <c r="FH39" s="79" t="n"/>
      <c r="FI39" s="18">
        <f>IF(COUNTA(EE39:FH39)=0, "", SUMPRODUCT(--ISNUMBER(SEARCH("m", EE39:FH39))))</f>
        <v/>
      </c>
      <c r="FJ39" s="79">
        <f>IF(COUNTA(EE39:FH39)=0, "", COUNTA(EE39:FH39) - SUMPRODUCT(--ISNUMBER(SEARCH("m", EE39:FH39))))</f>
        <v/>
      </c>
      <c r="FK39" s="79" t="n"/>
      <c r="FL39" s="79" t="n"/>
      <c r="FM39" s="79" t="n"/>
      <c r="FN39" s="79" t="n"/>
      <c r="FO39" s="79" t="n"/>
      <c r="FP39" s="79" t="n"/>
      <c r="FQ39" s="79" t="n"/>
      <c r="FR39" s="18" t="n"/>
      <c r="FS39" s="19" t="n"/>
      <c r="FT39" s="6" t="n"/>
      <c r="FU39" s="79" t="n"/>
      <c r="FV39" s="6" t="n"/>
      <c r="FW39" s="79" t="n"/>
      <c r="FX39" s="6" t="n"/>
      <c r="FY39" s="79" t="n"/>
      <c r="FZ39" s="6" t="n"/>
      <c r="GA39" s="79" t="n"/>
      <c r="GB39" s="6" t="n"/>
      <c r="GC39" s="79" t="n"/>
      <c r="GD39" s="18" t="n"/>
      <c r="GE39" s="80">
        <f>IFERROR(ROUND(AVERAGE(FK39,FM39,FO39,FQ39,FS39,FU39,FW39,FY39,GA39,GC39), 2), "")</f>
        <v/>
      </c>
      <c r="GF39" s="79" t="n"/>
      <c r="GG39" s="79" t="n"/>
      <c r="GH39" s="79" t="n"/>
      <c r="GI39" s="79" t="n"/>
      <c r="GJ39" s="79" t="n"/>
      <c r="GK39" s="79" t="n"/>
      <c r="GL39" s="79" t="n"/>
      <c r="GM39" s="18" t="n"/>
      <c r="GN39" s="19" t="n"/>
      <c r="GO39" s="6" t="n"/>
      <c r="GP39" s="79" t="n"/>
      <c r="GQ39" s="6" t="n"/>
      <c r="GR39" s="79" t="n"/>
      <c r="GS39" s="6" t="n"/>
      <c r="GT39" s="79" t="n"/>
      <c r="GU39" s="6" t="n"/>
      <c r="GV39" s="79" t="n"/>
      <c r="GW39" s="6" t="n"/>
      <c r="GX39" s="79" t="n"/>
      <c r="GY39" s="18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18" t="n"/>
      <c r="HI39" s="19" t="n"/>
      <c r="HJ39" s="6">
        <f>IF(COUNTA(GF39:HI39)=0, "", SUMPRODUCT(--ISNUMBER(SEARCH("m", GF39:HI39))))</f>
        <v/>
      </c>
      <c r="HK39" s="79">
        <f>IF(COUNTA(GF39:HI39)=0, "", COUNTA(GF39:HI39) - SUMPRODUCT(--ISNUMBER(SEARCH("m", GF39:HI39))))</f>
        <v/>
      </c>
      <c r="HL39" s="6" t="n"/>
      <c r="HM39" s="79" t="n"/>
      <c r="HN39" s="6" t="n"/>
      <c r="HO39" s="79" t="n"/>
      <c r="HP39" s="6" t="n"/>
      <c r="HQ39" s="79" t="n"/>
      <c r="HR39" s="6" t="n"/>
      <c r="HS39" s="79" t="n"/>
      <c r="HT39" s="18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18" t="n"/>
      <c r="ID39" s="19" t="n"/>
      <c r="IE39" s="6" t="n"/>
      <c r="IF39" s="80">
        <f>IFERROR(ROUND(AVERAGE(HL39,HN39,HP39,HR39,HT39,HV39,HX39,HZ39,IB39,ID39), 2), "")</f>
        <v/>
      </c>
      <c r="IG39" s="6" t="n"/>
      <c r="IH39" s="79" t="n"/>
      <c r="II39" s="6" t="n"/>
      <c r="IJ39" s="79" t="n"/>
      <c r="IK39" s="6" t="n"/>
      <c r="IL39" s="79" t="n"/>
      <c r="IM39" s="6" t="n"/>
      <c r="IN39" s="79" t="n"/>
      <c r="IO39" s="18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18" t="n"/>
      <c r="IY39" s="19" t="n"/>
      <c r="IZ39" s="6" t="n"/>
      <c r="JA39" s="79" t="n"/>
      <c r="JB39" s="6" t="n"/>
      <c r="JC39" s="79" t="n"/>
      <c r="JD39" s="6" t="n"/>
      <c r="JE39" s="79" t="n"/>
      <c r="JF39" s="6" t="n"/>
      <c r="JG39" s="79" t="n"/>
      <c r="JH39" s="6" t="n"/>
      <c r="JI39" s="79" t="n"/>
      <c r="JJ39" s="18" t="n"/>
      <c r="JK39" s="79">
        <f>IF(COUNTA(IG39:JJ39)=0, "", SUMPRODUCT(--ISNUMBER(SEARCH("m", IG39:JJ39))))</f>
        <v/>
      </c>
      <c r="JL39" s="79">
        <f>IF(COUNTA(IG39:JJ39)=0, "", COUNTA(IG39:JJ39) - SUMPRODUCT(--ISNUMBER(SEARCH("m", IG39:JJ39))))</f>
        <v/>
      </c>
      <c r="JM39" s="79" t="n"/>
      <c r="JN39" s="79" t="n"/>
      <c r="JO39" s="79" t="n"/>
      <c r="JP39" s="79" t="n"/>
      <c r="JQ39" s="79" t="n"/>
      <c r="JR39" s="79" t="n"/>
      <c r="JS39" s="18" t="n"/>
      <c r="JT39" s="19" t="n"/>
      <c r="JU39" s="6" t="n"/>
      <c r="JV39" s="79" t="n"/>
      <c r="JW39" s="6" t="n"/>
      <c r="JX39" s="79" t="n"/>
      <c r="JY39" s="6" t="n"/>
      <c r="JZ39" s="79" t="n"/>
      <c r="KA39" s="6" t="n"/>
      <c r="KB39" s="79" t="n"/>
      <c r="KC39" s="6" t="n"/>
      <c r="KD39" s="79" t="n"/>
      <c r="KE39" s="18" t="n"/>
      <c r="KF39" s="79" t="n"/>
      <c r="KG39" s="80">
        <f>IFERROR(ROUND(AVERAGE(JM39,JO39,JQ39,JS39,JU39,JW39,JY39,KA39,KC39,KE39), 2), "")</f>
        <v/>
      </c>
      <c r="KH39" s="79" t="n"/>
      <c r="KI39" s="79" t="n"/>
      <c r="KJ39" s="79" t="n"/>
      <c r="KK39" s="79" t="n"/>
      <c r="KL39" s="79" t="n"/>
      <c r="KM39" s="79" t="n"/>
      <c r="KN39" s="18" t="n"/>
      <c r="KO39" s="19" t="n"/>
      <c r="KP39" s="6" t="n"/>
      <c r="KQ39" s="6" t="n"/>
      <c r="KR39" s="6" t="n"/>
      <c r="KS39" s="6" t="n"/>
      <c r="KT39" s="6" t="n"/>
      <c r="KU39" s="6" t="n"/>
      <c r="KV39" s="6" t="n"/>
      <c r="KW39" s="6" t="n"/>
      <c r="KX39" s="6" t="n"/>
      <c r="KY39" s="6" t="n"/>
      <c r="KZ39" s="6" t="n"/>
      <c r="LA39" s="6" t="n"/>
      <c r="LB39" s="6" t="n"/>
      <c r="LC39" s="6" t="n"/>
      <c r="LD39" s="6" t="n"/>
      <c r="LE39" s="6" t="n"/>
      <c r="LF39" s="6" t="n"/>
      <c r="LG39" s="6" t="n"/>
      <c r="LH39" s="6" t="n"/>
      <c r="LI39" s="6" t="n"/>
      <c r="LJ39" s="6" t="n"/>
      <c r="LK39" s="6" t="n"/>
      <c r="LL39" s="6">
        <f>IF(COUNTA(KH39:LK39)=0, "", SUMPRODUCT(--ISNUMBER(SEARCH("m", KH39:LK39))))</f>
        <v/>
      </c>
      <c r="LM39" s="6">
        <f>IF(COUNTA(KH39:LK39)=0, "", COUNTA(KH39:LK39) - SUMPRODUCT(--ISNUMBER(SEARCH("m", KH39:LK39))))</f>
        <v/>
      </c>
      <c r="LN39" s="6" t="n"/>
      <c r="LO39" s="6" t="n"/>
      <c r="LP39" s="6" t="n"/>
      <c r="LQ39" s="6" t="n"/>
      <c r="LR39" s="6" t="n"/>
      <c r="LS39" s="6" t="n"/>
      <c r="LT39" s="6" t="n"/>
      <c r="LU39" s="6" t="n"/>
      <c r="LV39" s="6" t="n"/>
      <c r="LW39" s="6" t="n"/>
      <c r="LX39" s="6" t="n"/>
      <c r="LY39" s="6" t="n"/>
      <c r="LZ39" s="6" t="n"/>
      <c r="MA39" s="6" t="n"/>
      <c r="MB39" s="6" t="n"/>
      <c r="MC39" s="6" t="n"/>
      <c r="MD39" s="6" t="n"/>
      <c r="ME39" s="6" t="n"/>
      <c r="MF39" s="6" t="n"/>
      <c r="MG39" s="6" t="n"/>
      <c r="MH39" s="20">
        <f>IFERROR(ROUND(AVERAGE(LN39,LP39,LR39,LT39,LV39,LX39,LZ39,MB39,MD39,MF39), 2), "")</f>
        <v/>
      </c>
      <c r="MI39" s="6" t="n"/>
      <c r="MJ39" s="6" t="n"/>
      <c r="MK39" s="6" t="n"/>
      <c r="ML39" s="6" t="n"/>
      <c r="MM39" s="6" t="n"/>
      <c r="MN39" s="6" t="n"/>
      <c r="MO39" s="6" t="n"/>
      <c r="MP39" s="6" t="n"/>
      <c r="MQ39" s="6" t="n"/>
      <c r="MR39" s="6" t="n"/>
      <c r="MS39" s="6" t="n"/>
      <c r="MT39" s="6" t="n"/>
      <c r="MU39" s="6" t="n"/>
      <c r="MV39" s="6" t="n"/>
      <c r="MW39" s="6" t="n"/>
      <c r="MX39" s="6" t="n"/>
      <c r="MY39" s="6" t="n"/>
      <c r="MZ39" s="6" t="n"/>
      <c r="NA39" s="6" t="n"/>
      <c r="NB39" s="6" t="n"/>
      <c r="NC39" s="6" t="n"/>
      <c r="ND39" s="6" t="n"/>
      <c r="NE39" s="6" t="n"/>
      <c r="NF39" s="6" t="n"/>
      <c r="NG39" s="6" t="n"/>
      <c r="NH39" s="6" t="n"/>
      <c r="NI39" s="6" t="n"/>
      <c r="NJ39" s="6" t="n"/>
      <c r="NK39" s="6" t="n"/>
      <c r="NL39" s="6" t="n"/>
      <c r="NM39" s="6">
        <f>IF(COUNTA(MI39:NL39)=0, "", SUMPRODUCT(--ISNUMBER(SEARCH("m", MI39:NL39))))</f>
        <v/>
      </c>
      <c r="NN39" s="6">
        <f>IF(COUNTA(MI39:NL39)=0, "", COUNTA(MI39:NL39) - SUMPRODUCT(--ISNUMBER(SEARCH("m", MI39:NL39))))</f>
        <v/>
      </c>
      <c r="NO39" s="6" t="n"/>
      <c r="NP39" s="6" t="n"/>
      <c r="NQ39" s="6" t="n"/>
      <c r="NR39" s="6" t="n"/>
      <c r="NS39" s="6" t="n"/>
      <c r="NT39" s="6" t="n"/>
      <c r="NU39" s="6" t="n"/>
      <c r="NV39" s="6" t="n"/>
      <c r="NW39" s="6" t="n"/>
      <c r="NX39" s="6" t="n"/>
      <c r="NY39" s="6" t="n"/>
      <c r="NZ39" s="6" t="n"/>
      <c r="OA39" s="6" t="n"/>
      <c r="OB39" s="6" t="n"/>
      <c r="OC39" s="6" t="n"/>
      <c r="OD39" s="6" t="n"/>
      <c r="OE39" s="6" t="n"/>
      <c r="OF39" s="6" t="n"/>
      <c r="OG39" s="6" t="n"/>
      <c r="OH39" s="6" t="n"/>
      <c r="OI39" s="20">
        <f>IFERROR(ROUND(AVERAGE(NO39,NQ39,NS39,NU39,NW39,NY39,OA39,OC39,OE39,OG39), 2), "")</f>
        <v/>
      </c>
      <c r="OJ39" s="6" t="n"/>
      <c r="OK39" s="6" t="n"/>
      <c r="OL39" s="6" t="n"/>
      <c r="OM39" s="6" t="n"/>
      <c r="ON39" s="6" t="n"/>
      <c r="OO39" s="6" t="n"/>
      <c r="OP39" s="6" t="n"/>
      <c r="OQ39" s="6" t="n"/>
      <c r="OR39" s="6" t="n"/>
      <c r="OS39" s="6" t="n"/>
      <c r="OT39" s="6" t="n"/>
      <c r="OU39" s="6" t="n"/>
      <c r="OV39" s="6" t="n"/>
      <c r="OW39" s="6" t="n"/>
      <c r="OX39" s="6" t="n"/>
      <c r="OY39" s="6" t="n"/>
      <c r="OZ39" s="6" t="n"/>
      <c r="PA39" s="6" t="n"/>
      <c r="PB39" s="6" t="n"/>
      <c r="PC39" s="6" t="n"/>
      <c r="PD39" s="6" t="n"/>
      <c r="PE39" s="6" t="n"/>
      <c r="PF39" s="6" t="n"/>
      <c r="PG39" s="6" t="n"/>
      <c r="PH39" s="6" t="n"/>
      <c r="PI39" s="6" t="n"/>
      <c r="PJ39" s="6" t="n"/>
      <c r="PK39" s="6" t="n"/>
      <c r="PL39" s="6" t="n"/>
      <c r="PM39" s="6" t="n"/>
      <c r="PN39" s="6">
        <f>IF(COUNTA(OJ39:PM39)=0, "", SUMPRODUCT(--ISNUMBER(SEARCH("m", OJ39:PM39))))</f>
        <v/>
      </c>
      <c r="PO39" s="6">
        <f>IF(COUNTA(OJ39:PM39)=0, "", COUNTA(OJ39:PM39) - SUMPRODUCT(--ISNUMBER(SEARCH("m", OJ39:PM39))))</f>
        <v/>
      </c>
      <c r="PP39" s="6" t="n"/>
      <c r="PQ39" s="6" t="n"/>
      <c r="PR39" s="6" t="n"/>
      <c r="PS39" s="6" t="n"/>
      <c r="PT39" s="6" t="n"/>
      <c r="PU39" s="6" t="n"/>
      <c r="PV39" s="6" t="n"/>
      <c r="PW39" s="6" t="n"/>
      <c r="PX39" s="6" t="n"/>
      <c r="PY39" s="6" t="n"/>
      <c r="PZ39" s="6" t="n"/>
      <c r="QA39" s="6" t="n"/>
      <c r="QB39" s="6" t="n"/>
      <c r="QC39" s="6" t="n"/>
      <c r="QD39" s="6" t="n"/>
      <c r="QE39" s="6" t="n"/>
      <c r="QF39" s="6" t="n"/>
      <c r="QG39" s="6" t="n"/>
      <c r="QH39" s="6" t="n"/>
      <c r="QI39" s="6" t="n"/>
      <c r="QJ39" s="20">
        <f>IFERROR(ROUND(AVERAGE(PP39,PR39,PT39,PV39,PX39,PZ39,QB39,QD39,QF39,QH39), 2), "")</f>
        <v/>
      </c>
      <c r="QK39" s="6" t="n"/>
      <c r="QL39" s="6" t="n"/>
      <c r="QM39" s="6" t="n"/>
      <c r="QN39" s="6" t="n"/>
      <c r="QO39" s="6" t="n"/>
      <c r="QP39" s="6" t="n"/>
      <c r="QQ39" s="6" t="n"/>
      <c r="QR39" s="6" t="n"/>
      <c r="QS39" s="6" t="n"/>
      <c r="QT39" s="6" t="n"/>
      <c r="QU39" s="6" t="n"/>
      <c r="QV39" s="6" t="n"/>
      <c r="QW39" s="6" t="n"/>
      <c r="QX39" s="6" t="n"/>
      <c r="QY39" s="6" t="n"/>
      <c r="QZ39" s="6" t="n"/>
      <c r="RA39" s="6" t="n"/>
      <c r="RB39" s="6" t="n"/>
      <c r="RC39" s="6" t="n"/>
      <c r="RD39" s="6" t="n"/>
      <c r="RE39" s="6" t="n"/>
      <c r="RF39" s="6" t="n"/>
      <c r="RG39" s="6" t="n"/>
      <c r="RH39" s="6" t="n"/>
      <c r="RI39" s="6" t="n"/>
      <c r="RJ39" s="6" t="n"/>
      <c r="RK39" s="6" t="n"/>
      <c r="RL39" s="6" t="n"/>
      <c r="RM39" s="6" t="n"/>
      <c r="RN39" s="6" t="n"/>
      <c r="RO39" s="6">
        <f>IF(COUNTA(QK39:RN39)=0, "", SUMPRODUCT(--ISNUMBER(SEARCH("m", QK39:RN39))))</f>
        <v/>
      </c>
      <c r="RP39" s="6">
        <f>IF(COUNTA(QK39:RN39)=0, "", COUNTA(QK39:RN39) - SUMPRODUCT(--ISNUMBER(SEARCH("m", QK39:RN39))))</f>
        <v/>
      </c>
      <c r="RQ39" s="6" t="n"/>
      <c r="RR39" s="6" t="n"/>
      <c r="RS39" s="6" t="n"/>
      <c r="RT39" s="6" t="n"/>
      <c r="RU39" s="6" t="n"/>
      <c r="RV39" s="6" t="n"/>
      <c r="RW39" s="6" t="n"/>
      <c r="RX39" s="6" t="n"/>
      <c r="RY39" s="6" t="n"/>
      <c r="RZ39" s="6" t="n"/>
      <c r="SA39" s="6" t="n"/>
      <c r="SB39" s="6" t="n"/>
      <c r="SC39" s="6" t="n"/>
      <c r="SD39" s="6" t="n"/>
      <c r="SE39" s="6" t="n"/>
      <c r="SF39" s="6" t="n"/>
      <c r="SG39" s="6" t="n"/>
      <c r="SH39" s="6" t="n"/>
      <c r="SI39" s="6" t="n"/>
      <c r="SJ39" s="6" t="n"/>
      <c r="SK39" s="20">
        <f>IFERROR(ROUND(AVERAGE(RQ39,RS39,RU39,RW39,RY39,SA39,SC39,SE39,SG39,SI39), 2), "")</f>
        <v/>
      </c>
      <c r="SL39" s="6" t="n"/>
      <c r="SM39" s="6" t="n"/>
      <c r="SN39" s="6" t="n"/>
      <c r="SO39" s="6" t="n"/>
      <c r="SP39" s="6" t="n"/>
      <c r="SQ39" s="6" t="n"/>
      <c r="SR39" s="6" t="n"/>
      <c r="SS39" s="6" t="n"/>
      <c r="ST39" s="6" t="n"/>
      <c r="SU39" s="6" t="n"/>
      <c r="SV39" s="6" t="n"/>
      <c r="SW39" s="6" t="n"/>
      <c r="SX39" s="6" t="n"/>
      <c r="SY39" s="6" t="n"/>
      <c r="SZ39" s="6" t="n"/>
      <c r="TA39" s="6" t="n"/>
      <c r="TB39" s="6" t="n"/>
      <c r="TC39" s="6" t="n"/>
      <c r="TD39" s="6" t="n"/>
      <c r="TE39" s="6" t="n"/>
      <c r="TF39" s="6" t="n"/>
      <c r="TG39" s="6" t="n"/>
      <c r="TH39" s="6" t="n"/>
      <c r="TI39" s="6" t="n"/>
      <c r="TJ39" s="6" t="n"/>
      <c r="TK39" s="6" t="n"/>
      <c r="TL39" s="6" t="n"/>
      <c r="TM39" s="6" t="n"/>
      <c r="TN39" s="6" t="n"/>
      <c r="TO39" s="6" t="n"/>
      <c r="TP39" s="6">
        <f>IF(COUNTA(SL39:TO39)=0, "", SUMPRODUCT(--ISNUMBER(SEARCH("m", SL39:TO39))))</f>
        <v/>
      </c>
      <c r="TQ39" s="6">
        <f>IF(COUNTA(SL39:TO39)=0, "", COUNTA(SL39:TO39) - SUMPRODUCT(--ISNUMBER(SEARCH("m", SL39:TO39))))</f>
        <v/>
      </c>
      <c r="TR39" s="6" t="n"/>
      <c r="TS39" s="6" t="n"/>
      <c r="TT39" s="6" t="n"/>
      <c r="TU39" s="6" t="n"/>
      <c r="TV39" s="6" t="n"/>
      <c r="TW39" s="6" t="n"/>
      <c r="TX39" s="6" t="n"/>
      <c r="TY39" s="6" t="n"/>
      <c r="TZ39" s="6" t="n"/>
      <c r="UA39" s="6" t="n"/>
      <c r="UB39" s="6" t="n"/>
      <c r="UC39" s="6" t="n"/>
      <c r="UD39" s="6" t="n"/>
      <c r="UE39" s="6" t="n"/>
      <c r="UF39" s="6" t="n"/>
      <c r="UG39" s="6" t="n"/>
      <c r="UH39" s="6" t="n"/>
      <c r="UI39" s="6" t="n"/>
      <c r="UJ39" s="6" t="n"/>
      <c r="UK39" s="6" t="n"/>
      <c r="UL39" s="20">
        <f>IFERROR(ROUND(AVERAGE(TR39,TT39,TV39,TX39,TZ39,UB39,UD39,UF39,UH39,UJ39), 2), "")</f>
        <v/>
      </c>
      <c r="UM39" s="6" t="n"/>
      <c r="UN39" s="6" t="n"/>
      <c r="UO39" s="6" t="n"/>
      <c r="UP39" s="6" t="n"/>
      <c r="UQ39" s="6" t="n"/>
      <c r="UR39" s="6" t="n"/>
      <c r="US39" s="6" t="n"/>
      <c r="UT39" s="6" t="n"/>
      <c r="UU39" s="6" t="n"/>
      <c r="UV39" s="6" t="n"/>
      <c r="UW39" s="6" t="n"/>
      <c r="UX39" s="6" t="n"/>
      <c r="UY39" s="6" t="n"/>
      <c r="UZ39" s="6" t="n"/>
      <c r="VA39" s="6" t="n"/>
      <c r="VB39" s="6" t="n"/>
      <c r="VC39" s="6" t="n"/>
      <c r="VD39" s="6" t="n"/>
      <c r="VE39" s="6" t="n"/>
      <c r="VF39" s="6" t="n"/>
      <c r="VG39" s="6" t="n"/>
      <c r="VH39" s="6" t="n"/>
      <c r="VI39" s="6" t="n"/>
      <c r="VJ39" s="6" t="n"/>
      <c r="VK39" s="6" t="n"/>
      <c r="VL39" s="6" t="n"/>
      <c r="VM39" s="6" t="n"/>
      <c r="VN39" s="6" t="n"/>
      <c r="VO39" s="6" t="n"/>
      <c r="VP39" s="6" t="n"/>
      <c r="VQ39" s="6">
        <f>IF(COUNTA(UM39:VP39)=0, "", SUMPRODUCT(--ISNUMBER(SEARCH("m", UM39:VP39))))</f>
        <v/>
      </c>
      <c r="VR39" s="6">
        <f>IF(COUNTA(UM39:VP39)=0, "", COUNTA(UM39:VP39) - SUMPRODUCT(--ISNUMBER(SEARCH("m", UM39:VP39))))</f>
        <v/>
      </c>
      <c r="VS39" s="6" t="n"/>
      <c r="VT39" s="6" t="n"/>
      <c r="VU39" s="6" t="n"/>
      <c r="VV39" s="6" t="n"/>
      <c r="VW39" s="6" t="n"/>
      <c r="VX39" s="6" t="n"/>
      <c r="VY39" s="6" t="n"/>
      <c r="VZ39" s="6" t="n"/>
      <c r="WA39" s="6" t="n"/>
      <c r="WB39" s="6" t="n"/>
      <c r="WC39" s="6" t="n"/>
      <c r="WD39" s="6" t="n"/>
      <c r="WE39" s="6" t="n"/>
      <c r="WF39" s="6" t="n"/>
      <c r="WG39" s="6" t="n"/>
      <c r="WH39" s="6" t="n"/>
      <c r="WI39" s="6" t="n"/>
      <c r="WJ39" s="6" t="n"/>
      <c r="WK39" s="6" t="n"/>
      <c r="WL39" s="6" t="n"/>
      <c r="WM39" s="20">
        <f>IFERROR(ROUND(AVERAGE(VS39,VU39,VW39,VY39,WA39,WC39,WE39,WG39,WI39,WK39), 2), "")</f>
        <v/>
      </c>
      <c r="WN39" s="6" t="n"/>
      <c r="WO39" s="6" t="n"/>
      <c r="WP39" s="6" t="n"/>
      <c r="WQ39" s="6" t="n"/>
      <c r="WR39" s="6" t="n"/>
      <c r="WS39" s="6" t="n"/>
      <c r="WT39" s="6" t="n"/>
      <c r="WU39" s="6" t="n"/>
      <c r="WV39" s="6" t="n"/>
      <c r="WW39" s="6" t="n"/>
      <c r="WX39" s="6" t="n"/>
      <c r="WY39" s="6" t="n"/>
      <c r="WZ39" s="6" t="n"/>
      <c r="XA39" s="6" t="n"/>
      <c r="XB39" s="6" t="n"/>
      <c r="XC39" s="6" t="n"/>
      <c r="XD39" s="6" t="n"/>
      <c r="XE39" s="6" t="n"/>
      <c r="XF39" s="6" t="n"/>
      <c r="XG39" s="6" t="n"/>
      <c r="XH39" s="6" t="n"/>
      <c r="XI39" s="6" t="n"/>
      <c r="XJ39" s="6" t="n"/>
      <c r="XK39" s="6" t="n"/>
      <c r="XL39" s="6" t="n"/>
      <c r="XM39" s="6" t="n"/>
      <c r="XN39" s="6" t="n"/>
      <c r="XO39" s="6" t="n"/>
      <c r="XP39" s="6" t="n"/>
      <c r="XQ39" s="6" t="n"/>
      <c r="XR39" s="6">
        <f>IF(COUNTA(WN39:XQ39)=0, "", SUMPRODUCT(--ISNUMBER(SEARCH("m", WN39:XQ39))))</f>
        <v/>
      </c>
      <c r="XS39" s="6">
        <f>IF(COUNTA(WN39:XQ39)=0, "", COUNTA(WN39:XQ39) - SUMPRODUCT(--ISNUMBER(SEARCH("m", WN39:XQ39))))</f>
        <v/>
      </c>
      <c r="XT39" s="6" t="n"/>
      <c r="XU39" s="6" t="n"/>
      <c r="XV39" s="6" t="n"/>
      <c r="XW39" s="6" t="n"/>
      <c r="XX39" s="6" t="n"/>
      <c r="XY39" s="6" t="n"/>
      <c r="XZ39" s="6" t="n"/>
      <c r="YA39" s="6" t="n"/>
      <c r="YB39" s="6" t="n"/>
      <c r="YC39" s="6" t="n"/>
      <c r="YD39" s="6" t="n"/>
      <c r="YE39" s="6" t="n"/>
      <c r="YF39" s="6" t="n"/>
      <c r="YG39" s="6" t="n"/>
      <c r="YH39" s="6" t="n"/>
      <c r="YI39" s="6" t="n"/>
      <c r="YJ39" s="6" t="n"/>
      <c r="YK39" s="6" t="n"/>
      <c r="YL39" s="6" t="n"/>
      <c r="YM39" s="6" t="n"/>
      <c r="YN39" s="20">
        <f>IFERROR(ROUND(AVERAGE(XT39,XV39,XX39,XZ39,YB39,YD39,YF39,YH39,YJ39,YL39), 2), "")</f>
        <v/>
      </c>
      <c r="YO39" s="6" t="n"/>
      <c r="YP39" s="6" t="n"/>
      <c r="YQ39" s="6" t="n"/>
      <c r="YR39" s="6" t="n"/>
      <c r="YS39" s="6" t="n"/>
      <c r="YT39" s="6" t="n"/>
      <c r="YU39" s="6" t="n"/>
      <c r="YV39" s="6" t="n"/>
      <c r="YW39" s="6" t="n"/>
      <c r="YX39" s="6" t="n"/>
      <c r="YY39" s="6" t="n"/>
      <c r="YZ39" s="6" t="n"/>
      <c r="ZA39" s="6" t="n"/>
      <c r="ZB39" s="6" t="n"/>
      <c r="ZC39" s="6" t="n"/>
      <c r="ZD39" s="6" t="n"/>
      <c r="ZE39" s="6" t="n"/>
      <c r="ZF39" s="6" t="n"/>
      <c r="ZG39" s="6" t="n"/>
      <c r="ZH39" s="6" t="n"/>
      <c r="ZI39" s="6" t="n"/>
      <c r="ZJ39" s="6" t="n"/>
      <c r="ZK39" s="6" t="n"/>
      <c r="ZL39" s="6" t="n"/>
      <c r="ZM39" s="6" t="n"/>
      <c r="ZN39" s="6" t="n"/>
      <c r="ZO39" s="6" t="n"/>
      <c r="ZP39" s="6" t="n"/>
      <c r="ZQ39" s="6" t="n"/>
      <c r="ZR39" s="6" t="n"/>
      <c r="ZS39" s="6">
        <f>IF(COUNTA(YO39:ZR39)=0, "", SUMPRODUCT(--ISNUMBER(SEARCH("m", YO39:ZR39))))</f>
        <v/>
      </c>
      <c r="ZT39" s="6">
        <f>IF(COUNTA(YO39:ZR39)=0, "", COUNTA(YO39:ZR39) - SUMPRODUCT(--ISNUMBER(SEARCH("m", YO39:ZR39))))</f>
        <v/>
      </c>
      <c r="ZU39" s="6" t="n"/>
      <c r="ZV39" s="6" t="n"/>
      <c r="ZW39" s="6" t="n"/>
      <c r="ZX39" s="6" t="n"/>
      <c r="ZY39" s="6" t="n"/>
      <c r="ZZ39" s="6" t="n"/>
      <c r="AAA39" s="6" t="n"/>
      <c r="AAB39" s="6" t="n"/>
      <c r="AAC39" s="6" t="n"/>
      <c r="AAD39" s="6" t="n"/>
      <c r="AAE39" s="6" t="n"/>
      <c r="AAF39" s="6" t="n"/>
      <c r="AAG39" s="6" t="n"/>
      <c r="AAH39" s="6" t="n"/>
      <c r="AAI39" s="6" t="n"/>
      <c r="AAJ39" s="6" t="n"/>
      <c r="AAK39" s="6" t="n"/>
      <c r="AAL39" s="6" t="n"/>
      <c r="AAM39" s="6" t="n"/>
      <c r="AAN39" s="6" t="n"/>
      <c r="AAO39" s="20">
        <f>IFERROR(ROUND(AVERAGE(ZU39,ZW39,ZY39,AAA39,AAC39,AAE39,AAG39,AAI39,AAK39,AAM39), 2), "")</f>
        <v/>
      </c>
      <c r="AAP39" s="6" t="n"/>
      <c r="AAQ39" s="6" t="n"/>
      <c r="AAR39" s="6" t="n"/>
      <c r="AAS39" s="6" t="n"/>
      <c r="AAT39" s="6" t="n"/>
      <c r="AAU39" s="6" t="n"/>
      <c r="AAV39" s="6" t="n"/>
      <c r="AAW39" s="6" t="n"/>
      <c r="AAX39" s="6" t="n"/>
      <c r="AAY39" s="6" t="n"/>
      <c r="AAZ39" s="6" t="n"/>
      <c r="ABA39" s="6" t="n"/>
      <c r="ABB39" s="6" t="n"/>
      <c r="ABC39" s="6" t="n"/>
      <c r="ABD39" s="6" t="n"/>
      <c r="ABE39" s="6" t="n"/>
      <c r="ABF39" s="6" t="n"/>
      <c r="ABG39" s="6" t="n"/>
      <c r="ABH39" s="6" t="n"/>
      <c r="ABI39" s="6" t="n"/>
      <c r="ABJ39" s="6" t="n"/>
      <c r="ABK39" s="6" t="n"/>
      <c r="ABL39" s="6" t="n"/>
      <c r="ABM39" s="6" t="n"/>
      <c r="ABN39" s="6" t="n"/>
      <c r="ABO39" s="6" t="n"/>
      <c r="ABP39" s="6" t="n"/>
      <c r="ABQ39" s="6" t="n"/>
      <c r="ABR39" s="6" t="n"/>
      <c r="ABS39" s="6" t="n"/>
      <c r="ABT39" s="6">
        <f>IF(COUNTA(AAP39:ABS39)=0, "", SUMPRODUCT(--ISNUMBER(SEARCH("m", AAP39:ABS39))))</f>
        <v/>
      </c>
      <c r="ABU39" s="6">
        <f>IF(COUNTA(AAP39:ABS39)=0, "", COUNTA(AAP39:ABS39) - SUMPRODUCT(--ISNUMBER(SEARCH("m", AAP39:ABS39))))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8">
        <f>IFERROR(ROUND(AVERAGE(AB40,CC40,ED40,GE40,IF40,KG40,MH40,OI40,QJ40,SK40,UL40,WM40,YN40,AAO40), 2), "")</f>
        <v/>
      </c>
      <c r="F40" s="14">
        <f>IF(SUM(BH40,DI40,FJ40,HK40,JL40,LM40,NN40,PO40,RP40,TQ40,VR40,XS40,ZT40,ABU40)=0, "", SUM(BH40,DI40,FJ40,HK40,JL40,LM40,NN40,PO40,RP40,TQ40,VR40,XS40,ZT40,ABU40))</f>
        <v/>
      </c>
      <c r="G40" s="8">
        <f>IF(SUM(BG40,DH40,FI40,HJ40,JK40,LL40,NM40,PN40,RO40,TP40,VQ40,XR40,ZS40,ABT40)=0, "", SUM(BG40,DH40,FI40,HJ40,JK40,LL40,NM40,PN40,RO40,TP40,VQ40,XR40,ZS40,ABT40))</f>
        <v/>
      </c>
      <c r="H40" s="6" t="n"/>
      <c r="I40" s="79" t="n"/>
      <c r="J40" s="6" t="n"/>
      <c r="K40" s="79" t="n"/>
      <c r="L40" s="6" t="n"/>
      <c r="M40" s="79" t="n"/>
      <c r="N40" s="6" t="n"/>
      <c r="O40" s="79" t="n"/>
      <c r="P40" s="6" t="n"/>
      <c r="Q40" s="79" t="n"/>
      <c r="R40" s="18" t="n"/>
      <c r="S40" s="79" t="n"/>
      <c r="T40" s="79" t="n"/>
      <c r="U40" s="79" t="n"/>
      <c r="V40" s="79" t="n"/>
      <c r="W40" s="79" t="n"/>
      <c r="X40" s="79" t="n"/>
      <c r="Y40" s="79" t="n"/>
      <c r="Z40" s="79" t="n"/>
      <c r="AA40" s="18" t="n"/>
      <c r="AB40" s="14">
        <f>IFERROR(ROUND(AVERAGE(H40,J40,L40,N40,P40,R40,T40,V40,X40,Z40), 2), "")</f>
        <v/>
      </c>
      <c r="AC40" s="6" t="n"/>
      <c r="AD40" s="79" t="n"/>
      <c r="AE40" s="6" t="n"/>
      <c r="AF40" s="79" t="n"/>
      <c r="AG40" s="6" t="n"/>
      <c r="AH40" s="79" t="n"/>
      <c r="AI40" s="6" t="n"/>
      <c r="AJ40" s="79" t="n"/>
      <c r="AK40" s="6" t="n"/>
      <c r="AL40" s="79" t="n"/>
      <c r="AM40" s="18" t="n"/>
      <c r="AN40" s="79" t="n"/>
      <c r="AO40" s="79" t="n"/>
      <c r="AP40" s="79" t="n"/>
      <c r="AQ40" s="79" t="n"/>
      <c r="AR40" s="79" t="n"/>
      <c r="AS40" s="79" t="n"/>
      <c r="AT40" s="79" t="n"/>
      <c r="AU40" s="79" t="n"/>
      <c r="AV40" s="18" t="n"/>
      <c r="AW40" s="19" t="n"/>
      <c r="AX40" s="6" t="n"/>
      <c r="AY40" s="79" t="n"/>
      <c r="AZ40" s="6" t="n"/>
      <c r="BA40" s="79" t="n"/>
      <c r="BB40" s="6" t="n"/>
      <c r="BC40" s="79" t="n"/>
      <c r="BD40" s="6" t="n"/>
      <c r="BE40" s="79" t="n"/>
      <c r="BF40" s="6" t="n"/>
      <c r="BG40" s="79">
        <f>IF(COUNTA(AC40:BF40)=0, "", SUMPRODUCT(--ISNUMBER(SEARCH("m", AC40:BF40))))</f>
        <v/>
      </c>
      <c r="BH40" s="18">
        <f>IF(COUNTA(AC40:BF40)=0, "", COUNTA(AC40:BF40) - SUMPRODUCT(--ISNUMBER(SEARCH("m", AC40:BF40))))</f>
        <v/>
      </c>
      <c r="BI40" s="79" t="n"/>
      <c r="BJ40" s="79" t="n"/>
      <c r="BK40" s="79" t="n"/>
      <c r="BL40" s="79" t="n"/>
      <c r="BM40" s="79" t="n"/>
      <c r="BN40" s="79" t="n"/>
      <c r="BO40" s="79" t="n"/>
      <c r="BP40" s="79" t="n"/>
      <c r="BQ40" s="18" t="n"/>
      <c r="BR40" s="19" t="n"/>
      <c r="BS40" s="6" t="n"/>
      <c r="BT40" s="79" t="n"/>
      <c r="BU40" s="6" t="n"/>
      <c r="BV40" s="79" t="n"/>
      <c r="BW40" s="6" t="n"/>
      <c r="BX40" s="79" t="n"/>
      <c r="BY40" s="6" t="n"/>
      <c r="BZ40" s="79" t="n"/>
      <c r="CA40" s="6" t="n"/>
      <c r="CB40" s="79" t="n"/>
      <c r="CC40" s="8">
        <f>IFERROR(ROUND(AVERAGE(BI40,BK40,BM40,BO40,BQ40,BS40,BU40,BW40,BY40,CA40), 2), "")</f>
        <v/>
      </c>
      <c r="CD40" s="79" t="n"/>
      <c r="CE40" s="79" t="n"/>
      <c r="CF40" s="79" t="n"/>
      <c r="CG40" s="79" t="n"/>
      <c r="CH40" s="79" t="n"/>
      <c r="CI40" s="79" t="n"/>
      <c r="CJ40" s="79" t="n"/>
      <c r="CK40" s="79" t="n"/>
      <c r="CL40" s="18" t="n"/>
      <c r="CM40" s="19" t="n"/>
      <c r="CN40" s="6" t="n"/>
      <c r="CO40" s="79" t="n"/>
      <c r="CP40" s="6" t="n"/>
      <c r="CQ40" s="79" t="n"/>
      <c r="CR40" s="6" t="n"/>
      <c r="CS40" s="79" t="n"/>
      <c r="CT40" s="6" t="n"/>
      <c r="CU40" s="79" t="n"/>
      <c r="CV40" s="6" t="n"/>
      <c r="CW40" s="79" t="n"/>
      <c r="CX40" s="18" t="n"/>
      <c r="CY40" s="79" t="n"/>
      <c r="CZ40" s="79" t="n"/>
      <c r="DA40" s="79" t="n"/>
      <c r="DB40" s="79" t="n"/>
      <c r="DC40" s="79" t="n"/>
      <c r="DD40" s="79" t="n"/>
      <c r="DE40" s="79" t="n"/>
      <c r="DF40" s="79" t="n"/>
      <c r="DG40" s="18" t="n"/>
      <c r="DH40" s="19">
        <f>IF(COUNTA(CD40:DG40)=0, "", SUMPRODUCT(--ISNUMBER(SEARCH("m", CD40:DG40))))</f>
        <v/>
      </c>
      <c r="DI40" s="6">
        <f>IF(COUNTA(CD40:DG40)=0, "", COUNTA(CD40:DG40) - SUMPRODUCT(--ISNUMBER(SEARCH("m", CD40:DG40))))</f>
        <v/>
      </c>
      <c r="DJ40" s="79" t="n"/>
      <c r="DK40" s="6" t="n"/>
      <c r="DL40" s="79" t="n"/>
      <c r="DM40" s="6" t="n"/>
      <c r="DN40" s="79" t="n"/>
      <c r="DO40" s="6" t="n"/>
      <c r="DP40" s="79" t="n"/>
      <c r="DQ40" s="6" t="n"/>
      <c r="DR40" s="79" t="n"/>
      <c r="DS40" s="18" t="n"/>
      <c r="DT40" s="79" t="n"/>
      <c r="DU40" s="79" t="n"/>
      <c r="DV40" s="79" t="n"/>
      <c r="DW40" s="79" t="n"/>
      <c r="DX40" s="79" t="n"/>
      <c r="DY40" s="79" t="n"/>
      <c r="DZ40" s="79" t="n"/>
      <c r="EA40" s="79" t="n"/>
      <c r="EB40" s="18" t="n"/>
      <c r="EC40" s="19" t="n"/>
      <c r="ED40" s="20">
        <f>IFERROR(ROUND(AVERAGE(DJ40,DL40,DN40,DP40,DR40,DT40,DV40,DX40,DZ40,EB40), 2), "")</f>
        <v/>
      </c>
      <c r="EE40" s="79" t="n"/>
      <c r="EF40" s="6" t="n"/>
      <c r="EG40" s="79" t="n"/>
      <c r="EH40" s="6" t="n"/>
      <c r="EI40" s="79" t="n"/>
      <c r="EJ40" s="6" t="n"/>
      <c r="EK40" s="79" t="n"/>
      <c r="EL40" s="6" t="n"/>
      <c r="EM40" s="79" t="n"/>
      <c r="EN40" s="18" t="n"/>
      <c r="EO40" s="79" t="n"/>
      <c r="EP40" s="79" t="n"/>
      <c r="EQ40" s="79" t="n"/>
      <c r="ER40" s="79" t="n"/>
      <c r="ES40" s="79" t="n"/>
      <c r="ET40" s="79" t="n"/>
      <c r="EU40" s="79" t="n"/>
      <c r="EV40" s="79" t="n"/>
      <c r="EW40" s="18" t="n"/>
      <c r="EX40" s="19" t="n"/>
      <c r="EY40" s="6" t="n"/>
      <c r="EZ40" s="79" t="n"/>
      <c r="FA40" s="6" t="n"/>
      <c r="FB40" s="79" t="n"/>
      <c r="FC40" s="6" t="n"/>
      <c r="FD40" s="79" t="n"/>
      <c r="FE40" s="6" t="n"/>
      <c r="FF40" s="79" t="n"/>
      <c r="FG40" s="6" t="n"/>
      <c r="FH40" s="79" t="n"/>
      <c r="FI40" s="18">
        <f>IF(COUNTA(EE40:FH40)=0, "", SUMPRODUCT(--ISNUMBER(SEARCH("m", EE40:FH40))))</f>
        <v/>
      </c>
      <c r="FJ40" s="79">
        <f>IF(COUNTA(EE40:FH40)=0, "", COUNTA(EE40:FH40) - SUMPRODUCT(--ISNUMBER(SEARCH("m", EE40:FH40))))</f>
        <v/>
      </c>
      <c r="FK40" s="79" t="n"/>
      <c r="FL40" s="79" t="n"/>
      <c r="FM40" s="79" t="n"/>
      <c r="FN40" s="79" t="n"/>
      <c r="FO40" s="79" t="n"/>
      <c r="FP40" s="79" t="n"/>
      <c r="FQ40" s="79" t="n"/>
      <c r="FR40" s="18" t="n"/>
      <c r="FS40" s="19" t="n"/>
      <c r="FT40" s="6" t="n"/>
      <c r="FU40" s="79" t="n"/>
      <c r="FV40" s="6" t="n"/>
      <c r="FW40" s="79" t="n"/>
      <c r="FX40" s="6" t="n"/>
      <c r="FY40" s="79" t="n"/>
      <c r="FZ40" s="6" t="n"/>
      <c r="GA40" s="79" t="n"/>
      <c r="GB40" s="6" t="n"/>
      <c r="GC40" s="79" t="n"/>
      <c r="GD40" s="18" t="n"/>
      <c r="GE40" s="80">
        <f>IFERROR(ROUND(AVERAGE(FK40,FM40,FO40,FQ40,FS40,FU40,FW40,FY40,GA40,GC40), 2), "")</f>
        <v/>
      </c>
      <c r="GF40" s="79" t="n"/>
      <c r="GG40" s="79" t="n"/>
      <c r="GH40" s="79" t="n"/>
      <c r="GI40" s="79" t="n"/>
      <c r="GJ40" s="79" t="n"/>
      <c r="GK40" s="79" t="n"/>
      <c r="GL40" s="79" t="n"/>
      <c r="GM40" s="18" t="n"/>
      <c r="GN40" s="19" t="n"/>
      <c r="GO40" s="6" t="n"/>
      <c r="GP40" s="79" t="n"/>
      <c r="GQ40" s="6" t="n"/>
      <c r="GR40" s="79" t="n"/>
      <c r="GS40" s="6" t="n"/>
      <c r="GT40" s="79" t="n"/>
      <c r="GU40" s="6" t="n"/>
      <c r="GV40" s="79" t="n"/>
      <c r="GW40" s="6" t="n"/>
      <c r="GX40" s="79" t="n"/>
      <c r="GY40" s="18" t="n"/>
      <c r="GZ40" s="79" t="n"/>
      <c r="HA40" s="79" t="n"/>
      <c r="HB40" s="79" t="n"/>
      <c r="HC40" s="79" t="n"/>
      <c r="HD40" s="79" t="n"/>
      <c r="HE40" s="79" t="n"/>
      <c r="HF40" s="79" t="n"/>
      <c r="HG40" s="79" t="n"/>
      <c r="HH40" s="18" t="n"/>
      <c r="HI40" s="19" t="n"/>
      <c r="HJ40" s="6">
        <f>IF(COUNTA(GF40:HI40)=0, "", SUMPRODUCT(--ISNUMBER(SEARCH("m", GF40:HI40))))</f>
        <v/>
      </c>
      <c r="HK40" s="79">
        <f>IF(COUNTA(GF40:HI40)=0, "", COUNTA(GF40:HI40) - SUMPRODUCT(--ISNUMBER(SEARCH("m", GF40:HI40))))</f>
        <v/>
      </c>
      <c r="HL40" s="6" t="n"/>
      <c r="HM40" s="79" t="n"/>
      <c r="HN40" s="6" t="n"/>
      <c r="HO40" s="79" t="n"/>
      <c r="HP40" s="6" t="n"/>
      <c r="HQ40" s="79" t="n"/>
      <c r="HR40" s="6" t="n"/>
      <c r="HS40" s="79" t="n"/>
      <c r="HT40" s="18" t="n"/>
      <c r="HU40" s="79" t="n"/>
      <c r="HV40" s="79" t="n"/>
      <c r="HW40" s="79" t="n"/>
      <c r="HX40" s="79" t="n"/>
      <c r="HY40" s="79" t="n"/>
      <c r="HZ40" s="79" t="n"/>
      <c r="IA40" s="79" t="n"/>
      <c r="IB40" s="79" t="n"/>
      <c r="IC40" s="18" t="n"/>
      <c r="ID40" s="19" t="n"/>
      <c r="IE40" s="6" t="n"/>
      <c r="IF40" s="80">
        <f>IFERROR(ROUND(AVERAGE(HL40,HN40,HP40,HR40,HT40,HV40,HX40,HZ40,IB40,ID40), 2), "")</f>
        <v/>
      </c>
      <c r="IG40" s="6" t="n"/>
      <c r="IH40" s="79" t="n"/>
      <c r="II40" s="6" t="n"/>
      <c r="IJ40" s="79" t="n"/>
      <c r="IK40" s="6" t="n"/>
      <c r="IL40" s="79" t="n"/>
      <c r="IM40" s="6" t="n"/>
      <c r="IN40" s="79" t="n"/>
      <c r="IO40" s="18" t="n"/>
      <c r="IP40" s="79" t="n"/>
      <c r="IQ40" s="79" t="n"/>
      <c r="IR40" s="79" t="n"/>
      <c r="IS40" s="79" t="n"/>
      <c r="IT40" s="79" t="n"/>
      <c r="IU40" s="79" t="n"/>
      <c r="IV40" s="79" t="n"/>
      <c r="IW40" s="79" t="n"/>
      <c r="IX40" s="18" t="n"/>
      <c r="IY40" s="19" t="n"/>
      <c r="IZ40" s="6" t="n"/>
      <c r="JA40" s="79" t="n"/>
      <c r="JB40" s="6" t="n"/>
      <c r="JC40" s="79" t="n"/>
      <c r="JD40" s="6" t="n"/>
      <c r="JE40" s="79" t="n"/>
      <c r="JF40" s="6" t="n"/>
      <c r="JG40" s="79" t="n"/>
      <c r="JH40" s="6" t="n"/>
      <c r="JI40" s="79" t="n"/>
      <c r="JJ40" s="18" t="n"/>
      <c r="JK40" s="79">
        <f>IF(COUNTA(IG40:JJ40)=0, "", SUMPRODUCT(--ISNUMBER(SEARCH("m", IG40:JJ40))))</f>
        <v/>
      </c>
      <c r="JL40" s="79">
        <f>IF(COUNTA(IG40:JJ40)=0, "", COUNTA(IG40:JJ40) - SUMPRODUCT(--ISNUMBER(SEARCH("m", IG40:JJ40))))</f>
        <v/>
      </c>
      <c r="JM40" s="79" t="n"/>
      <c r="JN40" s="79" t="n"/>
      <c r="JO40" s="79" t="n"/>
      <c r="JP40" s="79" t="n"/>
      <c r="JQ40" s="79" t="n"/>
      <c r="JR40" s="79" t="n"/>
      <c r="JS40" s="18" t="n"/>
      <c r="JT40" s="19" t="n"/>
      <c r="JU40" s="6" t="n"/>
      <c r="JV40" s="79" t="n"/>
      <c r="JW40" s="6" t="n"/>
      <c r="JX40" s="79" t="n"/>
      <c r="JY40" s="6" t="n"/>
      <c r="JZ40" s="79" t="n"/>
      <c r="KA40" s="6" t="n"/>
      <c r="KB40" s="79" t="n"/>
      <c r="KC40" s="6" t="n"/>
      <c r="KD40" s="79" t="n"/>
      <c r="KE40" s="18" t="n"/>
      <c r="KF40" s="79" t="n"/>
      <c r="KG40" s="80">
        <f>IFERROR(ROUND(AVERAGE(JM40,JO40,JQ40,JS40,JU40,JW40,JY40,KA40,KC40,KE40), 2), "")</f>
        <v/>
      </c>
      <c r="KH40" s="79" t="n"/>
      <c r="KI40" s="79" t="n"/>
      <c r="KJ40" s="79" t="n"/>
      <c r="KK40" s="79" t="n"/>
      <c r="KL40" s="79" t="n"/>
      <c r="KM40" s="79" t="n"/>
      <c r="KN40" s="18" t="n"/>
      <c r="KO40" s="19" t="n"/>
      <c r="KP40" s="6" t="n"/>
      <c r="KQ40" s="6" t="n"/>
      <c r="KR40" s="6" t="n"/>
      <c r="KS40" s="6" t="n"/>
      <c r="KT40" s="6" t="n"/>
      <c r="KU40" s="6" t="n"/>
      <c r="KV40" s="6" t="n"/>
      <c r="KW40" s="6" t="n"/>
      <c r="KX40" s="6" t="n"/>
      <c r="KY40" s="6" t="n"/>
      <c r="KZ40" s="6" t="n"/>
      <c r="LA40" s="6" t="n"/>
      <c r="LB40" s="6" t="n"/>
      <c r="LC40" s="6" t="n"/>
      <c r="LD40" s="6" t="n"/>
      <c r="LE40" s="6" t="n"/>
      <c r="LF40" s="6" t="n"/>
      <c r="LG40" s="6" t="n"/>
      <c r="LH40" s="6" t="n"/>
      <c r="LI40" s="6" t="n"/>
      <c r="LJ40" s="6" t="n"/>
      <c r="LK40" s="6" t="n"/>
      <c r="LL40" s="6">
        <f>IF(COUNTA(KH40:LK40)=0, "", SUMPRODUCT(--ISNUMBER(SEARCH("m", KH40:LK40))))</f>
        <v/>
      </c>
      <c r="LM40" s="6">
        <f>IF(COUNTA(KH40:LK40)=0, "", COUNTA(KH40:LK40) - SUMPRODUCT(--ISNUMBER(SEARCH("m", KH40:LK40))))</f>
        <v/>
      </c>
      <c r="LN40" s="6" t="n"/>
      <c r="LO40" s="6" t="n"/>
      <c r="LP40" s="6" t="n"/>
      <c r="LQ40" s="6" t="n"/>
      <c r="LR40" s="6" t="n"/>
      <c r="LS40" s="6" t="n"/>
      <c r="LT40" s="6" t="n"/>
      <c r="LU40" s="6" t="n"/>
      <c r="LV40" s="6" t="n"/>
      <c r="LW40" s="6" t="n"/>
      <c r="LX40" s="6" t="n"/>
      <c r="LY40" s="6" t="n"/>
      <c r="LZ40" s="6" t="n"/>
      <c r="MA40" s="6" t="n"/>
      <c r="MB40" s="6" t="n"/>
      <c r="MC40" s="6" t="n"/>
      <c r="MD40" s="6" t="n"/>
      <c r="ME40" s="6" t="n"/>
      <c r="MF40" s="6" t="n"/>
      <c r="MG40" s="6" t="n"/>
      <c r="MH40" s="20">
        <f>IFERROR(ROUND(AVERAGE(LN40,LP40,LR40,LT40,LV40,LX40,LZ40,MB40,MD40,MF40), 2), "")</f>
        <v/>
      </c>
      <c r="MI40" s="6" t="n"/>
      <c r="MJ40" s="6" t="n"/>
      <c r="MK40" s="6" t="n"/>
      <c r="ML40" s="6" t="n"/>
      <c r="MM40" s="6" t="n"/>
      <c r="MN40" s="6" t="n"/>
      <c r="MO40" s="6" t="n"/>
      <c r="MP40" s="6" t="n"/>
      <c r="MQ40" s="6" t="n"/>
      <c r="MR40" s="6" t="n"/>
      <c r="MS40" s="6" t="n"/>
      <c r="MT40" s="6" t="n"/>
      <c r="MU40" s="6" t="n"/>
      <c r="MV40" s="6" t="n"/>
      <c r="MW40" s="6" t="n"/>
      <c r="MX40" s="6" t="n"/>
      <c r="MY40" s="6" t="n"/>
      <c r="MZ40" s="6" t="n"/>
      <c r="NA40" s="6" t="n"/>
      <c r="NB40" s="6" t="n"/>
      <c r="NC40" s="6" t="n"/>
      <c r="ND40" s="6" t="n"/>
      <c r="NE40" s="6" t="n"/>
      <c r="NF40" s="6" t="n"/>
      <c r="NG40" s="6" t="n"/>
      <c r="NH40" s="6" t="n"/>
      <c r="NI40" s="6" t="n"/>
      <c r="NJ40" s="6" t="n"/>
      <c r="NK40" s="6" t="n"/>
      <c r="NL40" s="6" t="n"/>
      <c r="NM40" s="6">
        <f>IF(COUNTA(MI40:NL40)=0, "", SUMPRODUCT(--ISNUMBER(SEARCH("m", MI40:NL40))))</f>
        <v/>
      </c>
      <c r="NN40" s="6">
        <f>IF(COUNTA(MI40:NL40)=0, "", COUNTA(MI40:NL40) - SUMPRODUCT(--ISNUMBER(SEARCH("m", MI40:NL40))))</f>
        <v/>
      </c>
      <c r="NO40" s="6" t="n"/>
      <c r="NP40" s="6" t="n"/>
      <c r="NQ40" s="6" t="n"/>
      <c r="NR40" s="6" t="n"/>
      <c r="NS40" s="6" t="n"/>
      <c r="NT40" s="6" t="n"/>
      <c r="NU40" s="6" t="n"/>
      <c r="NV40" s="6" t="n"/>
      <c r="NW40" s="6" t="n"/>
      <c r="NX40" s="6" t="n"/>
      <c r="NY40" s="6" t="n"/>
      <c r="NZ40" s="6" t="n"/>
      <c r="OA40" s="6" t="n"/>
      <c r="OB40" s="6" t="n"/>
      <c r="OC40" s="6" t="n"/>
      <c r="OD40" s="6" t="n"/>
      <c r="OE40" s="6" t="n"/>
      <c r="OF40" s="6" t="n"/>
      <c r="OG40" s="6" t="n"/>
      <c r="OH40" s="6" t="n"/>
      <c r="OI40" s="20">
        <f>IFERROR(ROUND(AVERAGE(NO40,NQ40,NS40,NU40,NW40,NY40,OA40,OC40,OE40,OG40), 2), "")</f>
        <v/>
      </c>
      <c r="OJ40" s="6" t="n"/>
      <c r="OK40" s="6" t="n"/>
      <c r="OL40" s="6" t="n"/>
      <c r="OM40" s="6" t="n"/>
      <c r="ON40" s="6" t="n"/>
      <c r="OO40" s="6" t="n"/>
      <c r="OP40" s="6" t="n"/>
      <c r="OQ40" s="6" t="n"/>
      <c r="OR40" s="6" t="n"/>
      <c r="OS40" s="6" t="n"/>
      <c r="OT40" s="6" t="n"/>
      <c r="OU40" s="6" t="n"/>
      <c r="OV40" s="6" t="n"/>
      <c r="OW40" s="6" t="n"/>
      <c r="OX40" s="6" t="n"/>
      <c r="OY40" s="6" t="n"/>
      <c r="OZ40" s="6" t="n"/>
      <c r="PA40" s="6" t="n"/>
      <c r="PB40" s="6" t="n"/>
      <c r="PC40" s="6" t="n"/>
      <c r="PD40" s="6" t="n"/>
      <c r="PE40" s="6" t="n"/>
      <c r="PF40" s="6" t="n"/>
      <c r="PG40" s="6" t="n"/>
      <c r="PH40" s="6" t="n"/>
      <c r="PI40" s="6" t="n"/>
      <c r="PJ40" s="6" t="n"/>
      <c r="PK40" s="6" t="n"/>
      <c r="PL40" s="6" t="n"/>
      <c r="PM40" s="6" t="n"/>
      <c r="PN40" s="6">
        <f>IF(COUNTA(OJ40:PM40)=0, "", SUMPRODUCT(--ISNUMBER(SEARCH("m", OJ40:PM40))))</f>
        <v/>
      </c>
      <c r="PO40" s="6">
        <f>IF(COUNTA(OJ40:PM40)=0, "", COUNTA(OJ40:PM40) - SUMPRODUCT(--ISNUMBER(SEARCH("m", OJ40:PM40))))</f>
        <v/>
      </c>
      <c r="PP40" s="6" t="n"/>
      <c r="PQ40" s="6" t="n"/>
      <c r="PR40" s="6" t="n"/>
      <c r="PS40" s="6" t="n"/>
      <c r="PT40" s="6" t="n"/>
      <c r="PU40" s="6" t="n"/>
      <c r="PV40" s="6" t="n"/>
      <c r="PW40" s="6" t="n"/>
      <c r="PX40" s="6" t="n"/>
      <c r="PY40" s="6" t="n"/>
      <c r="PZ40" s="6" t="n"/>
      <c r="QA40" s="6" t="n"/>
      <c r="QB40" s="6" t="n"/>
      <c r="QC40" s="6" t="n"/>
      <c r="QD40" s="6" t="n"/>
      <c r="QE40" s="6" t="n"/>
      <c r="QF40" s="6" t="n"/>
      <c r="QG40" s="6" t="n"/>
      <c r="QH40" s="6" t="n"/>
      <c r="QI40" s="6" t="n"/>
      <c r="QJ40" s="20">
        <f>IFERROR(ROUND(AVERAGE(PP40,PR40,PT40,PV40,PX40,PZ40,QB40,QD40,QF40,QH40), 2), "")</f>
        <v/>
      </c>
      <c r="QK40" s="6" t="n"/>
      <c r="QL40" s="6" t="n"/>
      <c r="QM40" s="6" t="n"/>
      <c r="QN40" s="6" t="n"/>
      <c r="QO40" s="6" t="n"/>
      <c r="QP40" s="6" t="n"/>
      <c r="QQ40" s="6" t="n"/>
      <c r="QR40" s="6" t="n"/>
      <c r="QS40" s="6" t="n"/>
      <c r="QT40" s="6" t="n"/>
      <c r="QU40" s="6" t="n"/>
      <c r="QV40" s="6" t="n"/>
      <c r="QW40" s="6" t="n"/>
      <c r="QX40" s="6" t="n"/>
      <c r="QY40" s="6" t="n"/>
      <c r="QZ40" s="6" t="n"/>
      <c r="RA40" s="6" t="n"/>
      <c r="RB40" s="6" t="n"/>
      <c r="RC40" s="6" t="n"/>
      <c r="RD40" s="6" t="n"/>
      <c r="RE40" s="6" t="n"/>
      <c r="RF40" s="6" t="n"/>
      <c r="RG40" s="6" t="n"/>
      <c r="RH40" s="6" t="n"/>
      <c r="RI40" s="6" t="n"/>
      <c r="RJ40" s="6" t="n"/>
      <c r="RK40" s="6" t="n"/>
      <c r="RL40" s="6" t="n"/>
      <c r="RM40" s="6" t="n"/>
      <c r="RN40" s="6" t="n"/>
      <c r="RO40" s="6">
        <f>IF(COUNTA(QK40:RN40)=0, "", SUMPRODUCT(--ISNUMBER(SEARCH("m", QK40:RN40))))</f>
        <v/>
      </c>
      <c r="RP40" s="6">
        <f>IF(COUNTA(QK40:RN40)=0, "", COUNTA(QK40:RN40) - SUMPRODUCT(--ISNUMBER(SEARCH("m", QK40:RN40))))</f>
        <v/>
      </c>
      <c r="RQ40" s="6" t="n"/>
      <c r="RR40" s="6" t="n"/>
      <c r="RS40" s="6" t="n"/>
      <c r="RT40" s="6" t="n"/>
      <c r="RU40" s="6" t="n"/>
      <c r="RV40" s="6" t="n"/>
      <c r="RW40" s="6" t="n"/>
      <c r="RX40" s="6" t="n"/>
      <c r="RY40" s="6" t="n"/>
      <c r="RZ40" s="6" t="n"/>
      <c r="SA40" s="6" t="n"/>
      <c r="SB40" s="6" t="n"/>
      <c r="SC40" s="6" t="n"/>
      <c r="SD40" s="6" t="n"/>
      <c r="SE40" s="6" t="n"/>
      <c r="SF40" s="6" t="n"/>
      <c r="SG40" s="6" t="n"/>
      <c r="SH40" s="6" t="n"/>
      <c r="SI40" s="6" t="n"/>
      <c r="SJ40" s="6" t="n"/>
      <c r="SK40" s="20">
        <f>IFERROR(ROUND(AVERAGE(RQ40,RS40,RU40,RW40,RY40,SA40,SC40,SE40,SG40,SI40), 2), "")</f>
        <v/>
      </c>
      <c r="SL40" s="6" t="n"/>
      <c r="SM40" s="6" t="n"/>
      <c r="SN40" s="6" t="n"/>
      <c r="SO40" s="6" t="n"/>
      <c r="SP40" s="6" t="n"/>
      <c r="SQ40" s="6" t="n"/>
      <c r="SR40" s="6" t="n"/>
      <c r="SS40" s="6" t="n"/>
      <c r="ST40" s="6" t="n"/>
      <c r="SU40" s="6" t="n"/>
      <c r="SV40" s="6" t="n"/>
      <c r="SW40" s="6" t="n"/>
      <c r="SX40" s="6" t="n"/>
      <c r="SY40" s="6" t="n"/>
      <c r="SZ40" s="6" t="n"/>
      <c r="TA40" s="6" t="n"/>
      <c r="TB40" s="6" t="n"/>
      <c r="TC40" s="6" t="n"/>
      <c r="TD40" s="6" t="n"/>
      <c r="TE40" s="6" t="n"/>
      <c r="TF40" s="6" t="n"/>
      <c r="TG40" s="6" t="n"/>
      <c r="TH40" s="6" t="n"/>
      <c r="TI40" s="6" t="n"/>
      <c r="TJ40" s="6" t="n"/>
      <c r="TK40" s="6" t="n"/>
      <c r="TL40" s="6" t="n"/>
      <c r="TM40" s="6" t="n"/>
      <c r="TN40" s="6" t="n"/>
      <c r="TO40" s="6" t="n"/>
      <c r="TP40" s="6">
        <f>IF(COUNTA(SL40:TO40)=0, "", SUMPRODUCT(--ISNUMBER(SEARCH("m", SL40:TO40))))</f>
        <v/>
      </c>
      <c r="TQ40" s="6">
        <f>IF(COUNTA(SL40:TO40)=0, "", COUNTA(SL40:TO40) - SUMPRODUCT(--ISNUMBER(SEARCH("m", SL40:TO40))))</f>
        <v/>
      </c>
      <c r="TR40" s="6" t="n"/>
      <c r="TS40" s="6" t="n"/>
      <c r="TT40" s="6" t="n"/>
      <c r="TU40" s="6" t="n"/>
      <c r="TV40" s="6" t="n"/>
      <c r="TW40" s="6" t="n"/>
      <c r="TX40" s="6" t="n"/>
      <c r="TY40" s="6" t="n"/>
      <c r="TZ40" s="6" t="n"/>
      <c r="UA40" s="6" t="n"/>
      <c r="UB40" s="6" t="n"/>
      <c r="UC40" s="6" t="n"/>
      <c r="UD40" s="6" t="n"/>
      <c r="UE40" s="6" t="n"/>
      <c r="UF40" s="6" t="n"/>
      <c r="UG40" s="6" t="n"/>
      <c r="UH40" s="6" t="n"/>
      <c r="UI40" s="6" t="n"/>
      <c r="UJ40" s="6" t="n"/>
      <c r="UK40" s="6" t="n"/>
      <c r="UL40" s="20">
        <f>IFERROR(ROUND(AVERAGE(TR40,TT40,TV40,TX40,TZ40,UB40,UD40,UF40,UH40,UJ40), 2), "")</f>
        <v/>
      </c>
      <c r="UM40" s="6" t="n"/>
      <c r="UN40" s="6" t="n"/>
      <c r="UO40" s="6" t="n"/>
      <c r="UP40" s="6" t="n"/>
      <c r="UQ40" s="6" t="n"/>
      <c r="UR40" s="6" t="n"/>
      <c r="US40" s="6" t="n"/>
      <c r="UT40" s="6" t="n"/>
      <c r="UU40" s="6" t="n"/>
      <c r="UV40" s="6" t="n"/>
      <c r="UW40" s="6" t="n"/>
      <c r="UX40" s="6" t="n"/>
      <c r="UY40" s="6" t="n"/>
      <c r="UZ40" s="6" t="n"/>
      <c r="VA40" s="6" t="n"/>
      <c r="VB40" s="6" t="n"/>
      <c r="VC40" s="6" t="n"/>
      <c r="VD40" s="6" t="n"/>
      <c r="VE40" s="6" t="n"/>
      <c r="VF40" s="6" t="n"/>
      <c r="VG40" s="6" t="n"/>
      <c r="VH40" s="6" t="n"/>
      <c r="VI40" s="6" t="n"/>
      <c r="VJ40" s="6" t="n"/>
      <c r="VK40" s="6" t="n"/>
      <c r="VL40" s="6" t="n"/>
      <c r="VM40" s="6" t="n"/>
      <c r="VN40" s="6" t="n"/>
      <c r="VO40" s="6" t="n"/>
      <c r="VP40" s="6" t="n"/>
      <c r="VQ40" s="6">
        <f>IF(COUNTA(UM40:VP40)=0, "", SUMPRODUCT(--ISNUMBER(SEARCH("m", UM40:VP40))))</f>
        <v/>
      </c>
      <c r="VR40" s="6">
        <f>IF(COUNTA(UM40:VP40)=0, "", COUNTA(UM40:VP40) - SUMPRODUCT(--ISNUMBER(SEARCH("m", UM40:VP40))))</f>
        <v/>
      </c>
      <c r="VS40" s="6" t="n"/>
      <c r="VT40" s="6" t="n"/>
      <c r="VU40" s="6" t="n"/>
      <c r="VV40" s="6" t="n"/>
      <c r="VW40" s="6" t="n"/>
      <c r="VX40" s="6" t="n"/>
      <c r="VY40" s="6" t="n"/>
      <c r="VZ40" s="6" t="n"/>
      <c r="WA40" s="6" t="n"/>
      <c r="WB40" s="6" t="n"/>
      <c r="WC40" s="6" t="n"/>
      <c r="WD40" s="6" t="n"/>
      <c r="WE40" s="6" t="n"/>
      <c r="WF40" s="6" t="n"/>
      <c r="WG40" s="6" t="n"/>
      <c r="WH40" s="6" t="n"/>
      <c r="WI40" s="6" t="n"/>
      <c r="WJ40" s="6" t="n"/>
      <c r="WK40" s="6" t="n"/>
      <c r="WL40" s="6" t="n"/>
      <c r="WM40" s="20">
        <f>IFERROR(ROUND(AVERAGE(VS40,VU40,VW40,VY40,WA40,WC40,WE40,WG40,WI40,WK40), 2), "")</f>
        <v/>
      </c>
      <c r="WN40" s="6" t="n"/>
      <c r="WO40" s="6" t="n"/>
      <c r="WP40" s="6" t="n"/>
      <c r="WQ40" s="6" t="n"/>
      <c r="WR40" s="6" t="n"/>
      <c r="WS40" s="6" t="n"/>
      <c r="WT40" s="6" t="n"/>
      <c r="WU40" s="6" t="n"/>
      <c r="WV40" s="6" t="n"/>
      <c r="WW40" s="6" t="n"/>
      <c r="WX40" s="6" t="n"/>
      <c r="WY40" s="6" t="n"/>
      <c r="WZ40" s="6" t="n"/>
      <c r="XA40" s="6" t="n"/>
      <c r="XB40" s="6" t="n"/>
      <c r="XC40" s="6" t="n"/>
      <c r="XD40" s="6" t="n"/>
      <c r="XE40" s="6" t="n"/>
      <c r="XF40" s="6" t="n"/>
      <c r="XG40" s="6" t="n"/>
      <c r="XH40" s="6" t="n"/>
      <c r="XI40" s="6" t="n"/>
      <c r="XJ40" s="6" t="n"/>
      <c r="XK40" s="6" t="n"/>
      <c r="XL40" s="6" t="n"/>
      <c r="XM40" s="6" t="n"/>
      <c r="XN40" s="6" t="n"/>
      <c r="XO40" s="6" t="n"/>
      <c r="XP40" s="6" t="n"/>
      <c r="XQ40" s="6" t="n"/>
      <c r="XR40" s="6">
        <f>IF(COUNTA(WN40:XQ40)=0, "", SUMPRODUCT(--ISNUMBER(SEARCH("m", WN40:XQ40))))</f>
        <v/>
      </c>
      <c r="XS40" s="6">
        <f>IF(COUNTA(WN40:XQ40)=0, "", COUNTA(WN40:XQ40) - SUMPRODUCT(--ISNUMBER(SEARCH("m", WN40:XQ40))))</f>
        <v/>
      </c>
      <c r="XT40" s="6" t="n"/>
      <c r="XU40" s="6" t="n"/>
      <c r="XV40" s="6" t="n"/>
      <c r="XW40" s="6" t="n"/>
      <c r="XX40" s="6" t="n"/>
      <c r="XY40" s="6" t="n"/>
      <c r="XZ40" s="6" t="n"/>
      <c r="YA40" s="6" t="n"/>
      <c r="YB40" s="6" t="n"/>
      <c r="YC40" s="6" t="n"/>
      <c r="YD40" s="6" t="n"/>
      <c r="YE40" s="6" t="n"/>
      <c r="YF40" s="6" t="n"/>
      <c r="YG40" s="6" t="n"/>
      <c r="YH40" s="6" t="n"/>
      <c r="YI40" s="6" t="n"/>
      <c r="YJ40" s="6" t="n"/>
      <c r="YK40" s="6" t="n"/>
      <c r="YL40" s="6" t="n"/>
      <c r="YM40" s="6" t="n"/>
      <c r="YN40" s="20">
        <f>IFERROR(ROUND(AVERAGE(XT40,XV40,XX40,XZ40,YB40,YD40,YF40,YH40,YJ40,YL40), 2), "")</f>
        <v/>
      </c>
      <c r="YO40" s="6" t="n"/>
      <c r="YP40" s="6" t="n"/>
      <c r="YQ40" s="6" t="n"/>
      <c r="YR40" s="6" t="n"/>
      <c r="YS40" s="6" t="n"/>
      <c r="YT40" s="6" t="n"/>
      <c r="YU40" s="6" t="n"/>
      <c r="YV40" s="6" t="n"/>
      <c r="YW40" s="6" t="n"/>
      <c r="YX40" s="6" t="n"/>
      <c r="YY40" s="6" t="n"/>
      <c r="YZ40" s="6" t="n"/>
      <c r="ZA40" s="6" t="n"/>
      <c r="ZB40" s="6" t="n"/>
      <c r="ZC40" s="6" t="n"/>
      <c r="ZD40" s="6" t="n"/>
      <c r="ZE40" s="6" t="n"/>
      <c r="ZF40" s="6" t="n"/>
      <c r="ZG40" s="6" t="n"/>
      <c r="ZH40" s="6" t="n"/>
      <c r="ZI40" s="6" t="n"/>
      <c r="ZJ40" s="6" t="n"/>
      <c r="ZK40" s="6" t="n"/>
      <c r="ZL40" s="6" t="n"/>
      <c r="ZM40" s="6" t="n"/>
      <c r="ZN40" s="6" t="n"/>
      <c r="ZO40" s="6" t="n"/>
      <c r="ZP40" s="6" t="n"/>
      <c r="ZQ40" s="6" t="n"/>
      <c r="ZR40" s="6" t="n"/>
      <c r="ZS40" s="6">
        <f>IF(COUNTA(YO40:ZR40)=0, "", SUMPRODUCT(--ISNUMBER(SEARCH("m", YO40:ZR40))))</f>
        <v/>
      </c>
      <c r="ZT40" s="6">
        <f>IF(COUNTA(YO40:ZR40)=0, "", COUNTA(YO40:ZR40) - SUMPRODUCT(--ISNUMBER(SEARCH("m", YO40:ZR40))))</f>
        <v/>
      </c>
      <c r="ZU40" s="6" t="n"/>
      <c r="ZV40" s="6" t="n"/>
      <c r="ZW40" s="6" t="n"/>
      <c r="ZX40" s="6" t="n"/>
      <c r="ZY40" s="6" t="n"/>
      <c r="ZZ40" s="6" t="n"/>
      <c r="AAA40" s="6" t="n"/>
      <c r="AAB40" s="6" t="n"/>
      <c r="AAC40" s="6" t="n"/>
      <c r="AAD40" s="6" t="n"/>
      <c r="AAE40" s="6" t="n"/>
      <c r="AAF40" s="6" t="n"/>
      <c r="AAG40" s="6" t="n"/>
      <c r="AAH40" s="6" t="n"/>
      <c r="AAI40" s="6" t="n"/>
      <c r="AAJ40" s="6" t="n"/>
      <c r="AAK40" s="6" t="n"/>
      <c r="AAL40" s="6" t="n"/>
      <c r="AAM40" s="6" t="n"/>
      <c r="AAN40" s="6" t="n"/>
      <c r="AAO40" s="20">
        <f>IFERROR(ROUND(AVERAGE(ZU40,ZW40,ZY40,AAA40,AAC40,AAE40,AAG40,AAI40,AAK40,AAM40), 2), "")</f>
        <v/>
      </c>
      <c r="AAP40" s="6" t="n"/>
      <c r="AAQ40" s="6" t="n"/>
      <c r="AAR40" s="6" t="n"/>
      <c r="AAS40" s="6" t="n"/>
      <c r="AAT40" s="6" t="n"/>
      <c r="AAU40" s="6" t="n"/>
      <c r="AAV40" s="6" t="n"/>
      <c r="AAW40" s="6" t="n"/>
      <c r="AAX40" s="6" t="n"/>
      <c r="AAY40" s="6" t="n"/>
      <c r="AAZ40" s="6" t="n"/>
      <c r="ABA40" s="6" t="n"/>
      <c r="ABB40" s="6" t="n"/>
      <c r="ABC40" s="6" t="n"/>
      <c r="ABD40" s="6" t="n"/>
      <c r="ABE40" s="6" t="n"/>
      <c r="ABF40" s="6" t="n"/>
      <c r="ABG40" s="6" t="n"/>
      <c r="ABH40" s="6" t="n"/>
      <c r="ABI40" s="6" t="n"/>
      <c r="ABJ40" s="6" t="n"/>
      <c r="ABK40" s="6" t="n"/>
      <c r="ABL40" s="6" t="n"/>
      <c r="ABM40" s="6" t="n"/>
      <c r="ABN40" s="6" t="n"/>
      <c r="ABO40" s="6" t="n"/>
      <c r="ABP40" s="6" t="n"/>
      <c r="ABQ40" s="6" t="n"/>
      <c r="ABR40" s="6" t="n"/>
      <c r="ABS40" s="6" t="n"/>
      <c r="ABT40" s="6">
        <f>IF(COUNTA(AAP40:ABS40)=0, "", SUMPRODUCT(--ISNUMBER(SEARCH("m", AAP40:ABS40))))</f>
        <v/>
      </c>
      <c r="ABU40" s="6">
        <f>IF(COUNTA(AAP40:ABS40)=0, "", COUNTA(AAP40:ABS40) - SUMPRODUCT(--ISNUMBER(SEARCH("m", AAP40:ABS40))))</f>
        <v/>
      </c>
    </row>
  </sheetData>
  <mergeCells count="16">
    <mergeCell ref="ZU6:ABU6"/>
    <mergeCell ref="PP6:RP6"/>
    <mergeCell ref="JM6:LM6"/>
    <mergeCell ref="TR6:VR6"/>
    <mergeCell ref="DJ6:FJ6"/>
    <mergeCell ref="VS6:XS6"/>
    <mergeCell ref="A1:G1"/>
    <mergeCell ref="H6:BH6"/>
    <mergeCell ref="RQ6:TQ6"/>
    <mergeCell ref="HL6:JL6"/>
    <mergeCell ref="XT6:ZT6"/>
    <mergeCell ref="NO6:PO6"/>
    <mergeCell ref="FK6:HK6"/>
    <mergeCell ref="LN6:NN6"/>
    <mergeCell ref="A2:G2"/>
    <mergeCell ref="BI6:DI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N40"/>
  <sheetViews>
    <sheetView showGridLines="1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8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8.5" customWidth="1" min="59" max="59"/>
    <col width="8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8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8.5" customWidth="1" min="112" max="112"/>
    <col width="8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8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8.5" customWidth="1" min="165" max="165"/>
    <col width="8.5" customWidth="1" min="166" max="166"/>
    <col width="5.5" customWidth="1" min="167" max="167"/>
    <col width="5.5" customWidth="1" min="168" max="168"/>
    <col width="5.5" customWidth="1" min="169" max="169"/>
    <col width="5.5" customWidth="1" min="170" max="170"/>
    <col width="5.5" customWidth="1" min="171" max="171"/>
    <col width="5.5" customWidth="1" min="172" max="172"/>
    <col width="5.5" customWidth="1" min="173" max="173"/>
    <col width="5.5" customWidth="1" min="174" max="174"/>
    <col width="5.5" customWidth="1" min="175" max="175"/>
    <col width="5.5" customWidth="1" min="176" max="176"/>
    <col width="5.5" customWidth="1" min="177" max="177"/>
    <col width="5.5" customWidth="1" min="178" max="178"/>
    <col width="5.5" customWidth="1" min="179" max="179"/>
    <col width="5.5" customWidth="1" min="180" max="180"/>
    <col width="5.5" customWidth="1" min="181" max="181"/>
    <col width="5.5" customWidth="1" min="182" max="182"/>
    <col width="5.5" customWidth="1" min="183" max="183"/>
    <col width="5.5" customWidth="1" min="184" max="184"/>
    <col width="5.5" customWidth="1" min="185" max="185"/>
    <col width="5.5" customWidth="1" min="186" max="186"/>
    <col width="8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8.5" customWidth="1" min="218" max="218"/>
    <col width="8.5" customWidth="1" min="219" max="219"/>
    <col width="5.5" customWidth="1" min="220" max="220"/>
    <col width="5.5" customWidth="1" min="221" max="221"/>
    <col width="5.5" customWidth="1" min="222" max="222"/>
    <col width="5.5" customWidth="1" min="223" max="223"/>
    <col width="5.5" customWidth="1" min="224" max="224"/>
    <col width="5.5" customWidth="1" min="225" max="225"/>
    <col width="5.5" customWidth="1" min="226" max="226"/>
    <col width="5.5" customWidth="1" min="227" max="227"/>
    <col width="5.5" customWidth="1" min="228" max="228"/>
    <col width="5.5" customWidth="1" min="229" max="229"/>
    <col width="5.5" customWidth="1" min="230" max="230"/>
    <col width="5.5" customWidth="1" min="231" max="231"/>
    <col width="5.5" customWidth="1" min="232" max="232"/>
    <col width="5.5" customWidth="1" min="233" max="233"/>
    <col width="5.5" customWidth="1" min="234" max="234"/>
    <col width="5.5" customWidth="1" min="235" max="235"/>
    <col width="5.5" customWidth="1" min="236" max="236"/>
    <col width="5.5" customWidth="1" min="237" max="237"/>
    <col width="5.5" customWidth="1" min="238" max="238"/>
    <col width="5.5" customWidth="1" min="239" max="239"/>
    <col width="8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8.5" customWidth="1" min="271" max="271"/>
    <col width="8.5" customWidth="1" min="272" max="272"/>
    <col width="5.5" customWidth="1" min="273" max="273"/>
    <col width="5.5" customWidth="1" min="274" max="274"/>
    <col width="5.5" customWidth="1" min="275" max="275"/>
    <col width="5.5" customWidth="1" min="276" max="276"/>
    <col width="5.5" customWidth="1" min="277" max="277"/>
    <col width="5.5" customWidth="1" min="278" max="278"/>
    <col width="5.5" customWidth="1" min="279" max="279"/>
    <col width="5.5" customWidth="1" min="280" max="280"/>
    <col width="5.5" customWidth="1" min="281" max="281"/>
    <col width="5.5" customWidth="1" min="282" max="282"/>
    <col width="5.5" customWidth="1" min="283" max="283"/>
    <col width="5.5" customWidth="1" min="284" max="284"/>
    <col width="5.5" customWidth="1" min="285" max="285"/>
    <col width="5.5" customWidth="1" min="286" max="286"/>
    <col width="5.5" customWidth="1" min="287" max="287"/>
    <col width="5.5" customWidth="1" min="288" max="288"/>
    <col width="5.5" customWidth="1" min="289" max="289"/>
    <col width="5.5" customWidth="1" min="290" max="290"/>
    <col width="5.5" customWidth="1" min="291" max="291"/>
    <col width="5.5" customWidth="1" min="292" max="292"/>
    <col width="8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8.5" customWidth="1" min="324" max="324"/>
    <col width="8.5" customWidth="1" min="325" max="325"/>
  </cols>
  <sheetData>
    <row r="1">
      <c r="A1" s="1" t="inlineStr">
        <is>
          <t>COLEGIUL 'EMIL NEGRUȚIU' TURDA — MODULE TEHNOLOGICE &amp; PREGĂTIRE PRACTICĂ (HORECA / CDEOȘ)</t>
        </is>
      </c>
    </row>
    <row r="2">
      <c r="A2" s="2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3"/>
    <row r="4"/>
    <row r="5"/>
    <row r="6">
      <c r="A6" s="5" t="inlineStr">
        <is>
          <t>NR.</t>
        </is>
      </c>
      <c r="B6" s="5" t="inlineStr">
        <is>
          <t>NUME SI PRENUME</t>
        </is>
      </c>
      <c r="C6" s="5" t="inlineStr">
        <is>
          <t>NR. MATR.</t>
        </is>
      </c>
      <c r="D6" s="5" t="inlineStr">
        <is>
          <t>RM/PG</t>
        </is>
      </c>
      <c r="E6" s="5" t="inlineStr">
        <is>
          <t>MEDIA GEN. CLASĂ</t>
        </is>
      </c>
      <c r="F6" s="5" t="inlineStr">
        <is>
          <t>TOT. ABS. NEM</t>
        </is>
      </c>
      <c r="G6" s="5" t="inlineStr">
        <is>
          <t>TOT. ABS. MOT</t>
        </is>
      </c>
      <c r="H6" s="68" t="inlineStr">
        <is>
          <t>M1: Bazele contabilității</t>
        </is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40" t="n"/>
      <c r="BI6" s="69" t="inlineStr">
        <is>
          <t>M2: Etică și comunicare</t>
        </is>
      </c>
      <c r="BJ6" s="70" t="n"/>
      <c r="BK6" s="70" t="n"/>
      <c r="BL6" s="70" t="n"/>
      <c r="BM6" s="70" t="n"/>
      <c r="BN6" s="70" t="n"/>
      <c r="BO6" s="70" t="n"/>
      <c r="BP6" s="70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0" t="n"/>
      <c r="CA6" s="70" t="n"/>
      <c r="CB6" s="70" t="n"/>
      <c r="CC6" s="70" t="n"/>
      <c r="CD6" s="70" t="n"/>
      <c r="CE6" s="70" t="n"/>
      <c r="CF6" s="70" t="n"/>
      <c r="CG6" s="70" t="n"/>
      <c r="CH6" s="70" t="n"/>
      <c r="CI6" s="70" t="n"/>
      <c r="CJ6" s="70" t="n"/>
      <c r="CK6" s="70" t="n"/>
      <c r="CL6" s="70" t="n"/>
      <c r="CM6" s="70" t="n"/>
      <c r="CN6" s="70" t="n"/>
      <c r="CO6" s="70" t="n"/>
      <c r="CP6" s="70" t="n"/>
      <c r="CQ6" s="70" t="n"/>
      <c r="CR6" s="70" t="n"/>
      <c r="CS6" s="70" t="n"/>
      <c r="CT6" s="70" t="n"/>
      <c r="CU6" s="70" t="n"/>
      <c r="CV6" s="70" t="n"/>
      <c r="CW6" s="70" t="n"/>
      <c r="CX6" s="70" t="n"/>
      <c r="CY6" s="70" t="n"/>
      <c r="CZ6" s="70" t="n"/>
      <c r="DA6" s="70" t="n"/>
      <c r="DB6" s="70" t="n"/>
      <c r="DC6" s="70" t="n"/>
      <c r="DD6" s="70" t="n"/>
      <c r="DE6" s="70" t="n"/>
      <c r="DF6" s="70" t="n"/>
      <c r="DG6" s="70" t="n"/>
      <c r="DH6" s="70" t="n"/>
      <c r="DI6" s="71" t="n"/>
      <c r="DJ6" s="72" t="inlineStr">
        <is>
          <t>M3: Structuri de primire turistică</t>
        </is>
      </c>
      <c r="FK6" s="72" t="inlineStr">
        <is>
          <t>M4: Procese și calitate în HoReCa</t>
        </is>
      </c>
      <c r="HL6" s="72" t="inlineStr">
        <is>
          <t>M5: CDEOȘ (IP) - Instruire Practică</t>
        </is>
      </c>
      <c r="JM6" s="72" t="inlineStr">
        <is>
          <t>M6: Curriculum de aprofundare și inserție profesională</t>
        </is>
      </c>
    </row>
    <row r="7">
      <c r="H7" s="73" t="inlineStr">
        <is>
          <t>N1</t>
        </is>
      </c>
      <c r="I7" s="73" t="inlineStr">
        <is>
          <t>D1</t>
        </is>
      </c>
      <c r="J7" s="73" t="inlineStr">
        <is>
          <t>N2</t>
        </is>
      </c>
      <c r="K7" s="73" t="inlineStr">
        <is>
          <t>D2</t>
        </is>
      </c>
      <c r="L7" s="73" t="inlineStr">
        <is>
          <t>N3</t>
        </is>
      </c>
      <c r="M7" s="73" t="inlineStr">
        <is>
          <t>D3</t>
        </is>
      </c>
      <c r="N7" s="73" t="inlineStr">
        <is>
          <t>N4</t>
        </is>
      </c>
      <c r="O7" s="73" t="inlineStr">
        <is>
          <t>D4</t>
        </is>
      </c>
      <c r="P7" s="73" t="inlineStr">
        <is>
          <t>N5</t>
        </is>
      </c>
      <c r="Q7" s="73" t="inlineStr">
        <is>
          <t>D5</t>
        </is>
      </c>
      <c r="R7" s="73" t="inlineStr">
        <is>
          <t>N6</t>
        </is>
      </c>
      <c r="S7" s="73" t="inlineStr">
        <is>
          <t>D6</t>
        </is>
      </c>
      <c r="T7" s="73" t="inlineStr">
        <is>
          <t>N7</t>
        </is>
      </c>
      <c r="U7" s="73" t="inlineStr">
        <is>
          <t>D7</t>
        </is>
      </c>
      <c r="V7" s="73" t="inlineStr">
        <is>
          <t>N8</t>
        </is>
      </c>
      <c r="W7" s="73" t="inlineStr">
        <is>
          <t>D8</t>
        </is>
      </c>
      <c r="X7" s="73" t="inlineStr">
        <is>
          <t>N9</t>
        </is>
      </c>
      <c r="Y7" s="73" t="inlineStr">
        <is>
          <t>D9</t>
        </is>
      </c>
      <c r="Z7" s="73" t="inlineStr">
        <is>
          <t>N10</t>
        </is>
      </c>
      <c r="AA7" s="73" t="inlineStr">
        <is>
          <t>D10</t>
        </is>
      </c>
      <c r="AB7" s="74" t="inlineStr">
        <is>
          <t>MEDIE</t>
        </is>
      </c>
      <c r="AC7" s="75" t="inlineStr">
        <is>
          <t>A1</t>
        </is>
      </c>
      <c r="AD7" s="75" t="inlineStr">
        <is>
          <t>A2</t>
        </is>
      </c>
      <c r="AE7" s="75" t="inlineStr">
        <is>
          <t>A3</t>
        </is>
      </c>
      <c r="AF7" s="75" t="inlineStr">
        <is>
          <t>A4</t>
        </is>
      </c>
      <c r="AG7" s="75" t="inlineStr">
        <is>
          <t>A5</t>
        </is>
      </c>
      <c r="AH7" s="75" t="inlineStr">
        <is>
          <t>A6</t>
        </is>
      </c>
      <c r="AI7" s="75" t="inlineStr">
        <is>
          <t>A7</t>
        </is>
      </c>
      <c r="AJ7" s="75" t="inlineStr">
        <is>
          <t>A8</t>
        </is>
      </c>
      <c r="AK7" s="75" t="inlineStr">
        <is>
          <t>A9</t>
        </is>
      </c>
      <c r="AL7" s="75" t="inlineStr">
        <is>
          <t>A10</t>
        </is>
      </c>
      <c r="AM7" s="75" t="inlineStr">
        <is>
          <t>A11</t>
        </is>
      </c>
      <c r="AN7" s="75" t="inlineStr">
        <is>
          <t>A12</t>
        </is>
      </c>
      <c r="AO7" s="75" t="inlineStr">
        <is>
          <t>A13</t>
        </is>
      </c>
      <c r="AP7" s="75" t="inlineStr">
        <is>
          <t>A14</t>
        </is>
      </c>
      <c r="AQ7" s="75" t="inlineStr">
        <is>
          <t>A15</t>
        </is>
      </c>
      <c r="AR7" s="75" t="inlineStr">
        <is>
          <t>A16</t>
        </is>
      </c>
      <c r="AS7" s="75" t="inlineStr">
        <is>
          <t>A17</t>
        </is>
      </c>
      <c r="AT7" s="75" t="inlineStr">
        <is>
          <t>A18</t>
        </is>
      </c>
      <c r="AU7" s="75" t="inlineStr">
        <is>
          <t>A19</t>
        </is>
      </c>
      <c r="AV7" s="75" t="inlineStr">
        <is>
          <t>A20</t>
        </is>
      </c>
      <c r="AW7" s="75" t="inlineStr">
        <is>
          <t>A21</t>
        </is>
      </c>
      <c r="AX7" s="75" t="inlineStr">
        <is>
          <t>A22</t>
        </is>
      </c>
      <c r="AY7" s="75" t="inlineStr">
        <is>
          <t>A23</t>
        </is>
      </c>
      <c r="AZ7" s="75" t="inlineStr">
        <is>
          <t>A24</t>
        </is>
      </c>
      <c r="BA7" s="75" t="inlineStr">
        <is>
          <t>A25</t>
        </is>
      </c>
      <c r="BB7" s="75" t="inlineStr">
        <is>
          <t>A26</t>
        </is>
      </c>
      <c r="BC7" s="75" t="inlineStr">
        <is>
          <t>A27</t>
        </is>
      </c>
      <c r="BD7" s="75" t="inlineStr">
        <is>
          <t>A28</t>
        </is>
      </c>
      <c r="BE7" s="75" t="inlineStr">
        <is>
          <t>A29</t>
        </is>
      </c>
      <c r="BF7" s="75" t="inlineStr">
        <is>
          <t>A30</t>
        </is>
      </c>
      <c r="BG7" s="73" t="inlineStr">
        <is>
          <t>ABS.MOT</t>
        </is>
      </c>
      <c r="BH7" s="73" t="inlineStr">
        <is>
          <t>ABS.NEM</t>
        </is>
      </c>
      <c r="BI7" s="73" t="inlineStr">
        <is>
          <t>N1</t>
        </is>
      </c>
      <c r="BJ7" s="73" t="inlineStr">
        <is>
          <t>D1</t>
        </is>
      </c>
      <c r="BK7" s="73" t="inlineStr">
        <is>
          <t>N2</t>
        </is>
      </c>
      <c r="BL7" s="73" t="inlineStr">
        <is>
          <t>D2</t>
        </is>
      </c>
      <c r="BM7" s="73" t="inlineStr">
        <is>
          <t>N3</t>
        </is>
      </c>
      <c r="BN7" s="73" t="inlineStr">
        <is>
          <t>D3</t>
        </is>
      </c>
      <c r="BO7" s="73" t="inlineStr">
        <is>
          <t>N4</t>
        </is>
      </c>
      <c r="BP7" s="73" t="inlineStr">
        <is>
          <t>D4</t>
        </is>
      </c>
      <c r="BQ7" s="73" t="inlineStr">
        <is>
          <t>N5</t>
        </is>
      </c>
      <c r="BR7" s="73" t="inlineStr">
        <is>
          <t>D5</t>
        </is>
      </c>
      <c r="BS7" s="73" t="inlineStr">
        <is>
          <t>N6</t>
        </is>
      </c>
      <c r="BT7" s="73" t="inlineStr">
        <is>
          <t>D6</t>
        </is>
      </c>
      <c r="BU7" s="73" t="inlineStr">
        <is>
          <t>N7</t>
        </is>
      </c>
      <c r="BV7" s="73" t="inlineStr">
        <is>
          <t>D7</t>
        </is>
      </c>
      <c r="BW7" s="73" t="inlineStr">
        <is>
          <t>N8</t>
        </is>
      </c>
      <c r="BX7" s="73" t="inlineStr">
        <is>
          <t>D8</t>
        </is>
      </c>
      <c r="BY7" s="73" t="inlineStr">
        <is>
          <t>N9</t>
        </is>
      </c>
      <c r="BZ7" s="73" t="inlineStr">
        <is>
          <t>D9</t>
        </is>
      </c>
      <c r="CA7" s="73" t="inlineStr">
        <is>
          <t>N10</t>
        </is>
      </c>
      <c r="CB7" s="73" t="inlineStr">
        <is>
          <t>D10</t>
        </is>
      </c>
      <c r="CC7" s="74" t="inlineStr">
        <is>
          <t>MEDIE</t>
        </is>
      </c>
      <c r="CD7" s="75" t="inlineStr">
        <is>
          <t>A1</t>
        </is>
      </c>
      <c r="CE7" s="75" t="inlineStr">
        <is>
          <t>A2</t>
        </is>
      </c>
      <c r="CF7" s="75" t="inlineStr">
        <is>
          <t>A3</t>
        </is>
      </c>
      <c r="CG7" s="75" t="inlineStr">
        <is>
          <t>A4</t>
        </is>
      </c>
      <c r="CH7" s="75" t="inlineStr">
        <is>
          <t>A5</t>
        </is>
      </c>
      <c r="CI7" s="75" t="inlineStr">
        <is>
          <t>A6</t>
        </is>
      </c>
      <c r="CJ7" s="75" t="inlineStr">
        <is>
          <t>A7</t>
        </is>
      </c>
      <c r="CK7" s="75" t="inlineStr">
        <is>
          <t>A8</t>
        </is>
      </c>
      <c r="CL7" s="75" t="inlineStr">
        <is>
          <t>A9</t>
        </is>
      </c>
      <c r="CM7" s="75" t="inlineStr">
        <is>
          <t>A10</t>
        </is>
      </c>
      <c r="CN7" s="75" t="inlineStr">
        <is>
          <t>A11</t>
        </is>
      </c>
      <c r="CO7" s="75" t="inlineStr">
        <is>
          <t>A12</t>
        </is>
      </c>
      <c r="CP7" s="75" t="inlineStr">
        <is>
          <t>A13</t>
        </is>
      </c>
      <c r="CQ7" s="75" t="inlineStr">
        <is>
          <t>A14</t>
        </is>
      </c>
      <c r="CR7" s="75" t="inlineStr">
        <is>
          <t>A15</t>
        </is>
      </c>
      <c r="CS7" s="75" t="inlineStr">
        <is>
          <t>A16</t>
        </is>
      </c>
      <c r="CT7" s="75" t="inlineStr">
        <is>
          <t>A17</t>
        </is>
      </c>
      <c r="CU7" s="75" t="inlineStr">
        <is>
          <t>A18</t>
        </is>
      </c>
      <c r="CV7" s="75" t="inlineStr">
        <is>
          <t>A19</t>
        </is>
      </c>
      <c r="CW7" s="75" t="inlineStr">
        <is>
          <t>A20</t>
        </is>
      </c>
      <c r="CX7" s="75" t="inlineStr">
        <is>
          <t>A21</t>
        </is>
      </c>
      <c r="CY7" s="75" t="inlineStr">
        <is>
          <t>A22</t>
        </is>
      </c>
      <c r="CZ7" s="75" t="inlineStr">
        <is>
          <t>A23</t>
        </is>
      </c>
      <c r="DA7" s="75" t="inlineStr">
        <is>
          <t>A24</t>
        </is>
      </c>
      <c r="DB7" s="75" t="inlineStr">
        <is>
          <t>A25</t>
        </is>
      </c>
      <c r="DC7" s="75" t="inlineStr">
        <is>
          <t>A26</t>
        </is>
      </c>
      <c r="DD7" s="75" t="inlineStr">
        <is>
          <t>A27</t>
        </is>
      </c>
      <c r="DE7" s="75" t="inlineStr">
        <is>
          <t>A28</t>
        </is>
      </c>
      <c r="DF7" s="75" t="inlineStr">
        <is>
          <t>A29</t>
        </is>
      </c>
      <c r="DG7" s="75" t="inlineStr">
        <is>
          <t>A30</t>
        </is>
      </c>
      <c r="DH7" s="73" t="inlineStr">
        <is>
          <t>ABS.MOT</t>
        </is>
      </c>
      <c r="DI7" s="73" t="inlineStr">
        <is>
          <t>ABS.NEM</t>
        </is>
      </c>
      <c r="DJ7" s="73" t="inlineStr">
        <is>
          <t>N1</t>
        </is>
      </c>
      <c r="DK7" s="73" t="inlineStr">
        <is>
          <t>D1</t>
        </is>
      </c>
      <c r="DL7" s="73" t="inlineStr">
        <is>
          <t>N2</t>
        </is>
      </c>
      <c r="DM7" s="73" t="inlineStr">
        <is>
          <t>D2</t>
        </is>
      </c>
      <c r="DN7" s="73" t="inlineStr">
        <is>
          <t>N3</t>
        </is>
      </c>
      <c r="DO7" s="73" t="inlineStr">
        <is>
          <t>D3</t>
        </is>
      </c>
      <c r="DP7" s="73" t="inlineStr">
        <is>
          <t>N4</t>
        </is>
      </c>
      <c r="DQ7" s="73" t="inlineStr">
        <is>
          <t>D4</t>
        </is>
      </c>
      <c r="DR7" s="73" t="inlineStr">
        <is>
          <t>N5</t>
        </is>
      </c>
      <c r="DS7" s="73" t="inlineStr">
        <is>
          <t>D5</t>
        </is>
      </c>
      <c r="DT7" s="73" t="inlineStr">
        <is>
          <t>N6</t>
        </is>
      </c>
      <c r="DU7" s="73" t="inlineStr">
        <is>
          <t>D6</t>
        </is>
      </c>
      <c r="DV7" s="73" t="inlineStr">
        <is>
          <t>N7</t>
        </is>
      </c>
      <c r="DW7" s="73" t="inlineStr">
        <is>
          <t>D7</t>
        </is>
      </c>
      <c r="DX7" s="73" t="inlineStr">
        <is>
          <t>N8</t>
        </is>
      </c>
      <c r="DY7" s="73" t="inlineStr">
        <is>
          <t>D8</t>
        </is>
      </c>
      <c r="DZ7" s="73" t="inlineStr">
        <is>
          <t>N9</t>
        </is>
      </c>
      <c r="EA7" s="73" t="inlineStr">
        <is>
          <t>D9</t>
        </is>
      </c>
      <c r="EB7" s="73" t="inlineStr">
        <is>
          <t>N10</t>
        </is>
      </c>
      <c r="EC7" s="73" t="inlineStr">
        <is>
          <t>D10</t>
        </is>
      </c>
      <c r="ED7" s="78" t="inlineStr">
        <is>
          <t>MEDIE</t>
        </is>
      </c>
      <c r="EE7" s="76" t="inlineStr">
        <is>
          <t>A1</t>
        </is>
      </c>
      <c r="EF7" s="76" t="inlineStr">
        <is>
          <t>A2</t>
        </is>
      </c>
      <c r="EG7" s="76" t="inlineStr">
        <is>
          <t>A3</t>
        </is>
      </c>
      <c r="EH7" s="76" t="inlineStr">
        <is>
          <t>A4</t>
        </is>
      </c>
      <c r="EI7" s="76" t="inlineStr">
        <is>
          <t>A5</t>
        </is>
      </c>
      <c r="EJ7" s="76" t="inlineStr">
        <is>
          <t>A6</t>
        </is>
      </c>
      <c r="EK7" s="76" t="inlineStr">
        <is>
          <t>A7</t>
        </is>
      </c>
      <c r="EL7" s="76" t="inlineStr">
        <is>
          <t>A8</t>
        </is>
      </c>
      <c r="EM7" s="76" t="inlineStr">
        <is>
          <t>A9</t>
        </is>
      </c>
      <c r="EN7" s="76" t="inlineStr">
        <is>
          <t>A10</t>
        </is>
      </c>
      <c r="EO7" s="76" t="inlineStr">
        <is>
          <t>A11</t>
        </is>
      </c>
      <c r="EP7" s="76" t="inlineStr">
        <is>
          <t>A12</t>
        </is>
      </c>
      <c r="EQ7" s="76" t="inlineStr">
        <is>
          <t>A13</t>
        </is>
      </c>
      <c r="ER7" s="76" t="inlineStr">
        <is>
          <t>A14</t>
        </is>
      </c>
      <c r="ES7" s="76" t="inlineStr">
        <is>
          <t>A15</t>
        </is>
      </c>
      <c r="ET7" s="76" t="inlineStr">
        <is>
          <t>A16</t>
        </is>
      </c>
      <c r="EU7" s="76" t="inlineStr">
        <is>
          <t>A17</t>
        </is>
      </c>
      <c r="EV7" s="76" t="inlineStr">
        <is>
          <t>A18</t>
        </is>
      </c>
      <c r="EW7" s="76" t="inlineStr">
        <is>
          <t>A19</t>
        </is>
      </c>
      <c r="EX7" s="76" t="inlineStr">
        <is>
          <t>A20</t>
        </is>
      </c>
      <c r="EY7" s="76" t="inlineStr">
        <is>
          <t>A21</t>
        </is>
      </c>
      <c r="EZ7" s="76" t="inlineStr">
        <is>
          <t>A22</t>
        </is>
      </c>
      <c r="FA7" s="76" t="inlineStr">
        <is>
          <t>A23</t>
        </is>
      </c>
      <c r="FB7" s="76" t="inlineStr">
        <is>
          <t>A24</t>
        </is>
      </c>
      <c r="FC7" s="76" t="inlineStr">
        <is>
          <t>A25</t>
        </is>
      </c>
      <c r="FD7" s="76" t="inlineStr">
        <is>
          <t>A26</t>
        </is>
      </c>
      <c r="FE7" s="76" t="inlineStr">
        <is>
          <t>A27</t>
        </is>
      </c>
      <c r="FF7" s="76" t="inlineStr">
        <is>
          <t>A28</t>
        </is>
      </c>
      <c r="FG7" s="76" t="inlineStr">
        <is>
          <t>A29</t>
        </is>
      </c>
      <c r="FH7" s="76" t="inlineStr">
        <is>
          <t>A30</t>
        </is>
      </c>
      <c r="FI7" s="77" t="inlineStr">
        <is>
          <t>ABS.MOT</t>
        </is>
      </c>
      <c r="FJ7" s="77" t="inlineStr">
        <is>
          <t>ABS.NEM</t>
        </is>
      </c>
      <c r="FK7" s="77" t="inlineStr">
        <is>
          <t>N1</t>
        </is>
      </c>
      <c r="FL7" s="77" t="inlineStr">
        <is>
          <t>D1</t>
        </is>
      </c>
      <c r="FM7" s="77" t="inlineStr">
        <is>
          <t>N2</t>
        </is>
      </c>
      <c r="FN7" s="77" t="inlineStr">
        <is>
          <t>D2</t>
        </is>
      </c>
      <c r="FO7" s="77" t="inlineStr">
        <is>
          <t>N3</t>
        </is>
      </c>
      <c r="FP7" s="77" t="inlineStr">
        <is>
          <t>D3</t>
        </is>
      </c>
      <c r="FQ7" s="77" t="inlineStr">
        <is>
          <t>N4</t>
        </is>
      </c>
      <c r="FR7" s="77" t="inlineStr">
        <is>
          <t>D4</t>
        </is>
      </c>
      <c r="FS7" s="77" t="inlineStr">
        <is>
          <t>N5</t>
        </is>
      </c>
      <c r="FT7" s="77" t="inlineStr">
        <is>
          <t>D5</t>
        </is>
      </c>
      <c r="FU7" s="77" t="inlineStr">
        <is>
          <t>N6</t>
        </is>
      </c>
      <c r="FV7" s="77" t="inlineStr">
        <is>
          <t>D6</t>
        </is>
      </c>
      <c r="FW7" s="77" t="inlineStr">
        <is>
          <t>N7</t>
        </is>
      </c>
      <c r="FX7" s="77" t="inlineStr">
        <is>
          <t>D7</t>
        </is>
      </c>
      <c r="FY7" s="77" t="inlineStr">
        <is>
          <t>N8</t>
        </is>
      </c>
      <c r="FZ7" s="77" t="inlineStr">
        <is>
          <t>D8</t>
        </is>
      </c>
      <c r="GA7" s="77" t="inlineStr">
        <is>
          <t>N9</t>
        </is>
      </c>
      <c r="GB7" s="77" t="inlineStr">
        <is>
          <t>D9</t>
        </is>
      </c>
      <c r="GC7" s="77" t="inlineStr">
        <is>
          <t>N10</t>
        </is>
      </c>
      <c r="GD7" s="77" t="inlineStr">
        <is>
          <t>D10</t>
        </is>
      </c>
      <c r="GE7" s="78" t="inlineStr">
        <is>
          <t>MEDIE</t>
        </is>
      </c>
      <c r="GF7" s="76" t="inlineStr">
        <is>
          <t>A1</t>
        </is>
      </c>
      <c r="GG7" s="76" t="inlineStr">
        <is>
          <t>A2</t>
        </is>
      </c>
      <c r="GH7" s="76" t="inlineStr">
        <is>
          <t>A3</t>
        </is>
      </c>
      <c r="GI7" s="76" t="inlineStr">
        <is>
          <t>A4</t>
        </is>
      </c>
      <c r="GJ7" s="76" t="inlineStr">
        <is>
          <t>A5</t>
        </is>
      </c>
      <c r="GK7" s="76" t="inlineStr">
        <is>
          <t>A6</t>
        </is>
      </c>
      <c r="GL7" s="76" t="inlineStr">
        <is>
          <t>A7</t>
        </is>
      </c>
      <c r="GM7" s="76" t="inlineStr">
        <is>
          <t>A8</t>
        </is>
      </c>
      <c r="GN7" s="76" t="inlineStr">
        <is>
          <t>A9</t>
        </is>
      </c>
      <c r="GO7" s="76" t="inlineStr">
        <is>
          <t>A10</t>
        </is>
      </c>
      <c r="GP7" s="76" t="inlineStr">
        <is>
          <t>A11</t>
        </is>
      </c>
      <c r="GQ7" s="76" t="inlineStr">
        <is>
          <t>A12</t>
        </is>
      </c>
      <c r="GR7" s="76" t="inlineStr">
        <is>
          <t>A13</t>
        </is>
      </c>
      <c r="GS7" s="76" t="inlineStr">
        <is>
          <t>A14</t>
        </is>
      </c>
      <c r="GT7" s="76" t="inlineStr">
        <is>
          <t>A15</t>
        </is>
      </c>
      <c r="GU7" s="76" t="inlineStr">
        <is>
          <t>A16</t>
        </is>
      </c>
      <c r="GV7" s="76" t="inlineStr">
        <is>
          <t>A17</t>
        </is>
      </c>
      <c r="GW7" s="76" t="inlineStr">
        <is>
          <t>A18</t>
        </is>
      </c>
      <c r="GX7" s="76" t="inlineStr">
        <is>
          <t>A19</t>
        </is>
      </c>
      <c r="GY7" s="76" t="inlineStr">
        <is>
          <t>A20</t>
        </is>
      </c>
      <c r="GZ7" s="76" t="inlineStr">
        <is>
          <t>A21</t>
        </is>
      </c>
      <c r="HA7" s="76" t="inlineStr">
        <is>
          <t>A22</t>
        </is>
      </c>
      <c r="HB7" s="76" t="inlineStr">
        <is>
          <t>A23</t>
        </is>
      </c>
      <c r="HC7" s="76" t="inlineStr">
        <is>
          <t>A24</t>
        </is>
      </c>
      <c r="HD7" s="76" t="inlineStr">
        <is>
          <t>A25</t>
        </is>
      </c>
      <c r="HE7" s="76" t="inlineStr">
        <is>
          <t>A26</t>
        </is>
      </c>
      <c r="HF7" s="76" t="inlineStr">
        <is>
          <t>A27</t>
        </is>
      </c>
      <c r="HG7" s="76" t="inlineStr">
        <is>
          <t>A28</t>
        </is>
      </c>
      <c r="HH7" s="76" t="inlineStr">
        <is>
          <t>A29</t>
        </is>
      </c>
      <c r="HI7" s="76" t="inlineStr">
        <is>
          <t>A30</t>
        </is>
      </c>
      <c r="HJ7" s="77" t="inlineStr">
        <is>
          <t>ABS.MOT</t>
        </is>
      </c>
      <c r="HK7" s="77" t="inlineStr">
        <is>
          <t>ABS.NEM</t>
        </is>
      </c>
      <c r="HL7" s="77" t="inlineStr">
        <is>
          <t>N1</t>
        </is>
      </c>
      <c r="HM7" s="77" t="inlineStr">
        <is>
          <t>D1</t>
        </is>
      </c>
      <c r="HN7" s="77" t="inlineStr">
        <is>
          <t>N2</t>
        </is>
      </c>
      <c r="HO7" s="77" t="inlineStr">
        <is>
          <t>D2</t>
        </is>
      </c>
      <c r="HP7" s="77" t="inlineStr">
        <is>
          <t>N3</t>
        </is>
      </c>
      <c r="HQ7" s="77" t="inlineStr">
        <is>
          <t>D3</t>
        </is>
      </c>
      <c r="HR7" s="77" t="inlineStr">
        <is>
          <t>N4</t>
        </is>
      </c>
      <c r="HS7" s="77" t="inlineStr">
        <is>
          <t>D4</t>
        </is>
      </c>
      <c r="HT7" s="77" t="inlineStr">
        <is>
          <t>N5</t>
        </is>
      </c>
      <c r="HU7" s="77" t="inlineStr">
        <is>
          <t>D5</t>
        </is>
      </c>
      <c r="HV7" s="77" t="inlineStr">
        <is>
          <t>N6</t>
        </is>
      </c>
      <c r="HW7" s="77" t="inlineStr">
        <is>
          <t>D6</t>
        </is>
      </c>
      <c r="HX7" s="77" t="inlineStr">
        <is>
          <t>N7</t>
        </is>
      </c>
      <c r="HY7" s="77" t="inlineStr">
        <is>
          <t>D7</t>
        </is>
      </c>
      <c r="HZ7" s="77" t="inlineStr">
        <is>
          <t>N8</t>
        </is>
      </c>
      <c r="IA7" s="77" t="inlineStr">
        <is>
          <t>D8</t>
        </is>
      </c>
      <c r="IB7" s="77" t="inlineStr">
        <is>
          <t>N9</t>
        </is>
      </c>
      <c r="IC7" s="77" t="inlineStr">
        <is>
          <t>D9</t>
        </is>
      </c>
      <c r="ID7" s="77" t="inlineStr">
        <is>
          <t>N10</t>
        </is>
      </c>
      <c r="IE7" s="77" t="inlineStr">
        <is>
          <t>D10</t>
        </is>
      </c>
      <c r="IF7" s="78" t="inlineStr">
        <is>
          <t>MEDIE</t>
        </is>
      </c>
      <c r="IG7" s="76" t="inlineStr">
        <is>
          <t>A1</t>
        </is>
      </c>
      <c r="IH7" s="76" t="inlineStr">
        <is>
          <t>A2</t>
        </is>
      </c>
      <c r="II7" s="76" t="inlineStr">
        <is>
          <t>A3</t>
        </is>
      </c>
      <c r="IJ7" s="76" t="inlineStr">
        <is>
          <t>A4</t>
        </is>
      </c>
      <c r="IK7" s="76" t="inlineStr">
        <is>
          <t>A5</t>
        </is>
      </c>
      <c r="IL7" s="76" t="inlineStr">
        <is>
          <t>A6</t>
        </is>
      </c>
      <c r="IM7" s="76" t="inlineStr">
        <is>
          <t>A7</t>
        </is>
      </c>
      <c r="IN7" s="76" t="inlineStr">
        <is>
          <t>A8</t>
        </is>
      </c>
      <c r="IO7" s="76" t="inlineStr">
        <is>
          <t>A9</t>
        </is>
      </c>
      <c r="IP7" s="76" t="inlineStr">
        <is>
          <t>A10</t>
        </is>
      </c>
      <c r="IQ7" s="76" t="inlineStr">
        <is>
          <t>A11</t>
        </is>
      </c>
      <c r="IR7" s="76" t="inlineStr">
        <is>
          <t>A12</t>
        </is>
      </c>
      <c r="IS7" s="76" t="inlineStr">
        <is>
          <t>A13</t>
        </is>
      </c>
      <c r="IT7" s="76" t="inlineStr">
        <is>
          <t>A14</t>
        </is>
      </c>
      <c r="IU7" s="76" t="inlineStr">
        <is>
          <t>A15</t>
        </is>
      </c>
      <c r="IV7" s="76" t="inlineStr">
        <is>
          <t>A16</t>
        </is>
      </c>
      <c r="IW7" s="76" t="inlineStr">
        <is>
          <t>A17</t>
        </is>
      </c>
      <c r="IX7" s="76" t="inlineStr">
        <is>
          <t>A18</t>
        </is>
      </c>
      <c r="IY7" s="76" t="inlineStr">
        <is>
          <t>A19</t>
        </is>
      </c>
      <c r="IZ7" s="76" t="inlineStr">
        <is>
          <t>A20</t>
        </is>
      </c>
      <c r="JA7" s="76" t="inlineStr">
        <is>
          <t>A21</t>
        </is>
      </c>
      <c r="JB7" s="76" t="inlineStr">
        <is>
          <t>A22</t>
        </is>
      </c>
      <c r="JC7" s="76" t="inlineStr">
        <is>
          <t>A23</t>
        </is>
      </c>
      <c r="JD7" s="76" t="inlineStr">
        <is>
          <t>A24</t>
        </is>
      </c>
      <c r="JE7" s="76" t="inlineStr">
        <is>
          <t>A25</t>
        </is>
      </c>
      <c r="JF7" s="76" t="inlineStr">
        <is>
          <t>A26</t>
        </is>
      </c>
      <c r="JG7" s="76" t="inlineStr">
        <is>
          <t>A27</t>
        </is>
      </c>
      <c r="JH7" s="76" t="inlineStr">
        <is>
          <t>A28</t>
        </is>
      </c>
      <c r="JI7" s="76" t="inlineStr">
        <is>
          <t>A29</t>
        </is>
      </c>
      <c r="JJ7" s="76" t="inlineStr">
        <is>
          <t>A30</t>
        </is>
      </c>
      <c r="JK7" s="77" t="inlineStr">
        <is>
          <t>ABS.MOT</t>
        </is>
      </c>
      <c r="JL7" s="77" t="inlineStr">
        <is>
          <t>ABS.NEM</t>
        </is>
      </c>
      <c r="JM7" s="77" t="inlineStr">
        <is>
          <t>N1</t>
        </is>
      </c>
      <c r="JN7" s="77" t="inlineStr">
        <is>
          <t>D1</t>
        </is>
      </c>
      <c r="JO7" s="77" t="inlineStr">
        <is>
          <t>N2</t>
        </is>
      </c>
      <c r="JP7" s="77" t="inlineStr">
        <is>
          <t>D2</t>
        </is>
      </c>
      <c r="JQ7" s="77" t="inlineStr">
        <is>
          <t>N3</t>
        </is>
      </c>
      <c r="JR7" s="77" t="inlineStr">
        <is>
          <t>D3</t>
        </is>
      </c>
      <c r="JS7" s="77" t="inlineStr">
        <is>
          <t>N4</t>
        </is>
      </c>
      <c r="JT7" s="77" t="inlineStr">
        <is>
          <t>D4</t>
        </is>
      </c>
      <c r="JU7" s="77" t="inlineStr">
        <is>
          <t>N5</t>
        </is>
      </c>
      <c r="JV7" s="77" t="inlineStr">
        <is>
          <t>D5</t>
        </is>
      </c>
      <c r="JW7" s="77" t="inlineStr">
        <is>
          <t>N6</t>
        </is>
      </c>
      <c r="JX7" s="77" t="inlineStr">
        <is>
          <t>D6</t>
        </is>
      </c>
      <c r="JY7" s="77" t="inlineStr">
        <is>
          <t>N7</t>
        </is>
      </c>
      <c r="JZ7" s="77" t="inlineStr">
        <is>
          <t>D7</t>
        </is>
      </c>
      <c r="KA7" s="77" t="inlineStr">
        <is>
          <t>N8</t>
        </is>
      </c>
      <c r="KB7" s="77" t="inlineStr">
        <is>
          <t>D8</t>
        </is>
      </c>
      <c r="KC7" s="77" t="inlineStr">
        <is>
          <t>N9</t>
        </is>
      </c>
      <c r="KD7" s="77" t="inlineStr">
        <is>
          <t>D9</t>
        </is>
      </c>
      <c r="KE7" s="77" t="inlineStr">
        <is>
          <t>N10</t>
        </is>
      </c>
      <c r="KF7" s="77" t="inlineStr">
        <is>
          <t>D10</t>
        </is>
      </c>
      <c r="KG7" s="78" t="inlineStr">
        <is>
          <t>MEDIE</t>
        </is>
      </c>
      <c r="KH7" s="76" t="inlineStr">
        <is>
          <t>A1</t>
        </is>
      </c>
      <c r="KI7" s="76" t="inlineStr">
        <is>
          <t>A2</t>
        </is>
      </c>
      <c r="KJ7" s="76" t="inlineStr">
        <is>
          <t>A3</t>
        </is>
      </c>
      <c r="KK7" s="76" t="inlineStr">
        <is>
          <t>A4</t>
        </is>
      </c>
      <c r="KL7" s="76" t="inlineStr">
        <is>
          <t>A5</t>
        </is>
      </c>
      <c r="KM7" s="76" t="inlineStr">
        <is>
          <t>A6</t>
        </is>
      </c>
      <c r="KN7" s="76" t="inlineStr">
        <is>
          <t>A7</t>
        </is>
      </c>
      <c r="KO7" s="76" t="inlineStr">
        <is>
          <t>A8</t>
        </is>
      </c>
      <c r="KP7" s="76" t="inlineStr">
        <is>
          <t>A9</t>
        </is>
      </c>
      <c r="KQ7" s="76" t="inlineStr">
        <is>
          <t>A10</t>
        </is>
      </c>
      <c r="KR7" s="76" t="inlineStr">
        <is>
          <t>A11</t>
        </is>
      </c>
      <c r="KS7" s="76" t="inlineStr">
        <is>
          <t>A12</t>
        </is>
      </c>
      <c r="KT7" s="76" t="inlineStr">
        <is>
          <t>A13</t>
        </is>
      </c>
      <c r="KU7" s="76" t="inlineStr">
        <is>
          <t>A14</t>
        </is>
      </c>
      <c r="KV7" s="76" t="inlineStr">
        <is>
          <t>A15</t>
        </is>
      </c>
      <c r="KW7" s="76" t="inlineStr">
        <is>
          <t>A16</t>
        </is>
      </c>
      <c r="KX7" s="76" t="inlineStr">
        <is>
          <t>A17</t>
        </is>
      </c>
      <c r="KY7" s="76" t="inlineStr">
        <is>
          <t>A18</t>
        </is>
      </c>
      <c r="KZ7" s="76" t="inlineStr">
        <is>
          <t>A19</t>
        </is>
      </c>
      <c r="LA7" s="76" t="inlineStr">
        <is>
          <t>A20</t>
        </is>
      </c>
      <c r="LB7" s="76" t="inlineStr">
        <is>
          <t>A21</t>
        </is>
      </c>
      <c r="LC7" s="76" t="inlineStr">
        <is>
          <t>A22</t>
        </is>
      </c>
      <c r="LD7" s="76" t="inlineStr">
        <is>
          <t>A23</t>
        </is>
      </c>
      <c r="LE7" s="76" t="inlineStr">
        <is>
          <t>A24</t>
        </is>
      </c>
      <c r="LF7" s="76" t="inlineStr">
        <is>
          <t>A25</t>
        </is>
      </c>
      <c r="LG7" s="76" t="inlineStr">
        <is>
          <t>A26</t>
        </is>
      </c>
      <c r="LH7" s="76" t="inlineStr">
        <is>
          <t>A27</t>
        </is>
      </c>
      <c r="LI7" s="76" t="inlineStr">
        <is>
          <t>A28</t>
        </is>
      </c>
      <c r="LJ7" s="76" t="inlineStr">
        <is>
          <t>A29</t>
        </is>
      </c>
      <c r="LK7" s="76" t="inlineStr">
        <is>
          <t>A30</t>
        </is>
      </c>
      <c r="LL7" s="77" t="inlineStr">
        <is>
          <t>ABS.MOT</t>
        </is>
      </c>
      <c r="LM7" s="77" t="inlineStr">
        <is>
          <t>ABS.NEM</t>
        </is>
      </c>
    </row>
    <row r="8">
      <c r="I8" s="63" t="n"/>
      <c r="K8" s="63" t="n"/>
      <c r="M8" s="63" t="n"/>
      <c r="O8" s="63" t="n"/>
      <c r="Q8" s="63" t="n"/>
      <c r="S8" s="63" t="n"/>
      <c r="T8" s="63" t="n"/>
      <c r="U8" s="63" t="n"/>
      <c r="V8" s="63" t="n"/>
      <c r="W8" s="63" t="n"/>
      <c r="X8" s="63" t="n"/>
      <c r="Y8" s="63" t="n"/>
      <c r="Z8" s="63" t="n"/>
      <c r="AD8" s="63" t="n"/>
      <c r="AF8" s="63" t="n"/>
      <c r="AH8" s="63" t="n"/>
      <c r="AJ8" s="63" t="n"/>
      <c r="AL8" s="63" t="n"/>
      <c r="AN8" s="63" t="n"/>
      <c r="AO8" s="63" t="n"/>
      <c r="AP8" s="63" t="n"/>
      <c r="AQ8" s="63" t="n"/>
      <c r="AR8" s="63" t="n"/>
      <c r="AS8" s="63" t="n"/>
      <c r="AT8" s="63" t="n"/>
      <c r="AU8" s="63" t="n"/>
      <c r="AY8" s="63" t="n"/>
      <c r="BA8" s="63" t="n"/>
      <c r="BC8" s="63" t="n"/>
      <c r="BE8" s="63" t="n"/>
      <c r="BG8" s="63" t="n"/>
      <c r="BI8" s="63" t="n"/>
      <c r="BJ8" s="63" t="n"/>
      <c r="BK8" s="63" t="n"/>
      <c r="BL8" s="63" t="n"/>
      <c r="BM8" s="63" t="n"/>
      <c r="BN8" s="63" t="n"/>
      <c r="BO8" s="63" t="n"/>
      <c r="BP8" s="63" t="n"/>
      <c r="BT8" s="63" t="n"/>
      <c r="BV8" s="63" t="n"/>
      <c r="BX8" s="63" t="n"/>
      <c r="BZ8" s="63" t="n"/>
      <c r="CB8" s="63" t="n"/>
      <c r="CD8" s="63" t="n"/>
      <c r="CE8" s="63" t="n"/>
      <c r="CF8" s="63" t="n"/>
      <c r="CG8" s="63" t="n"/>
      <c r="CH8" s="63" t="n"/>
      <c r="CI8" s="63" t="n"/>
      <c r="CJ8" s="63" t="n"/>
      <c r="CK8" s="63" t="n"/>
      <c r="CO8" s="63" t="n"/>
      <c r="CQ8" s="63" t="n"/>
      <c r="CS8" s="63" t="n"/>
      <c r="CU8" s="63" t="n"/>
      <c r="CW8" s="63" t="n"/>
      <c r="CY8" s="63" t="n"/>
      <c r="CZ8" s="63" t="n"/>
      <c r="DA8" s="63" t="n"/>
      <c r="DB8" s="63" t="n"/>
      <c r="DC8" s="63" t="n"/>
      <c r="DD8" s="63" t="n"/>
      <c r="DE8" s="63" t="n"/>
      <c r="DF8" s="63" t="n"/>
      <c r="DJ8" s="63" t="n"/>
      <c r="DL8" s="63" t="n"/>
      <c r="DN8" s="63" t="n"/>
      <c r="DP8" s="63" t="n"/>
      <c r="DR8" s="63" t="n"/>
      <c r="DT8" s="63" t="n"/>
      <c r="DU8" s="63" t="n"/>
      <c r="DV8" s="63" t="n"/>
      <c r="DW8" s="63" t="n"/>
      <c r="DX8" s="63" t="n"/>
      <c r="DY8" s="63" t="n"/>
      <c r="DZ8" s="63" t="n"/>
      <c r="EA8" s="63" t="n"/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8">
        <f>IFERROR(ROUND(AVERAGE(AB9,CC9,ED9,GE9,IF9,KG9), 2), "")</f>
        <v/>
      </c>
      <c r="F9" s="14">
        <f>IF(SUM(BH9,DI9,FJ9,HK9,JL9,LM9)=0, "", SUM(BH9,DI9,FJ9,HK9,JL9,LM9))</f>
        <v/>
      </c>
      <c r="G9" s="8">
        <f>IF(SUM(BG9,DH9,FI9,HJ9,JK9,LL9)=0, "", SUM(BG9,DH9,FI9,HJ9,JK9,LL9))</f>
        <v/>
      </c>
      <c r="H9" s="6" t="n"/>
      <c r="I9" s="79" t="n"/>
      <c r="J9" s="6" t="n"/>
      <c r="K9" s="79" t="n"/>
      <c r="L9" s="6" t="n"/>
      <c r="M9" s="79" t="n"/>
      <c r="N9" s="6" t="n"/>
      <c r="O9" s="79" t="n"/>
      <c r="P9" s="6" t="n"/>
      <c r="Q9" s="79" t="n"/>
      <c r="R9" s="18" t="n"/>
      <c r="S9" s="79" t="n"/>
      <c r="T9" s="79" t="n"/>
      <c r="U9" s="79" t="n"/>
      <c r="V9" s="79" t="n"/>
      <c r="W9" s="79" t="n"/>
      <c r="X9" s="79" t="n"/>
      <c r="Y9" s="79" t="n"/>
      <c r="Z9" s="79" t="n"/>
      <c r="AA9" s="18" t="n"/>
      <c r="AB9" s="14">
        <f>IFERROR(ROUND(AVERAGE(H9,J9,L9,N9,P9,R9,T9,V9,X9,Z9), 2), "")</f>
        <v/>
      </c>
      <c r="AC9" s="6" t="n"/>
      <c r="AD9" s="79" t="n"/>
      <c r="AE9" s="6" t="n"/>
      <c r="AF9" s="79" t="n"/>
      <c r="AG9" s="6" t="n"/>
      <c r="AH9" s="79" t="n"/>
      <c r="AI9" s="6" t="n"/>
      <c r="AJ9" s="79" t="n"/>
      <c r="AK9" s="6" t="n"/>
      <c r="AL9" s="79" t="n"/>
      <c r="AM9" s="18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18" t="n"/>
      <c r="AW9" s="19" t="n"/>
      <c r="AX9" s="6" t="n"/>
      <c r="AY9" s="79" t="n"/>
      <c r="AZ9" s="6" t="n"/>
      <c r="BA9" s="79" t="n"/>
      <c r="BB9" s="6" t="n"/>
      <c r="BC9" s="79" t="n"/>
      <c r="BD9" s="6" t="n"/>
      <c r="BE9" s="79" t="n"/>
      <c r="BF9" s="6" t="n"/>
      <c r="BG9" s="79">
        <f>IF(COUNTA(AC9:BF9)=0, "", SUMPRODUCT(--ISNUMBER(SEARCH("m", AC9:BF9))))</f>
        <v/>
      </c>
      <c r="BH9" s="18">
        <f>IF(COUNTA(AC9:BF9)=0, "", COUNTA(AC9:BF9) - SUMPRODUCT(--ISNUMBER(SEARCH("m", AC9:BF9))))</f>
        <v/>
      </c>
      <c r="BI9" s="79" t="n"/>
      <c r="BJ9" s="79" t="n"/>
      <c r="BK9" s="79" t="n"/>
      <c r="BL9" s="79" t="n"/>
      <c r="BM9" s="79" t="n"/>
      <c r="BN9" s="79" t="n"/>
      <c r="BO9" s="79" t="n"/>
      <c r="BP9" s="79" t="n"/>
      <c r="BQ9" s="18" t="n"/>
      <c r="BR9" s="19" t="n"/>
      <c r="BS9" s="6" t="n"/>
      <c r="BT9" s="79" t="n"/>
      <c r="BU9" s="6" t="n"/>
      <c r="BV9" s="79" t="n"/>
      <c r="BW9" s="6" t="n"/>
      <c r="BX9" s="79" t="n"/>
      <c r="BY9" s="6" t="n"/>
      <c r="BZ9" s="79" t="n"/>
      <c r="CA9" s="6" t="n"/>
      <c r="CB9" s="79" t="n"/>
      <c r="CC9" s="8">
        <f>IFERROR(ROUND(AVERAGE(BI9,BK9,BM9,BO9,BQ9,BS9,BU9,BW9,BY9,CA9), 2), "")</f>
        <v/>
      </c>
      <c r="CD9" s="79" t="n"/>
      <c r="CE9" s="79" t="n"/>
      <c r="CF9" s="79" t="n"/>
      <c r="CG9" s="79" t="n"/>
      <c r="CH9" s="79" t="n"/>
      <c r="CI9" s="79" t="n"/>
      <c r="CJ9" s="79" t="n"/>
      <c r="CK9" s="79" t="n"/>
      <c r="CL9" s="18" t="n"/>
      <c r="CM9" s="19" t="n"/>
      <c r="CN9" s="6" t="n"/>
      <c r="CO9" s="79" t="n"/>
      <c r="CP9" s="6" t="n"/>
      <c r="CQ9" s="79" t="n"/>
      <c r="CR9" s="6" t="n"/>
      <c r="CS9" s="79" t="n"/>
      <c r="CT9" s="6" t="n"/>
      <c r="CU9" s="79" t="n"/>
      <c r="CV9" s="6" t="n"/>
      <c r="CW9" s="79" t="n"/>
      <c r="CX9" s="18" t="n"/>
      <c r="CY9" s="79" t="n"/>
      <c r="CZ9" s="79" t="n"/>
      <c r="DA9" s="79" t="n"/>
      <c r="DB9" s="79" t="n"/>
      <c r="DC9" s="79" t="n"/>
      <c r="DD9" s="79" t="n"/>
      <c r="DE9" s="79" t="n"/>
      <c r="DF9" s="79" t="n"/>
      <c r="DG9" s="18" t="n"/>
      <c r="DH9" s="19">
        <f>IF(COUNTA(CD9:DG9)=0, "", SUMPRODUCT(--ISNUMBER(SEARCH("m", CD9:DG9))))</f>
        <v/>
      </c>
      <c r="DI9" s="6">
        <f>IF(COUNTA(CD9:DG9)=0, "", COUNTA(CD9:DG9) - SUMPRODUCT(--ISNUMBER(SEARCH("m", CD9:DG9))))</f>
        <v/>
      </c>
      <c r="DJ9" s="79" t="n"/>
      <c r="DK9" s="6" t="n"/>
      <c r="DL9" s="79" t="n"/>
      <c r="DM9" s="6" t="n"/>
      <c r="DN9" s="79" t="n"/>
      <c r="DO9" s="6" t="n"/>
      <c r="DP9" s="79" t="n"/>
      <c r="DQ9" s="6" t="n"/>
      <c r="DR9" s="79" t="n"/>
      <c r="DS9" s="18" t="n"/>
      <c r="DT9" s="79" t="n"/>
      <c r="DU9" s="79" t="n"/>
      <c r="DV9" s="79" t="n"/>
      <c r="DW9" s="79" t="n"/>
      <c r="DX9" s="79" t="n"/>
      <c r="DY9" s="79" t="n"/>
      <c r="DZ9" s="79" t="n"/>
      <c r="EA9" s="79" t="n"/>
      <c r="EB9" s="18" t="n"/>
      <c r="EC9" s="19" t="n"/>
      <c r="ED9" s="20">
        <f>IFERROR(ROUND(AVERAGE(DJ9,DL9,DN9,DP9,DR9,DT9,DV9,DX9,DZ9,EB9), 2), "")</f>
        <v/>
      </c>
      <c r="EE9" s="6" t="n"/>
      <c r="EF9" s="6" t="n"/>
      <c r="EG9" s="6" t="n"/>
      <c r="EH9" s="6" t="n"/>
      <c r="EI9" s="6" t="n"/>
      <c r="EJ9" s="6" t="n"/>
      <c r="EK9" s="6" t="n"/>
      <c r="EL9" s="6" t="n"/>
      <c r="EM9" s="6" t="n"/>
      <c r="EN9" s="6" t="n"/>
      <c r="EO9" s="6" t="n"/>
      <c r="EP9" s="6" t="n"/>
      <c r="EQ9" s="6" t="n"/>
      <c r="ER9" s="6" t="n"/>
      <c r="ES9" s="6" t="n"/>
      <c r="ET9" s="6" t="n"/>
      <c r="EU9" s="6" t="n"/>
      <c r="EV9" s="6" t="n"/>
      <c r="EW9" s="6" t="n"/>
      <c r="EX9" s="6" t="n"/>
      <c r="EY9" s="6" t="n"/>
      <c r="EZ9" s="6" t="n"/>
      <c r="FA9" s="6" t="n"/>
      <c r="FB9" s="6" t="n"/>
      <c r="FC9" s="6" t="n"/>
      <c r="FD9" s="6" t="n"/>
      <c r="FE9" s="6" t="n"/>
      <c r="FF9" s="6" t="n"/>
      <c r="FG9" s="6" t="n"/>
      <c r="FH9" s="6" t="n"/>
      <c r="FI9" s="6">
        <f>IF(COUNTA(EE9:FH9)=0, "", SUMPRODUCT(--ISNUMBER(SEARCH("m", EE9:FH9))))</f>
        <v/>
      </c>
      <c r="FJ9" s="6">
        <f>IF(COUNTA(EE9:FH9)=0, "", COUNTA(EE9:FH9) - SUMPRODUCT(--ISNUMBER(SEARCH("m", EE9:FH9))))</f>
        <v/>
      </c>
      <c r="FK9" s="6" t="n"/>
      <c r="FL9" s="6" t="n"/>
      <c r="FM9" s="6" t="n"/>
      <c r="FN9" s="6" t="n"/>
      <c r="FO9" s="6" t="n"/>
      <c r="FP9" s="6" t="n"/>
      <c r="FQ9" s="6" t="n"/>
      <c r="FR9" s="6" t="n"/>
      <c r="FS9" s="6" t="n"/>
      <c r="FT9" s="6" t="n"/>
      <c r="FU9" s="6" t="n"/>
      <c r="FV9" s="6" t="n"/>
      <c r="FW9" s="6" t="n"/>
      <c r="FX9" s="6" t="n"/>
      <c r="FY9" s="6" t="n"/>
      <c r="FZ9" s="6" t="n"/>
      <c r="GA9" s="6" t="n"/>
      <c r="GB9" s="6" t="n"/>
      <c r="GC9" s="6" t="n"/>
      <c r="GD9" s="6" t="n"/>
      <c r="GE9" s="20">
        <f>IFERROR(ROUND(AVERAGE(FK9,FM9,FO9,FQ9,FS9,FU9,FW9,FY9,GA9,GC9), 2), "")</f>
        <v/>
      </c>
      <c r="GF9" s="6" t="n"/>
      <c r="GG9" s="6" t="n"/>
      <c r="GH9" s="6" t="n"/>
      <c r="GI9" s="6" t="n"/>
      <c r="GJ9" s="6" t="n"/>
      <c r="GK9" s="6" t="n"/>
      <c r="GL9" s="6" t="n"/>
      <c r="GM9" s="6" t="n"/>
      <c r="GN9" s="6" t="n"/>
      <c r="GO9" s="6" t="n"/>
      <c r="GP9" s="6" t="n"/>
      <c r="GQ9" s="6" t="n"/>
      <c r="GR9" s="6" t="n"/>
      <c r="GS9" s="6" t="n"/>
      <c r="GT9" s="6" t="n"/>
      <c r="GU9" s="6" t="n"/>
      <c r="GV9" s="6" t="n"/>
      <c r="GW9" s="6" t="n"/>
      <c r="GX9" s="6" t="n"/>
      <c r="GY9" s="6" t="n"/>
      <c r="GZ9" s="6" t="n"/>
      <c r="HA9" s="6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>
        <f>IF(COUNTA(GF9:HI9)=0, "", SUMPRODUCT(--ISNUMBER(SEARCH("m", GF9:HI9))))</f>
        <v/>
      </c>
      <c r="HK9" s="6">
        <f>IF(COUNTA(GF9:HI9)=0, "", COUNTA(GF9:HI9) - SUMPRODUCT(--ISNUMBER(SEARCH("m", GF9:HI9))))</f>
        <v/>
      </c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20">
        <f>IFERROR(ROUND(AVERAGE(HL9,HN9,HP9,HR9,HT9,HV9,HX9,HZ9,IB9,ID9), 2), "")</f>
        <v/>
      </c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  <c r="IR9" s="6" t="n"/>
      <c r="IS9" s="6" t="n"/>
      <c r="IT9" s="6" t="n"/>
      <c r="IU9" s="6" t="n"/>
      <c r="IV9" s="6" t="n"/>
      <c r="IW9" s="6" t="n"/>
      <c r="IX9" s="6" t="n"/>
      <c r="IY9" s="6" t="n"/>
      <c r="IZ9" s="6" t="n"/>
      <c r="JA9" s="6" t="n"/>
      <c r="JB9" s="6" t="n"/>
      <c r="JC9" s="6" t="n"/>
      <c r="JD9" s="6" t="n"/>
      <c r="JE9" s="6" t="n"/>
      <c r="JF9" s="6" t="n"/>
      <c r="JG9" s="6" t="n"/>
      <c r="JH9" s="6" t="n"/>
      <c r="JI9" s="6" t="n"/>
      <c r="JJ9" s="6" t="n"/>
      <c r="JK9" s="6">
        <f>IF(COUNTA(IG9:JJ9)=0, "", SUMPRODUCT(--ISNUMBER(SEARCH("m", IG9:JJ9))))</f>
        <v/>
      </c>
      <c r="JL9" s="6">
        <f>IF(COUNTA(IG9:JJ9)=0, "", COUNTA(IG9:JJ9) - SUMPRODUCT(--ISNUMBER(SEARCH("m", IG9:JJ9))))</f>
        <v/>
      </c>
      <c r="JM9" s="6" t="n"/>
      <c r="JN9" s="6" t="n"/>
      <c r="JO9" s="6" t="n"/>
      <c r="JP9" s="6" t="n"/>
      <c r="JQ9" s="6" t="n"/>
      <c r="JR9" s="6" t="n"/>
      <c r="JS9" s="6" t="n"/>
      <c r="JT9" s="6" t="n"/>
      <c r="JU9" s="6" t="n"/>
      <c r="JV9" s="6" t="n"/>
      <c r="JW9" s="6" t="n"/>
      <c r="JX9" s="6" t="n"/>
      <c r="JY9" s="6" t="n"/>
      <c r="JZ9" s="6" t="n"/>
      <c r="KA9" s="6" t="n"/>
      <c r="KB9" s="6" t="n"/>
      <c r="KC9" s="6" t="n"/>
      <c r="KD9" s="6" t="n"/>
      <c r="KE9" s="6" t="n"/>
      <c r="KF9" s="6" t="n"/>
      <c r="KG9" s="20">
        <f>IFERROR(ROUND(AVERAGE(JM9,JO9,JQ9,JS9,JU9,JW9,JY9,KA9,KC9,KE9), 2), "")</f>
        <v/>
      </c>
      <c r="KH9" s="6" t="n"/>
      <c r="KI9" s="6" t="n"/>
      <c r="KJ9" s="6" t="n"/>
      <c r="KK9" s="6" t="n"/>
      <c r="KL9" s="6" t="n"/>
      <c r="KM9" s="6" t="n"/>
      <c r="KN9" s="6" t="n"/>
      <c r="KO9" s="6" t="n"/>
      <c r="KP9" s="6" t="n"/>
      <c r="KQ9" s="6" t="n"/>
      <c r="KR9" s="6" t="n"/>
      <c r="KS9" s="6" t="n"/>
      <c r="KT9" s="6" t="n"/>
      <c r="KU9" s="6" t="n"/>
      <c r="KV9" s="6" t="n"/>
      <c r="KW9" s="6" t="n"/>
      <c r="KX9" s="6" t="n"/>
      <c r="KY9" s="6" t="n"/>
      <c r="KZ9" s="6" t="n"/>
      <c r="LA9" s="6" t="n"/>
      <c r="LB9" s="6" t="n"/>
      <c r="LC9" s="6" t="n"/>
      <c r="LD9" s="6" t="n"/>
      <c r="LE9" s="6" t="n"/>
      <c r="LF9" s="6" t="n"/>
      <c r="LG9" s="6" t="n"/>
      <c r="LH9" s="6" t="n"/>
      <c r="LI9" s="6" t="n"/>
      <c r="LJ9" s="6" t="n"/>
      <c r="LK9" s="6" t="n"/>
      <c r="LL9" s="6">
        <f>IF(COUNTA(KH9:LK9)=0, "", SUMPRODUCT(--ISNUMBER(SEARCH("m", KH9:LK9))))</f>
        <v/>
      </c>
      <c r="LM9" s="6">
        <f>IF(COUNTA(KH9:LK9)=0, "", COUNTA(KH9:LK9) - SUMPRODUCT(--ISNUMBER(SEARCH("m", KH9:LK9))))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8">
        <f>IFERROR(ROUND(AVERAGE(AB10,CC10,ED10,GE10,IF10,KG10), 2), "")</f>
        <v/>
      </c>
      <c r="F10" s="14">
        <f>IF(SUM(BH10,DI10,FJ10,HK10,JL10,LM10)=0, "", SUM(BH10,DI10,FJ10,HK10,JL10,LM10))</f>
        <v/>
      </c>
      <c r="G10" s="8">
        <f>IF(SUM(BG10,DH10,FI10,HJ10,JK10,LL10)=0, "", SUM(BG10,DH10,FI10,HJ10,JK10,LL10))</f>
        <v/>
      </c>
      <c r="H10" s="6" t="n"/>
      <c r="I10" s="79" t="n"/>
      <c r="J10" s="6" t="n"/>
      <c r="K10" s="79" t="n"/>
      <c r="L10" s="6" t="n"/>
      <c r="M10" s="79" t="n"/>
      <c r="N10" s="6" t="n"/>
      <c r="O10" s="79" t="n"/>
      <c r="P10" s="6" t="n"/>
      <c r="Q10" s="79" t="n"/>
      <c r="R10" s="18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18" t="n"/>
      <c r="AB10" s="14">
        <f>IFERROR(ROUND(AVERAGE(H10,J10,L10,N10,P10,R10,T10,V10,X10,Z10), 2), "")</f>
        <v/>
      </c>
      <c r="AC10" s="6" t="n"/>
      <c r="AD10" s="79" t="n"/>
      <c r="AE10" s="6" t="n"/>
      <c r="AF10" s="79" t="n"/>
      <c r="AG10" s="6" t="n"/>
      <c r="AH10" s="79" t="n"/>
      <c r="AI10" s="6" t="n"/>
      <c r="AJ10" s="79" t="n"/>
      <c r="AK10" s="6" t="n"/>
      <c r="AL10" s="79" t="n"/>
      <c r="AM10" s="18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18" t="n"/>
      <c r="AW10" s="19" t="n"/>
      <c r="AX10" s="6" t="n"/>
      <c r="AY10" s="79" t="n"/>
      <c r="AZ10" s="6" t="n"/>
      <c r="BA10" s="79" t="n"/>
      <c r="BB10" s="6" t="n"/>
      <c r="BC10" s="79" t="n"/>
      <c r="BD10" s="6" t="n"/>
      <c r="BE10" s="79" t="n"/>
      <c r="BF10" s="6" t="n"/>
      <c r="BG10" s="79">
        <f>IF(COUNTA(AC10:BF10)=0, "", SUMPRODUCT(--ISNUMBER(SEARCH("m", AC10:BF10))))</f>
        <v/>
      </c>
      <c r="BH10" s="18">
        <f>IF(COUNTA(AC10:BF10)=0, "", COUNTA(AC10:BF10) - SUMPRODUCT(--ISNUMBER(SEARCH("m", AC10:BF10))))</f>
        <v/>
      </c>
      <c r="BI10" s="79" t="n"/>
      <c r="BJ10" s="79" t="n"/>
      <c r="BK10" s="79" t="n"/>
      <c r="BL10" s="79" t="n"/>
      <c r="BM10" s="79" t="n"/>
      <c r="BN10" s="79" t="n"/>
      <c r="BO10" s="79" t="n"/>
      <c r="BP10" s="79" t="n"/>
      <c r="BQ10" s="18" t="n"/>
      <c r="BR10" s="19" t="n"/>
      <c r="BS10" s="6" t="n"/>
      <c r="BT10" s="79" t="n"/>
      <c r="BU10" s="6" t="n"/>
      <c r="BV10" s="79" t="n"/>
      <c r="BW10" s="6" t="n"/>
      <c r="BX10" s="79" t="n"/>
      <c r="BY10" s="6" t="n"/>
      <c r="BZ10" s="79" t="n"/>
      <c r="CA10" s="6" t="n"/>
      <c r="CB10" s="79" t="n"/>
      <c r="CC10" s="8">
        <f>IFERROR(ROUND(AVERAGE(BI10,BK10,BM10,BO10,BQ10,BS10,BU10,BW10,BY10,CA10), 2), "")</f>
        <v/>
      </c>
      <c r="CD10" s="79" t="n"/>
      <c r="CE10" s="79" t="n"/>
      <c r="CF10" s="79" t="n"/>
      <c r="CG10" s="79" t="n"/>
      <c r="CH10" s="79" t="n"/>
      <c r="CI10" s="79" t="n"/>
      <c r="CJ10" s="79" t="n"/>
      <c r="CK10" s="79" t="n"/>
      <c r="CL10" s="18" t="n"/>
      <c r="CM10" s="19" t="n"/>
      <c r="CN10" s="6" t="n"/>
      <c r="CO10" s="79" t="n"/>
      <c r="CP10" s="6" t="n"/>
      <c r="CQ10" s="79" t="n"/>
      <c r="CR10" s="6" t="n"/>
      <c r="CS10" s="79" t="n"/>
      <c r="CT10" s="6" t="n"/>
      <c r="CU10" s="79" t="n"/>
      <c r="CV10" s="6" t="n"/>
      <c r="CW10" s="79" t="n"/>
      <c r="CX10" s="18" t="n"/>
      <c r="CY10" s="79" t="n"/>
      <c r="CZ10" s="79" t="n"/>
      <c r="DA10" s="79" t="n"/>
      <c r="DB10" s="79" t="n"/>
      <c r="DC10" s="79" t="n"/>
      <c r="DD10" s="79" t="n"/>
      <c r="DE10" s="79" t="n"/>
      <c r="DF10" s="79" t="n"/>
      <c r="DG10" s="18" t="n"/>
      <c r="DH10" s="19">
        <f>IF(COUNTA(CD10:DG10)=0, "", SUMPRODUCT(--ISNUMBER(SEARCH("m", CD10:DG10))))</f>
        <v/>
      </c>
      <c r="DI10" s="6">
        <f>IF(COUNTA(CD10:DG10)=0, "", COUNTA(CD10:DG10) - SUMPRODUCT(--ISNUMBER(SEARCH("m", CD10:DG10))))</f>
        <v/>
      </c>
      <c r="DJ10" s="79" t="n"/>
      <c r="DK10" s="6" t="n"/>
      <c r="DL10" s="79" t="n"/>
      <c r="DM10" s="6" t="n"/>
      <c r="DN10" s="79" t="n"/>
      <c r="DO10" s="6" t="n"/>
      <c r="DP10" s="79" t="n"/>
      <c r="DQ10" s="6" t="n"/>
      <c r="DR10" s="79" t="n"/>
      <c r="DS10" s="18" t="n"/>
      <c r="DT10" s="79" t="n"/>
      <c r="DU10" s="79" t="n"/>
      <c r="DV10" s="79" t="n"/>
      <c r="DW10" s="79" t="n"/>
      <c r="DX10" s="79" t="n"/>
      <c r="DY10" s="79" t="n"/>
      <c r="DZ10" s="79" t="n"/>
      <c r="EA10" s="79" t="n"/>
      <c r="EB10" s="18" t="n"/>
      <c r="EC10" s="19" t="n"/>
      <c r="ED10" s="20">
        <f>IFERROR(ROUND(AVERAGE(DJ10,DL10,DN10,DP10,DR10,DT10,DV10,DX10,DZ10,EB10), 2), "")</f>
        <v/>
      </c>
      <c r="EE10" s="6" t="n"/>
      <c r="EF10" s="6" t="n"/>
      <c r="EG10" s="6" t="n"/>
      <c r="EH10" s="6" t="n"/>
      <c r="EI10" s="6" t="n"/>
      <c r="EJ10" s="6" t="n"/>
      <c r="EK10" s="6" t="n"/>
      <c r="EL10" s="6" t="n"/>
      <c r="EM10" s="6" t="n"/>
      <c r="EN10" s="6" t="n"/>
      <c r="EO10" s="6" t="n"/>
      <c r="EP10" s="6" t="n"/>
      <c r="EQ10" s="6" t="n"/>
      <c r="ER10" s="6" t="n"/>
      <c r="ES10" s="6" t="n"/>
      <c r="ET10" s="6" t="n"/>
      <c r="EU10" s="6" t="n"/>
      <c r="EV10" s="6" t="n"/>
      <c r="EW10" s="6" t="n"/>
      <c r="EX10" s="6" t="n"/>
      <c r="EY10" s="6" t="n"/>
      <c r="EZ10" s="6" t="n"/>
      <c r="FA10" s="6" t="n"/>
      <c r="FB10" s="6" t="n"/>
      <c r="FC10" s="6" t="n"/>
      <c r="FD10" s="6" t="n"/>
      <c r="FE10" s="6" t="n"/>
      <c r="FF10" s="6" t="n"/>
      <c r="FG10" s="6" t="n"/>
      <c r="FH10" s="6" t="n"/>
      <c r="FI10" s="6">
        <f>IF(COUNTA(EE10:FH10)=0, "", SUMPRODUCT(--ISNUMBER(SEARCH("m", EE10:FH10))))</f>
        <v/>
      </c>
      <c r="FJ10" s="6">
        <f>IF(COUNTA(EE10:FH10)=0, "", COUNTA(EE10:FH10) - SUMPRODUCT(--ISNUMBER(SEARCH("m", EE10:FH10))))</f>
        <v/>
      </c>
      <c r="FK10" s="6" t="n"/>
      <c r="FL10" s="6" t="n"/>
      <c r="FM10" s="6" t="n"/>
      <c r="FN10" s="6" t="n"/>
      <c r="FO10" s="6" t="n"/>
      <c r="FP10" s="6" t="n"/>
      <c r="FQ10" s="6" t="n"/>
      <c r="FR10" s="6" t="n"/>
      <c r="FS10" s="6" t="n"/>
      <c r="FT10" s="6" t="n"/>
      <c r="FU10" s="6" t="n"/>
      <c r="FV10" s="6" t="n"/>
      <c r="FW10" s="6" t="n"/>
      <c r="FX10" s="6" t="n"/>
      <c r="FY10" s="6" t="n"/>
      <c r="FZ10" s="6" t="n"/>
      <c r="GA10" s="6" t="n"/>
      <c r="GB10" s="6" t="n"/>
      <c r="GC10" s="6" t="n"/>
      <c r="GD10" s="6" t="n"/>
      <c r="GE10" s="20">
        <f>IFERROR(ROUND(AVERAGE(FK10,FM10,FO10,FQ10,FS10,FU10,FW10,FY10,GA10,GC10), 2), "")</f>
        <v/>
      </c>
      <c r="GF10" s="6" t="n"/>
      <c r="GG10" s="6" t="n"/>
      <c r="GH10" s="6" t="n"/>
      <c r="GI10" s="6" t="n"/>
      <c r="GJ10" s="6" t="n"/>
      <c r="GK10" s="6" t="n"/>
      <c r="GL10" s="6" t="n"/>
      <c r="GM10" s="6" t="n"/>
      <c r="GN10" s="6" t="n"/>
      <c r="GO10" s="6" t="n"/>
      <c r="GP10" s="6" t="n"/>
      <c r="GQ10" s="6" t="n"/>
      <c r="GR10" s="6" t="n"/>
      <c r="GS10" s="6" t="n"/>
      <c r="GT10" s="6" t="n"/>
      <c r="GU10" s="6" t="n"/>
      <c r="GV10" s="6" t="n"/>
      <c r="GW10" s="6" t="n"/>
      <c r="GX10" s="6" t="n"/>
      <c r="GY10" s="6" t="n"/>
      <c r="GZ10" s="6" t="n"/>
      <c r="HA10" s="6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>
        <f>IF(COUNTA(GF10:HI10)=0, "", SUMPRODUCT(--ISNUMBER(SEARCH("m", GF10:HI10))))</f>
        <v/>
      </c>
      <c r="HK10" s="6">
        <f>IF(COUNTA(GF10:HI10)=0, "", COUNTA(GF10:HI10) - SUMPRODUCT(--ISNUMBER(SEARCH("m", GF10:HI10))))</f>
        <v/>
      </c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20">
        <f>IFERROR(ROUND(AVERAGE(HL10,HN10,HP10,HR10,HT10,HV10,HX10,HZ10,IB10,ID10), 2), "")</f>
        <v/>
      </c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  <c r="IR10" s="6" t="n"/>
      <c r="IS10" s="6" t="n"/>
      <c r="IT10" s="6" t="n"/>
      <c r="IU10" s="6" t="n"/>
      <c r="IV10" s="6" t="n"/>
      <c r="IW10" s="6" t="n"/>
      <c r="IX10" s="6" t="n"/>
      <c r="IY10" s="6" t="n"/>
      <c r="IZ10" s="6" t="n"/>
      <c r="JA10" s="6" t="n"/>
      <c r="JB10" s="6" t="n"/>
      <c r="JC10" s="6" t="n"/>
      <c r="JD10" s="6" t="n"/>
      <c r="JE10" s="6" t="n"/>
      <c r="JF10" s="6" t="n"/>
      <c r="JG10" s="6" t="n"/>
      <c r="JH10" s="6" t="n"/>
      <c r="JI10" s="6" t="n"/>
      <c r="JJ10" s="6" t="n"/>
      <c r="JK10" s="6">
        <f>IF(COUNTA(IG10:JJ10)=0, "", SUMPRODUCT(--ISNUMBER(SEARCH("m", IG10:JJ10))))</f>
        <v/>
      </c>
      <c r="JL10" s="6">
        <f>IF(COUNTA(IG10:JJ10)=0, "", COUNTA(IG10:JJ10) - SUMPRODUCT(--ISNUMBER(SEARCH("m", IG10:JJ10))))</f>
        <v/>
      </c>
      <c r="JM10" s="6" t="n"/>
      <c r="JN10" s="6" t="n"/>
      <c r="JO10" s="6" t="n"/>
      <c r="JP10" s="6" t="n"/>
      <c r="JQ10" s="6" t="n"/>
      <c r="JR10" s="6" t="n"/>
      <c r="JS10" s="6" t="n"/>
      <c r="JT10" s="6" t="n"/>
      <c r="JU10" s="6" t="n"/>
      <c r="JV10" s="6" t="n"/>
      <c r="JW10" s="6" t="n"/>
      <c r="JX10" s="6" t="n"/>
      <c r="JY10" s="6" t="n"/>
      <c r="JZ10" s="6" t="n"/>
      <c r="KA10" s="6" t="n"/>
      <c r="KB10" s="6" t="n"/>
      <c r="KC10" s="6" t="n"/>
      <c r="KD10" s="6" t="n"/>
      <c r="KE10" s="6" t="n"/>
      <c r="KF10" s="6" t="n"/>
      <c r="KG10" s="20">
        <f>IFERROR(ROUND(AVERAGE(JM10,JO10,JQ10,JS10,JU10,JW10,JY10,KA10,KC10,KE10), 2), "")</f>
        <v/>
      </c>
      <c r="KH10" s="6" t="n"/>
      <c r="KI10" s="6" t="n"/>
      <c r="KJ10" s="6" t="n"/>
      <c r="KK10" s="6" t="n"/>
      <c r="KL10" s="6" t="n"/>
      <c r="KM10" s="6" t="n"/>
      <c r="KN10" s="6" t="n"/>
      <c r="KO10" s="6" t="n"/>
      <c r="KP10" s="6" t="n"/>
      <c r="KQ10" s="6" t="n"/>
      <c r="KR10" s="6" t="n"/>
      <c r="KS10" s="6" t="n"/>
      <c r="KT10" s="6" t="n"/>
      <c r="KU10" s="6" t="n"/>
      <c r="KV10" s="6" t="n"/>
      <c r="KW10" s="6" t="n"/>
      <c r="KX10" s="6" t="n"/>
      <c r="KY10" s="6" t="n"/>
      <c r="KZ10" s="6" t="n"/>
      <c r="LA10" s="6" t="n"/>
      <c r="LB10" s="6" t="n"/>
      <c r="LC10" s="6" t="n"/>
      <c r="LD10" s="6" t="n"/>
      <c r="LE10" s="6" t="n"/>
      <c r="LF10" s="6" t="n"/>
      <c r="LG10" s="6" t="n"/>
      <c r="LH10" s="6" t="n"/>
      <c r="LI10" s="6" t="n"/>
      <c r="LJ10" s="6" t="n"/>
      <c r="LK10" s="6" t="n"/>
      <c r="LL10" s="6">
        <f>IF(COUNTA(KH10:LK10)=0, "", SUMPRODUCT(--ISNUMBER(SEARCH("m", KH10:LK10))))</f>
        <v/>
      </c>
      <c r="LM10" s="6">
        <f>IF(COUNTA(KH10:LK10)=0, "", COUNTA(KH10:LK10) - SUMPRODUCT(--ISNUMBER(SEARCH("m", KH10:LK10))))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8">
        <f>IFERROR(ROUND(AVERAGE(AB11,CC11,ED11,GE11,IF11,KG11), 2), "")</f>
        <v/>
      </c>
      <c r="F11" s="14">
        <f>IF(SUM(BH11,DI11,FJ11,HK11,JL11,LM11)=0, "", SUM(BH11,DI11,FJ11,HK11,JL11,LM11))</f>
        <v/>
      </c>
      <c r="G11" s="8">
        <f>IF(SUM(BG11,DH11,FI11,HJ11,JK11,LL11)=0, "", SUM(BG11,DH11,FI11,HJ11,JK11,LL11))</f>
        <v/>
      </c>
      <c r="H11" s="6" t="n"/>
      <c r="I11" s="79" t="n"/>
      <c r="J11" s="6" t="n"/>
      <c r="K11" s="79" t="n"/>
      <c r="L11" s="6" t="n"/>
      <c r="M11" s="79" t="n"/>
      <c r="N11" s="6" t="n"/>
      <c r="O11" s="79" t="n"/>
      <c r="P11" s="6" t="n"/>
      <c r="Q11" s="79" t="n"/>
      <c r="R11" s="18" t="n"/>
      <c r="S11" s="79" t="n"/>
      <c r="T11" s="79" t="n"/>
      <c r="U11" s="79" t="n"/>
      <c r="V11" s="79" t="n"/>
      <c r="W11" s="79" t="n"/>
      <c r="X11" s="79" t="n"/>
      <c r="Y11" s="79" t="n"/>
      <c r="Z11" s="79" t="n"/>
      <c r="AA11" s="18" t="n"/>
      <c r="AB11" s="14">
        <f>IFERROR(ROUND(AVERAGE(H11,J11,L11,N11,P11,R11,T11,V11,X11,Z11), 2), "")</f>
        <v/>
      </c>
      <c r="AC11" s="6" t="n"/>
      <c r="AD11" s="79" t="n"/>
      <c r="AE11" s="6" t="n"/>
      <c r="AF11" s="79" t="n"/>
      <c r="AG11" s="6" t="n"/>
      <c r="AH11" s="79" t="n"/>
      <c r="AI11" s="6" t="n"/>
      <c r="AJ11" s="79" t="n"/>
      <c r="AK11" s="6" t="n"/>
      <c r="AL11" s="79" t="n"/>
      <c r="AM11" s="18" t="n"/>
      <c r="AN11" s="79" t="n"/>
      <c r="AO11" s="79" t="n"/>
      <c r="AP11" s="79" t="n"/>
      <c r="AQ11" s="79" t="n"/>
      <c r="AR11" s="79" t="n"/>
      <c r="AS11" s="79" t="n"/>
      <c r="AT11" s="79" t="n"/>
      <c r="AU11" s="79" t="n"/>
      <c r="AV11" s="18" t="n"/>
      <c r="AW11" s="19" t="n"/>
      <c r="AX11" s="6" t="n"/>
      <c r="AY11" s="79" t="n"/>
      <c r="AZ11" s="6" t="n"/>
      <c r="BA11" s="79" t="n"/>
      <c r="BB11" s="6" t="n"/>
      <c r="BC11" s="79" t="n"/>
      <c r="BD11" s="6" t="n"/>
      <c r="BE11" s="79" t="n"/>
      <c r="BF11" s="6" t="n"/>
      <c r="BG11" s="79">
        <f>IF(COUNTA(AC11:BF11)=0, "", SUMPRODUCT(--ISNUMBER(SEARCH("m", AC11:BF11))))</f>
        <v/>
      </c>
      <c r="BH11" s="18">
        <f>IF(COUNTA(AC11:BF11)=0, "", COUNTA(AC11:BF11) - SUMPRODUCT(--ISNUMBER(SEARCH("m", AC11:BF11))))</f>
        <v/>
      </c>
      <c r="BI11" s="79" t="n"/>
      <c r="BJ11" s="79" t="n"/>
      <c r="BK11" s="79" t="n"/>
      <c r="BL11" s="79" t="n"/>
      <c r="BM11" s="79" t="n"/>
      <c r="BN11" s="79" t="n"/>
      <c r="BO11" s="79" t="n"/>
      <c r="BP11" s="79" t="n"/>
      <c r="BQ11" s="18" t="n"/>
      <c r="BR11" s="19" t="n"/>
      <c r="BS11" s="6" t="n"/>
      <c r="BT11" s="79" t="n"/>
      <c r="BU11" s="6" t="n"/>
      <c r="BV11" s="79" t="n"/>
      <c r="BW11" s="6" t="n"/>
      <c r="BX11" s="79" t="n"/>
      <c r="BY11" s="6" t="n"/>
      <c r="BZ11" s="79" t="n"/>
      <c r="CA11" s="6" t="n"/>
      <c r="CB11" s="79" t="n"/>
      <c r="CC11" s="8">
        <f>IFERROR(ROUND(AVERAGE(BI11,BK11,BM11,BO11,BQ11,BS11,BU11,BW11,BY11,CA11), 2), "")</f>
        <v/>
      </c>
      <c r="CD11" s="79" t="n"/>
      <c r="CE11" s="79" t="n"/>
      <c r="CF11" s="79" t="n"/>
      <c r="CG11" s="79" t="n"/>
      <c r="CH11" s="79" t="n"/>
      <c r="CI11" s="79" t="n"/>
      <c r="CJ11" s="79" t="n"/>
      <c r="CK11" s="79" t="n"/>
      <c r="CL11" s="18" t="n"/>
      <c r="CM11" s="19" t="n"/>
      <c r="CN11" s="6" t="n"/>
      <c r="CO11" s="79" t="n"/>
      <c r="CP11" s="6" t="n"/>
      <c r="CQ11" s="79" t="n"/>
      <c r="CR11" s="6" t="n"/>
      <c r="CS11" s="79" t="n"/>
      <c r="CT11" s="6" t="n"/>
      <c r="CU11" s="79" t="n"/>
      <c r="CV11" s="6" t="n"/>
      <c r="CW11" s="79" t="n"/>
      <c r="CX11" s="18" t="n"/>
      <c r="CY11" s="79" t="n"/>
      <c r="CZ11" s="79" t="n"/>
      <c r="DA11" s="79" t="n"/>
      <c r="DB11" s="79" t="n"/>
      <c r="DC11" s="79" t="n"/>
      <c r="DD11" s="79" t="n"/>
      <c r="DE11" s="79" t="n"/>
      <c r="DF11" s="79" t="n"/>
      <c r="DG11" s="18" t="n"/>
      <c r="DH11" s="19">
        <f>IF(COUNTA(CD11:DG11)=0, "", SUMPRODUCT(--ISNUMBER(SEARCH("m", CD11:DG11))))</f>
        <v/>
      </c>
      <c r="DI11" s="6">
        <f>IF(COUNTA(CD11:DG11)=0, "", COUNTA(CD11:DG11) - SUMPRODUCT(--ISNUMBER(SEARCH("m", CD11:DG11))))</f>
        <v/>
      </c>
      <c r="DJ11" s="79" t="n"/>
      <c r="DK11" s="6" t="n"/>
      <c r="DL11" s="79" t="n"/>
      <c r="DM11" s="6" t="n"/>
      <c r="DN11" s="79" t="n"/>
      <c r="DO11" s="6" t="n"/>
      <c r="DP11" s="79" t="n"/>
      <c r="DQ11" s="6" t="n"/>
      <c r="DR11" s="79" t="n"/>
      <c r="DS11" s="18" t="n"/>
      <c r="DT11" s="79" t="n"/>
      <c r="DU11" s="79" t="n"/>
      <c r="DV11" s="79" t="n"/>
      <c r="DW11" s="79" t="n"/>
      <c r="DX11" s="79" t="n"/>
      <c r="DY11" s="79" t="n"/>
      <c r="DZ11" s="79" t="n"/>
      <c r="EA11" s="79" t="n"/>
      <c r="EB11" s="18" t="n"/>
      <c r="EC11" s="19" t="n"/>
      <c r="ED11" s="20">
        <f>IFERROR(ROUND(AVERAGE(DJ11,DL11,DN11,DP11,DR11,DT11,DV11,DX11,DZ11,EB11), 2), "")</f>
        <v/>
      </c>
      <c r="EE11" s="6" t="n"/>
      <c r="EF11" s="6" t="n"/>
      <c r="EG11" s="6" t="n"/>
      <c r="EH11" s="6" t="n"/>
      <c r="EI11" s="6" t="n"/>
      <c r="EJ11" s="6" t="n"/>
      <c r="EK11" s="6" t="n"/>
      <c r="EL11" s="6" t="n"/>
      <c r="EM11" s="6" t="n"/>
      <c r="EN11" s="6" t="n"/>
      <c r="EO11" s="6" t="n"/>
      <c r="EP11" s="6" t="n"/>
      <c r="EQ11" s="6" t="n"/>
      <c r="ER11" s="6" t="n"/>
      <c r="ES11" s="6" t="n"/>
      <c r="ET11" s="6" t="n"/>
      <c r="EU11" s="6" t="n"/>
      <c r="EV11" s="6" t="n"/>
      <c r="EW11" s="6" t="n"/>
      <c r="EX11" s="6" t="n"/>
      <c r="EY11" s="6" t="n"/>
      <c r="EZ11" s="6" t="n"/>
      <c r="FA11" s="6" t="n"/>
      <c r="FB11" s="6" t="n"/>
      <c r="FC11" s="6" t="n"/>
      <c r="FD11" s="6" t="n"/>
      <c r="FE11" s="6" t="n"/>
      <c r="FF11" s="6" t="n"/>
      <c r="FG11" s="6" t="n"/>
      <c r="FH11" s="6" t="n"/>
      <c r="FI11" s="6">
        <f>IF(COUNTA(EE11:FH11)=0, "", SUMPRODUCT(--ISNUMBER(SEARCH("m", EE11:FH11))))</f>
        <v/>
      </c>
      <c r="FJ11" s="6">
        <f>IF(COUNTA(EE11:FH11)=0, "", COUNTA(EE11:FH11) - SUMPRODUCT(--ISNUMBER(SEARCH("m", EE11:FH11))))</f>
        <v/>
      </c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20">
        <f>IFERROR(ROUND(AVERAGE(FK11,FM11,FO11,FQ11,FS11,FU11,FW11,FY11,GA11,GC11), 2), "")</f>
        <v/>
      </c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>
        <f>IF(COUNTA(GF11:HI11)=0, "", SUMPRODUCT(--ISNUMBER(SEARCH("m", GF11:HI11))))</f>
        <v/>
      </c>
      <c r="HK11" s="6">
        <f>IF(COUNTA(GF11:HI11)=0, "", COUNTA(GF11:HI11) - SUMPRODUCT(--ISNUMBER(SEARCH("m", GF11:HI11))))</f>
        <v/>
      </c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20">
        <f>IFERROR(ROUND(AVERAGE(HL11,HN11,HP11,HR11,HT11,HV11,HX11,HZ11,IB11,ID11), 2), "")</f>
        <v/>
      </c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>
        <f>IF(COUNTA(IG11:JJ11)=0, "", SUMPRODUCT(--ISNUMBER(SEARCH("m", IG11:JJ11))))</f>
        <v/>
      </c>
      <c r="JL11" s="6">
        <f>IF(COUNTA(IG11:JJ11)=0, "", COUNTA(IG11:JJ11) - SUMPRODUCT(--ISNUMBER(SEARCH("m", IG11:JJ11))))</f>
        <v/>
      </c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20">
        <f>IFERROR(ROUND(AVERAGE(JM11,JO11,JQ11,JS11,JU11,JW11,JY11,KA11,KC11,KE11), 2), "")</f>
        <v/>
      </c>
      <c r="KH11" s="6" t="n"/>
      <c r="KI11" s="6" t="n"/>
      <c r="KJ11" s="6" t="n"/>
      <c r="KK11" s="6" t="n"/>
      <c r="KL11" s="6" t="n"/>
      <c r="KM11" s="6" t="n"/>
      <c r="KN11" s="6" t="n"/>
      <c r="KO11" s="6" t="n"/>
      <c r="KP11" s="6" t="n"/>
      <c r="KQ11" s="6" t="n"/>
      <c r="KR11" s="6" t="n"/>
      <c r="KS11" s="6" t="n"/>
      <c r="KT11" s="6" t="n"/>
      <c r="KU11" s="6" t="n"/>
      <c r="KV11" s="6" t="n"/>
      <c r="KW11" s="6" t="n"/>
      <c r="KX11" s="6" t="n"/>
      <c r="KY11" s="6" t="n"/>
      <c r="KZ11" s="6" t="n"/>
      <c r="LA11" s="6" t="n"/>
      <c r="LB11" s="6" t="n"/>
      <c r="LC11" s="6" t="n"/>
      <c r="LD11" s="6" t="n"/>
      <c r="LE11" s="6" t="n"/>
      <c r="LF11" s="6" t="n"/>
      <c r="LG11" s="6" t="n"/>
      <c r="LH11" s="6" t="n"/>
      <c r="LI11" s="6" t="n"/>
      <c r="LJ11" s="6" t="n"/>
      <c r="LK11" s="6" t="n"/>
      <c r="LL11" s="6">
        <f>IF(COUNTA(KH11:LK11)=0, "", SUMPRODUCT(--ISNUMBER(SEARCH("m", KH11:LK11))))</f>
        <v/>
      </c>
      <c r="LM11" s="6">
        <f>IF(COUNTA(KH11:LK11)=0, "", COUNTA(KH11:LK11) - SUMPRODUCT(--ISNUMBER(SEARCH("m", KH11:LK11))))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8">
        <f>IFERROR(ROUND(AVERAGE(AB12,CC12,ED12,GE12,IF12,KG12), 2), "")</f>
        <v/>
      </c>
      <c r="F12" s="14">
        <f>IF(SUM(BH12,DI12,FJ12,HK12,JL12,LM12)=0, "", SUM(BH12,DI12,FJ12,HK12,JL12,LM12))</f>
        <v/>
      </c>
      <c r="G12" s="8">
        <f>IF(SUM(BG12,DH12,FI12,HJ12,JK12,LL12)=0, "", SUM(BG12,DH12,FI12,HJ12,JK12,LL12))</f>
        <v/>
      </c>
      <c r="H12" s="6" t="n"/>
      <c r="I12" s="79" t="n"/>
      <c r="J12" s="6" t="n"/>
      <c r="K12" s="79" t="n"/>
      <c r="L12" s="6" t="n"/>
      <c r="M12" s="79" t="n"/>
      <c r="N12" s="6" t="n"/>
      <c r="O12" s="79" t="n"/>
      <c r="P12" s="6" t="n"/>
      <c r="Q12" s="79" t="n"/>
      <c r="R12" s="18" t="n"/>
      <c r="S12" s="79" t="n"/>
      <c r="T12" s="79" t="n"/>
      <c r="U12" s="79" t="n"/>
      <c r="V12" s="79" t="n"/>
      <c r="W12" s="79" t="n"/>
      <c r="X12" s="79" t="n"/>
      <c r="Y12" s="79" t="n"/>
      <c r="Z12" s="79" t="n"/>
      <c r="AA12" s="18" t="n"/>
      <c r="AB12" s="14">
        <f>IFERROR(ROUND(AVERAGE(H12,J12,L12,N12,P12,R12,T12,V12,X12,Z12), 2), "")</f>
        <v/>
      </c>
      <c r="AC12" s="6" t="n"/>
      <c r="AD12" s="79" t="n"/>
      <c r="AE12" s="6" t="n"/>
      <c r="AF12" s="79" t="n"/>
      <c r="AG12" s="6" t="n"/>
      <c r="AH12" s="79" t="n"/>
      <c r="AI12" s="6" t="n"/>
      <c r="AJ12" s="79" t="n"/>
      <c r="AK12" s="6" t="n"/>
      <c r="AL12" s="79" t="n"/>
      <c r="AM12" s="18" t="n"/>
      <c r="AN12" s="79" t="n"/>
      <c r="AO12" s="79" t="n"/>
      <c r="AP12" s="79" t="n"/>
      <c r="AQ12" s="79" t="n"/>
      <c r="AR12" s="79" t="n"/>
      <c r="AS12" s="79" t="n"/>
      <c r="AT12" s="79" t="n"/>
      <c r="AU12" s="79" t="n"/>
      <c r="AV12" s="18" t="n"/>
      <c r="AW12" s="19" t="n"/>
      <c r="AX12" s="6" t="n"/>
      <c r="AY12" s="79" t="n"/>
      <c r="AZ12" s="6" t="n"/>
      <c r="BA12" s="79" t="n"/>
      <c r="BB12" s="6" t="n"/>
      <c r="BC12" s="79" t="n"/>
      <c r="BD12" s="6" t="n"/>
      <c r="BE12" s="79" t="n"/>
      <c r="BF12" s="6" t="n"/>
      <c r="BG12" s="79">
        <f>IF(COUNTA(AC12:BF12)=0, "", SUMPRODUCT(--ISNUMBER(SEARCH("m", AC12:BF12))))</f>
        <v/>
      </c>
      <c r="BH12" s="18">
        <f>IF(COUNTA(AC12:BF12)=0, "", COUNTA(AC12:BF12) - SUMPRODUCT(--ISNUMBER(SEARCH("m", AC12:BF12))))</f>
        <v/>
      </c>
      <c r="BI12" s="79" t="n"/>
      <c r="BJ12" s="79" t="n"/>
      <c r="BK12" s="79" t="n"/>
      <c r="BL12" s="79" t="n"/>
      <c r="BM12" s="79" t="n"/>
      <c r="BN12" s="79" t="n"/>
      <c r="BO12" s="79" t="n"/>
      <c r="BP12" s="79" t="n"/>
      <c r="BQ12" s="18" t="n"/>
      <c r="BR12" s="19" t="n"/>
      <c r="BS12" s="6" t="n"/>
      <c r="BT12" s="79" t="n"/>
      <c r="BU12" s="6" t="n"/>
      <c r="BV12" s="79" t="n"/>
      <c r="BW12" s="6" t="n"/>
      <c r="BX12" s="79" t="n"/>
      <c r="BY12" s="6" t="n"/>
      <c r="BZ12" s="79" t="n"/>
      <c r="CA12" s="6" t="n"/>
      <c r="CB12" s="79" t="n"/>
      <c r="CC12" s="8">
        <f>IFERROR(ROUND(AVERAGE(BI12,BK12,BM12,BO12,BQ12,BS12,BU12,BW12,BY12,CA12), 2), "")</f>
        <v/>
      </c>
      <c r="CD12" s="79" t="n"/>
      <c r="CE12" s="79" t="n"/>
      <c r="CF12" s="79" t="n"/>
      <c r="CG12" s="79" t="n"/>
      <c r="CH12" s="79" t="n"/>
      <c r="CI12" s="79" t="n"/>
      <c r="CJ12" s="79" t="n"/>
      <c r="CK12" s="79" t="n"/>
      <c r="CL12" s="18" t="n"/>
      <c r="CM12" s="19" t="n"/>
      <c r="CN12" s="6" t="n"/>
      <c r="CO12" s="79" t="n"/>
      <c r="CP12" s="6" t="n"/>
      <c r="CQ12" s="79" t="n"/>
      <c r="CR12" s="6" t="n"/>
      <c r="CS12" s="79" t="n"/>
      <c r="CT12" s="6" t="n"/>
      <c r="CU12" s="79" t="n"/>
      <c r="CV12" s="6" t="n"/>
      <c r="CW12" s="79" t="n"/>
      <c r="CX12" s="18" t="n"/>
      <c r="CY12" s="79" t="n"/>
      <c r="CZ12" s="79" t="n"/>
      <c r="DA12" s="79" t="n"/>
      <c r="DB12" s="79" t="n"/>
      <c r="DC12" s="79" t="n"/>
      <c r="DD12" s="79" t="n"/>
      <c r="DE12" s="79" t="n"/>
      <c r="DF12" s="79" t="n"/>
      <c r="DG12" s="18" t="n"/>
      <c r="DH12" s="19">
        <f>IF(COUNTA(CD12:DG12)=0, "", SUMPRODUCT(--ISNUMBER(SEARCH("m", CD12:DG12))))</f>
        <v/>
      </c>
      <c r="DI12" s="6">
        <f>IF(COUNTA(CD12:DG12)=0, "", COUNTA(CD12:DG12) - SUMPRODUCT(--ISNUMBER(SEARCH("m", CD12:DG12))))</f>
        <v/>
      </c>
      <c r="DJ12" s="79" t="n"/>
      <c r="DK12" s="6" t="n"/>
      <c r="DL12" s="79" t="n"/>
      <c r="DM12" s="6" t="n"/>
      <c r="DN12" s="79" t="n"/>
      <c r="DO12" s="6" t="n"/>
      <c r="DP12" s="79" t="n"/>
      <c r="DQ12" s="6" t="n"/>
      <c r="DR12" s="79" t="n"/>
      <c r="DS12" s="18" t="n"/>
      <c r="DT12" s="79" t="n"/>
      <c r="DU12" s="79" t="n"/>
      <c r="DV12" s="79" t="n"/>
      <c r="DW12" s="79" t="n"/>
      <c r="DX12" s="79" t="n"/>
      <c r="DY12" s="79" t="n"/>
      <c r="DZ12" s="79" t="n"/>
      <c r="EA12" s="79" t="n"/>
      <c r="EB12" s="18" t="n"/>
      <c r="EC12" s="19" t="n"/>
      <c r="ED12" s="20">
        <f>IFERROR(ROUND(AVERAGE(DJ12,DL12,DN12,DP12,DR12,DT12,DV12,DX12,DZ12,EB12), 2), "")</f>
        <v/>
      </c>
      <c r="EE12" s="6" t="n"/>
      <c r="EF12" s="6" t="n"/>
      <c r="EG12" s="6" t="n"/>
      <c r="EH12" s="6" t="n"/>
      <c r="EI12" s="6" t="n"/>
      <c r="EJ12" s="6" t="n"/>
      <c r="EK12" s="6" t="n"/>
      <c r="EL12" s="6" t="n"/>
      <c r="EM12" s="6" t="n"/>
      <c r="EN12" s="6" t="n"/>
      <c r="EO12" s="6" t="n"/>
      <c r="EP12" s="6" t="n"/>
      <c r="EQ12" s="6" t="n"/>
      <c r="ER12" s="6" t="n"/>
      <c r="ES12" s="6" t="n"/>
      <c r="ET12" s="6" t="n"/>
      <c r="EU12" s="6" t="n"/>
      <c r="EV12" s="6" t="n"/>
      <c r="EW12" s="6" t="n"/>
      <c r="EX12" s="6" t="n"/>
      <c r="EY12" s="6" t="n"/>
      <c r="EZ12" s="6" t="n"/>
      <c r="FA12" s="6" t="n"/>
      <c r="FB12" s="6" t="n"/>
      <c r="FC12" s="6" t="n"/>
      <c r="FD12" s="6" t="n"/>
      <c r="FE12" s="6" t="n"/>
      <c r="FF12" s="6" t="n"/>
      <c r="FG12" s="6" t="n"/>
      <c r="FH12" s="6" t="n"/>
      <c r="FI12" s="6">
        <f>IF(COUNTA(EE12:FH12)=0, "", SUMPRODUCT(--ISNUMBER(SEARCH("m", EE12:FH12))))</f>
        <v/>
      </c>
      <c r="FJ12" s="6">
        <f>IF(COUNTA(EE12:FH12)=0, "", COUNTA(EE12:FH12) - SUMPRODUCT(--ISNUMBER(SEARCH("m", EE12:FH12))))</f>
        <v/>
      </c>
      <c r="FK12" s="6" t="n"/>
      <c r="FL12" s="6" t="n"/>
      <c r="FM12" s="6" t="n"/>
      <c r="FN12" s="6" t="n"/>
      <c r="FO12" s="6" t="n"/>
      <c r="FP12" s="6" t="n"/>
      <c r="FQ12" s="6" t="n"/>
      <c r="FR12" s="6" t="n"/>
      <c r="FS12" s="6" t="n"/>
      <c r="FT12" s="6" t="n"/>
      <c r="FU12" s="6" t="n"/>
      <c r="FV12" s="6" t="n"/>
      <c r="FW12" s="6" t="n"/>
      <c r="FX12" s="6" t="n"/>
      <c r="FY12" s="6" t="n"/>
      <c r="FZ12" s="6" t="n"/>
      <c r="GA12" s="6" t="n"/>
      <c r="GB12" s="6" t="n"/>
      <c r="GC12" s="6" t="n"/>
      <c r="GD12" s="6" t="n"/>
      <c r="GE12" s="20">
        <f>IFERROR(ROUND(AVERAGE(FK12,FM12,FO12,FQ12,FS12,FU12,FW12,FY12,GA12,GC12), 2), "")</f>
        <v/>
      </c>
      <c r="GF12" s="6" t="n"/>
      <c r="GG12" s="6" t="n"/>
      <c r="GH12" s="6" t="n"/>
      <c r="GI12" s="6" t="n"/>
      <c r="GJ12" s="6" t="n"/>
      <c r="GK12" s="6" t="n"/>
      <c r="GL12" s="6" t="n"/>
      <c r="GM12" s="6" t="n"/>
      <c r="GN12" s="6" t="n"/>
      <c r="GO12" s="6" t="n"/>
      <c r="GP12" s="6" t="n"/>
      <c r="GQ12" s="6" t="n"/>
      <c r="GR12" s="6" t="n"/>
      <c r="GS12" s="6" t="n"/>
      <c r="GT12" s="6" t="n"/>
      <c r="GU12" s="6" t="n"/>
      <c r="GV12" s="6" t="n"/>
      <c r="GW12" s="6" t="n"/>
      <c r="GX12" s="6" t="n"/>
      <c r="GY12" s="6" t="n"/>
      <c r="GZ12" s="6" t="n"/>
      <c r="HA12" s="6" t="n"/>
      <c r="HB12" s="6" t="n"/>
      <c r="HC12" s="6" t="n"/>
      <c r="HD12" s="6" t="n"/>
      <c r="HE12" s="6" t="n"/>
      <c r="HF12" s="6" t="n"/>
      <c r="HG12" s="6" t="n"/>
      <c r="HH12" s="6" t="n"/>
      <c r="HI12" s="6" t="n"/>
      <c r="HJ12" s="6">
        <f>IF(COUNTA(GF12:HI12)=0, "", SUMPRODUCT(--ISNUMBER(SEARCH("m", GF12:HI12))))</f>
        <v/>
      </c>
      <c r="HK12" s="6">
        <f>IF(COUNTA(GF12:HI12)=0, "", COUNTA(GF12:HI12) - SUMPRODUCT(--ISNUMBER(SEARCH("m", GF12:HI12))))</f>
        <v/>
      </c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20">
        <f>IFERROR(ROUND(AVERAGE(HL12,HN12,HP12,HR12,HT12,HV12,HX12,HZ12,IB12,ID12), 2), "")</f>
        <v/>
      </c>
      <c r="IG12" s="6" t="n"/>
      <c r="IH12" s="6" t="n"/>
      <c r="II12" s="6" t="n"/>
      <c r="IJ12" s="6" t="n"/>
      <c r="IK12" s="6" t="n"/>
      <c r="IL12" s="6" t="n"/>
      <c r="IM12" s="6" t="n"/>
      <c r="IN12" s="6" t="n"/>
      <c r="IO12" s="6" t="n"/>
      <c r="IP12" s="6" t="n"/>
      <c r="IQ12" s="6" t="n"/>
      <c r="IR12" s="6" t="n"/>
      <c r="IS12" s="6" t="n"/>
      <c r="IT12" s="6" t="n"/>
      <c r="IU12" s="6" t="n"/>
      <c r="IV12" s="6" t="n"/>
      <c r="IW12" s="6" t="n"/>
      <c r="IX12" s="6" t="n"/>
      <c r="IY12" s="6" t="n"/>
      <c r="IZ12" s="6" t="n"/>
      <c r="JA12" s="6" t="n"/>
      <c r="JB12" s="6" t="n"/>
      <c r="JC12" s="6" t="n"/>
      <c r="JD12" s="6" t="n"/>
      <c r="JE12" s="6" t="n"/>
      <c r="JF12" s="6" t="n"/>
      <c r="JG12" s="6" t="n"/>
      <c r="JH12" s="6" t="n"/>
      <c r="JI12" s="6" t="n"/>
      <c r="JJ12" s="6" t="n"/>
      <c r="JK12" s="6">
        <f>IF(COUNTA(IG12:JJ12)=0, "", SUMPRODUCT(--ISNUMBER(SEARCH("m", IG12:JJ12))))</f>
        <v/>
      </c>
      <c r="JL12" s="6">
        <f>IF(COUNTA(IG12:JJ12)=0, "", COUNTA(IG12:JJ12) - SUMPRODUCT(--ISNUMBER(SEARCH("m", IG12:JJ12))))</f>
        <v/>
      </c>
      <c r="JM12" s="6" t="n"/>
      <c r="JN12" s="6" t="n"/>
      <c r="JO12" s="6" t="n"/>
      <c r="JP12" s="6" t="n"/>
      <c r="JQ12" s="6" t="n"/>
      <c r="JR12" s="6" t="n"/>
      <c r="JS12" s="6" t="n"/>
      <c r="JT12" s="6" t="n"/>
      <c r="JU12" s="6" t="n"/>
      <c r="JV12" s="6" t="n"/>
      <c r="JW12" s="6" t="n"/>
      <c r="JX12" s="6" t="n"/>
      <c r="JY12" s="6" t="n"/>
      <c r="JZ12" s="6" t="n"/>
      <c r="KA12" s="6" t="n"/>
      <c r="KB12" s="6" t="n"/>
      <c r="KC12" s="6" t="n"/>
      <c r="KD12" s="6" t="n"/>
      <c r="KE12" s="6" t="n"/>
      <c r="KF12" s="6" t="n"/>
      <c r="KG12" s="20">
        <f>IFERROR(ROUND(AVERAGE(JM12,JO12,JQ12,JS12,JU12,JW12,JY12,KA12,KC12,KE12), 2), "")</f>
        <v/>
      </c>
      <c r="KH12" s="6" t="n"/>
      <c r="KI12" s="6" t="n"/>
      <c r="KJ12" s="6" t="n"/>
      <c r="KK12" s="6" t="n"/>
      <c r="KL12" s="6" t="n"/>
      <c r="KM12" s="6" t="n"/>
      <c r="KN12" s="6" t="n"/>
      <c r="KO12" s="6" t="n"/>
      <c r="KP12" s="6" t="n"/>
      <c r="KQ12" s="6" t="n"/>
      <c r="KR12" s="6" t="n"/>
      <c r="KS12" s="6" t="n"/>
      <c r="KT12" s="6" t="n"/>
      <c r="KU12" s="6" t="n"/>
      <c r="KV12" s="6" t="n"/>
      <c r="KW12" s="6" t="n"/>
      <c r="KX12" s="6" t="n"/>
      <c r="KY12" s="6" t="n"/>
      <c r="KZ12" s="6" t="n"/>
      <c r="LA12" s="6" t="n"/>
      <c r="LB12" s="6" t="n"/>
      <c r="LC12" s="6" t="n"/>
      <c r="LD12" s="6" t="n"/>
      <c r="LE12" s="6" t="n"/>
      <c r="LF12" s="6" t="n"/>
      <c r="LG12" s="6" t="n"/>
      <c r="LH12" s="6" t="n"/>
      <c r="LI12" s="6" t="n"/>
      <c r="LJ12" s="6" t="n"/>
      <c r="LK12" s="6" t="n"/>
      <c r="LL12" s="6">
        <f>IF(COUNTA(KH12:LK12)=0, "", SUMPRODUCT(--ISNUMBER(SEARCH("m", KH12:LK12))))</f>
        <v/>
      </c>
      <c r="LM12" s="6">
        <f>IF(COUNTA(KH12:LK12)=0, "", COUNTA(KH12:LK12) - SUMPRODUCT(--ISNUMBER(SEARCH("m", KH12:LK12))))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8">
        <f>IFERROR(ROUND(AVERAGE(AB13,CC13,ED13,GE13,IF13,KG13), 2), "")</f>
        <v/>
      </c>
      <c r="F13" s="14">
        <f>IF(SUM(BH13,DI13,FJ13,HK13,JL13,LM13)=0, "", SUM(BH13,DI13,FJ13,HK13,JL13,LM13))</f>
        <v/>
      </c>
      <c r="G13" s="8">
        <f>IF(SUM(BG13,DH13,FI13,HJ13,JK13,LL13)=0, "", SUM(BG13,DH13,FI13,HJ13,JK13,LL13))</f>
        <v/>
      </c>
      <c r="H13" s="6" t="n"/>
      <c r="I13" s="79" t="n"/>
      <c r="J13" s="6" t="n"/>
      <c r="K13" s="79" t="n"/>
      <c r="L13" s="6" t="n"/>
      <c r="M13" s="79" t="n"/>
      <c r="N13" s="6" t="n"/>
      <c r="O13" s="79" t="n"/>
      <c r="P13" s="6" t="n"/>
      <c r="Q13" s="79" t="n"/>
      <c r="R13" s="18" t="n"/>
      <c r="S13" s="79" t="n"/>
      <c r="T13" s="79" t="n"/>
      <c r="U13" s="79" t="n"/>
      <c r="V13" s="79" t="n"/>
      <c r="W13" s="79" t="n"/>
      <c r="X13" s="79" t="n"/>
      <c r="Y13" s="79" t="n"/>
      <c r="Z13" s="79" t="n"/>
      <c r="AA13" s="18" t="n"/>
      <c r="AB13" s="14">
        <f>IFERROR(ROUND(AVERAGE(H13,J13,L13,N13,P13,R13,T13,V13,X13,Z13), 2), "")</f>
        <v/>
      </c>
      <c r="AC13" s="6" t="n"/>
      <c r="AD13" s="79" t="n"/>
      <c r="AE13" s="6" t="n"/>
      <c r="AF13" s="79" t="n"/>
      <c r="AG13" s="6" t="n"/>
      <c r="AH13" s="79" t="n"/>
      <c r="AI13" s="6" t="n"/>
      <c r="AJ13" s="79" t="n"/>
      <c r="AK13" s="6" t="n"/>
      <c r="AL13" s="79" t="n"/>
      <c r="AM13" s="18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18" t="n"/>
      <c r="AW13" s="19" t="n"/>
      <c r="AX13" s="6" t="n"/>
      <c r="AY13" s="79" t="n"/>
      <c r="AZ13" s="6" t="n"/>
      <c r="BA13" s="79" t="n"/>
      <c r="BB13" s="6" t="n"/>
      <c r="BC13" s="79" t="n"/>
      <c r="BD13" s="6" t="n"/>
      <c r="BE13" s="79" t="n"/>
      <c r="BF13" s="6" t="n"/>
      <c r="BG13" s="79">
        <f>IF(COUNTA(AC13:BF13)=0, "", SUMPRODUCT(--ISNUMBER(SEARCH("m", AC13:BF13))))</f>
        <v/>
      </c>
      <c r="BH13" s="18">
        <f>IF(COUNTA(AC13:BF13)=0, "", COUNTA(AC13:BF13) - SUMPRODUCT(--ISNUMBER(SEARCH("m", AC13:BF13))))</f>
        <v/>
      </c>
      <c r="BI13" s="79" t="n"/>
      <c r="BJ13" s="79" t="n"/>
      <c r="BK13" s="79" t="n"/>
      <c r="BL13" s="79" t="n"/>
      <c r="BM13" s="79" t="n"/>
      <c r="BN13" s="79" t="n"/>
      <c r="BO13" s="79" t="n"/>
      <c r="BP13" s="79" t="n"/>
      <c r="BQ13" s="18" t="n"/>
      <c r="BR13" s="19" t="n"/>
      <c r="BS13" s="6" t="n"/>
      <c r="BT13" s="79" t="n"/>
      <c r="BU13" s="6" t="n"/>
      <c r="BV13" s="79" t="n"/>
      <c r="BW13" s="6" t="n"/>
      <c r="BX13" s="79" t="n"/>
      <c r="BY13" s="6" t="n"/>
      <c r="BZ13" s="79" t="n"/>
      <c r="CA13" s="6" t="n"/>
      <c r="CB13" s="79" t="n"/>
      <c r="CC13" s="8">
        <f>IFERROR(ROUND(AVERAGE(BI13,BK13,BM13,BO13,BQ13,BS13,BU13,BW13,BY13,CA13), 2), "")</f>
        <v/>
      </c>
      <c r="CD13" s="79" t="n"/>
      <c r="CE13" s="79" t="n"/>
      <c r="CF13" s="79" t="n"/>
      <c r="CG13" s="79" t="n"/>
      <c r="CH13" s="79" t="n"/>
      <c r="CI13" s="79" t="n"/>
      <c r="CJ13" s="79" t="n"/>
      <c r="CK13" s="79" t="n"/>
      <c r="CL13" s="18" t="n"/>
      <c r="CM13" s="19" t="n"/>
      <c r="CN13" s="6" t="n"/>
      <c r="CO13" s="79" t="n"/>
      <c r="CP13" s="6" t="n"/>
      <c r="CQ13" s="79" t="n"/>
      <c r="CR13" s="6" t="n"/>
      <c r="CS13" s="79" t="n"/>
      <c r="CT13" s="6" t="n"/>
      <c r="CU13" s="79" t="n"/>
      <c r="CV13" s="6" t="n"/>
      <c r="CW13" s="79" t="n"/>
      <c r="CX13" s="18" t="n"/>
      <c r="CY13" s="79" t="n"/>
      <c r="CZ13" s="79" t="n"/>
      <c r="DA13" s="79" t="n"/>
      <c r="DB13" s="79" t="n"/>
      <c r="DC13" s="79" t="n"/>
      <c r="DD13" s="79" t="n"/>
      <c r="DE13" s="79" t="n"/>
      <c r="DF13" s="79" t="n"/>
      <c r="DG13" s="18" t="n"/>
      <c r="DH13" s="19">
        <f>IF(COUNTA(CD13:DG13)=0, "", SUMPRODUCT(--ISNUMBER(SEARCH("m", CD13:DG13))))</f>
        <v/>
      </c>
      <c r="DI13" s="6">
        <f>IF(COUNTA(CD13:DG13)=0, "", COUNTA(CD13:DG13) - SUMPRODUCT(--ISNUMBER(SEARCH("m", CD13:DG13))))</f>
        <v/>
      </c>
      <c r="DJ13" s="79" t="n"/>
      <c r="DK13" s="6" t="n"/>
      <c r="DL13" s="79" t="n"/>
      <c r="DM13" s="6" t="n"/>
      <c r="DN13" s="79" t="n"/>
      <c r="DO13" s="6" t="n"/>
      <c r="DP13" s="79" t="n"/>
      <c r="DQ13" s="6" t="n"/>
      <c r="DR13" s="79" t="n"/>
      <c r="DS13" s="18" t="n"/>
      <c r="DT13" s="79" t="n"/>
      <c r="DU13" s="79" t="n"/>
      <c r="DV13" s="79" t="n"/>
      <c r="DW13" s="79" t="n"/>
      <c r="DX13" s="79" t="n"/>
      <c r="DY13" s="79" t="n"/>
      <c r="DZ13" s="79" t="n"/>
      <c r="EA13" s="79" t="n"/>
      <c r="EB13" s="18" t="n"/>
      <c r="EC13" s="19" t="n"/>
      <c r="ED13" s="20">
        <f>IFERROR(ROUND(AVERAGE(DJ13,DL13,DN13,DP13,DR13,DT13,DV13,DX13,DZ13,EB13), 2), "")</f>
        <v/>
      </c>
      <c r="EE13" s="6" t="n"/>
      <c r="EF13" s="6" t="n"/>
      <c r="EG13" s="6" t="n"/>
      <c r="EH13" s="6" t="n"/>
      <c r="EI13" s="6" t="n"/>
      <c r="EJ13" s="6" t="n"/>
      <c r="EK13" s="6" t="n"/>
      <c r="EL13" s="6" t="n"/>
      <c r="EM13" s="6" t="n"/>
      <c r="EN13" s="6" t="n"/>
      <c r="EO13" s="6" t="n"/>
      <c r="EP13" s="6" t="n"/>
      <c r="EQ13" s="6" t="n"/>
      <c r="ER13" s="6" t="n"/>
      <c r="ES13" s="6" t="n"/>
      <c r="ET13" s="6" t="n"/>
      <c r="EU13" s="6" t="n"/>
      <c r="EV13" s="6" t="n"/>
      <c r="EW13" s="6" t="n"/>
      <c r="EX13" s="6" t="n"/>
      <c r="EY13" s="6" t="n"/>
      <c r="EZ13" s="6" t="n"/>
      <c r="FA13" s="6" t="n"/>
      <c r="FB13" s="6" t="n"/>
      <c r="FC13" s="6" t="n"/>
      <c r="FD13" s="6" t="n"/>
      <c r="FE13" s="6" t="n"/>
      <c r="FF13" s="6" t="n"/>
      <c r="FG13" s="6" t="n"/>
      <c r="FH13" s="6" t="n"/>
      <c r="FI13" s="6">
        <f>IF(COUNTA(EE13:FH13)=0, "", SUMPRODUCT(--ISNUMBER(SEARCH("m", EE13:FH13))))</f>
        <v/>
      </c>
      <c r="FJ13" s="6">
        <f>IF(COUNTA(EE13:FH13)=0, "", COUNTA(EE13:FH13) - SUMPRODUCT(--ISNUMBER(SEARCH("m", EE13:FH13))))</f>
        <v/>
      </c>
      <c r="FK13" s="6" t="n"/>
      <c r="FL13" s="6" t="n"/>
      <c r="FM13" s="6" t="n"/>
      <c r="FN13" s="6" t="n"/>
      <c r="FO13" s="6" t="n"/>
      <c r="FP13" s="6" t="n"/>
      <c r="FQ13" s="6" t="n"/>
      <c r="FR13" s="6" t="n"/>
      <c r="FS13" s="6" t="n"/>
      <c r="FT13" s="6" t="n"/>
      <c r="FU13" s="6" t="n"/>
      <c r="FV13" s="6" t="n"/>
      <c r="FW13" s="6" t="n"/>
      <c r="FX13" s="6" t="n"/>
      <c r="FY13" s="6" t="n"/>
      <c r="FZ13" s="6" t="n"/>
      <c r="GA13" s="6" t="n"/>
      <c r="GB13" s="6" t="n"/>
      <c r="GC13" s="6" t="n"/>
      <c r="GD13" s="6" t="n"/>
      <c r="GE13" s="20">
        <f>IFERROR(ROUND(AVERAGE(FK13,FM13,FO13,FQ13,FS13,FU13,FW13,FY13,GA13,GC13), 2), "")</f>
        <v/>
      </c>
      <c r="GF13" s="6" t="n"/>
      <c r="GG13" s="6" t="n"/>
      <c r="GH13" s="6" t="n"/>
      <c r="GI13" s="6" t="n"/>
      <c r="GJ13" s="6" t="n"/>
      <c r="GK13" s="6" t="n"/>
      <c r="GL13" s="6" t="n"/>
      <c r="GM13" s="6" t="n"/>
      <c r="GN13" s="6" t="n"/>
      <c r="GO13" s="6" t="n"/>
      <c r="GP13" s="6" t="n"/>
      <c r="GQ13" s="6" t="n"/>
      <c r="GR13" s="6" t="n"/>
      <c r="GS13" s="6" t="n"/>
      <c r="GT13" s="6" t="n"/>
      <c r="GU13" s="6" t="n"/>
      <c r="GV13" s="6" t="n"/>
      <c r="GW13" s="6" t="n"/>
      <c r="GX13" s="6" t="n"/>
      <c r="GY13" s="6" t="n"/>
      <c r="GZ13" s="6" t="n"/>
      <c r="HA13" s="6" t="n"/>
      <c r="HB13" s="6" t="n"/>
      <c r="HC13" s="6" t="n"/>
      <c r="HD13" s="6" t="n"/>
      <c r="HE13" s="6" t="n"/>
      <c r="HF13" s="6" t="n"/>
      <c r="HG13" s="6" t="n"/>
      <c r="HH13" s="6" t="n"/>
      <c r="HI13" s="6" t="n"/>
      <c r="HJ13" s="6">
        <f>IF(COUNTA(GF13:HI13)=0, "", SUMPRODUCT(--ISNUMBER(SEARCH("m", GF13:HI13))))</f>
        <v/>
      </c>
      <c r="HK13" s="6">
        <f>IF(COUNTA(GF13:HI13)=0, "", COUNTA(GF13:HI13) - SUMPRODUCT(--ISNUMBER(SEARCH("m", GF13:HI13))))</f>
        <v/>
      </c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20">
        <f>IFERROR(ROUND(AVERAGE(HL13,HN13,HP13,HR13,HT13,HV13,HX13,HZ13,IB13,ID13), 2), "")</f>
        <v/>
      </c>
      <c r="IG13" s="6" t="n"/>
      <c r="IH13" s="6" t="n"/>
      <c r="II13" s="6" t="n"/>
      <c r="IJ13" s="6" t="n"/>
      <c r="IK13" s="6" t="n"/>
      <c r="IL13" s="6" t="n"/>
      <c r="IM13" s="6" t="n"/>
      <c r="IN13" s="6" t="n"/>
      <c r="IO13" s="6" t="n"/>
      <c r="IP13" s="6" t="n"/>
      <c r="IQ13" s="6" t="n"/>
      <c r="IR13" s="6" t="n"/>
      <c r="IS13" s="6" t="n"/>
      <c r="IT13" s="6" t="n"/>
      <c r="IU13" s="6" t="n"/>
      <c r="IV13" s="6" t="n"/>
      <c r="IW13" s="6" t="n"/>
      <c r="IX13" s="6" t="n"/>
      <c r="IY13" s="6" t="n"/>
      <c r="IZ13" s="6" t="n"/>
      <c r="JA13" s="6" t="n"/>
      <c r="JB13" s="6" t="n"/>
      <c r="JC13" s="6" t="n"/>
      <c r="JD13" s="6" t="n"/>
      <c r="JE13" s="6" t="n"/>
      <c r="JF13" s="6" t="n"/>
      <c r="JG13" s="6" t="n"/>
      <c r="JH13" s="6" t="n"/>
      <c r="JI13" s="6" t="n"/>
      <c r="JJ13" s="6" t="n"/>
      <c r="JK13" s="6">
        <f>IF(COUNTA(IG13:JJ13)=0, "", SUMPRODUCT(--ISNUMBER(SEARCH("m", IG13:JJ13))))</f>
        <v/>
      </c>
      <c r="JL13" s="6">
        <f>IF(COUNTA(IG13:JJ13)=0, "", COUNTA(IG13:JJ13) - SUMPRODUCT(--ISNUMBER(SEARCH("m", IG13:JJ13))))</f>
        <v/>
      </c>
      <c r="JM13" s="6" t="n"/>
      <c r="JN13" s="6" t="n"/>
      <c r="JO13" s="6" t="n"/>
      <c r="JP13" s="6" t="n"/>
      <c r="JQ13" s="6" t="n"/>
      <c r="JR13" s="6" t="n"/>
      <c r="JS13" s="6" t="n"/>
      <c r="JT13" s="6" t="n"/>
      <c r="JU13" s="6" t="n"/>
      <c r="JV13" s="6" t="n"/>
      <c r="JW13" s="6" t="n"/>
      <c r="JX13" s="6" t="n"/>
      <c r="JY13" s="6" t="n"/>
      <c r="JZ13" s="6" t="n"/>
      <c r="KA13" s="6" t="n"/>
      <c r="KB13" s="6" t="n"/>
      <c r="KC13" s="6" t="n"/>
      <c r="KD13" s="6" t="n"/>
      <c r="KE13" s="6" t="n"/>
      <c r="KF13" s="6" t="n"/>
      <c r="KG13" s="20">
        <f>IFERROR(ROUND(AVERAGE(JM13,JO13,JQ13,JS13,JU13,JW13,JY13,KA13,KC13,KE13), 2), "")</f>
        <v/>
      </c>
      <c r="KH13" s="6" t="n"/>
      <c r="KI13" s="6" t="n"/>
      <c r="KJ13" s="6" t="n"/>
      <c r="KK13" s="6" t="n"/>
      <c r="KL13" s="6" t="n"/>
      <c r="KM13" s="6" t="n"/>
      <c r="KN13" s="6" t="n"/>
      <c r="KO13" s="6" t="n"/>
      <c r="KP13" s="6" t="n"/>
      <c r="KQ13" s="6" t="n"/>
      <c r="KR13" s="6" t="n"/>
      <c r="KS13" s="6" t="n"/>
      <c r="KT13" s="6" t="n"/>
      <c r="KU13" s="6" t="n"/>
      <c r="KV13" s="6" t="n"/>
      <c r="KW13" s="6" t="n"/>
      <c r="KX13" s="6" t="n"/>
      <c r="KY13" s="6" t="n"/>
      <c r="KZ13" s="6" t="n"/>
      <c r="LA13" s="6" t="n"/>
      <c r="LB13" s="6" t="n"/>
      <c r="LC13" s="6" t="n"/>
      <c r="LD13" s="6" t="n"/>
      <c r="LE13" s="6" t="n"/>
      <c r="LF13" s="6" t="n"/>
      <c r="LG13" s="6" t="n"/>
      <c r="LH13" s="6" t="n"/>
      <c r="LI13" s="6" t="n"/>
      <c r="LJ13" s="6" t="n"/>
      <c r="LK13" s="6" t="n"/>
      <c r="LL13" s="6">
        <f>IF(COUNTA(KH13:LK13)=0, "", SUMPRODUCT(--ISNUMBER(SEARCH("m", KH13:LK13))))</f>
        <v/>
      </c>
      <c r="LM13" s="6">
        <f>IF(COUNTA(KH13:LK13)=0, "", COUNTA(KH13:LK13) - SUMPRODUCT(--ISNUMBER(SEARCH("m", KH13:LK13))))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8">
        <f>IFERROR(ROUND(AVERAGE(AB14,CC14,ED14,GE14,IF14,KG14), 2), "")</f>
        <v/>
      </c>
      <c r="F14" s="14">
        <f>IF(SUM(BH14,DI14,FJ14,HK14,JL14,LM14)=0, "", SUM(BH14,DI14,FJ14,HK14,JL14,LM14))</f>
        <v/>
      </c>
      <c r="G14" s="8">
        <f>IF(SUM(BG14,DH14,FI14,HJ14,JK14,LL14)=0, "", SUM(BG14,DH14,FI14,HJ14,JK14,LL14))</f>
        <v/>
      </c>
      <c r="H14" s="6" t="n"/>
      <c r="I14" s="79" t="n"/>
      <c r="J14" s="6" t="n"/>
      <c r="K14" s="79" t="n"/>
      <c r="L14" s="6" t="n"/>
      <c r="M14" s="79" t="n"/>
      <c r="N14" s="6" t="n"/>
      <c r="O14" s="79" t="n"/>
      <c r="P14" s="6" t="n"/>
      <c r="Q14" s="79" t="n"/>
      <c r="R14" s="18" t="n"/>
      <c r="S14" s="79" t="n"/>
      <c r="T14" s="79" t="n"/>
      <c r="U14" s="79" t="n"/>
      <c r="V14" s="79" t="n"/>
      <c r="W14" s="79" t="n"/>
      <c r="X14" s="79" t="n"/>
      <c r="Y14" s="79" t="n"/>
      <c r="Z14" s="79" t="n"/>
      <c r="AA14" s="18" t="n"/>
      <c r="AB14" s="14">
        <f>IFERROR(ROUND(AVERAGE(H14,J14,L14,N14,P14,R14,T14,V14,X14,Z14), 2), "")</f>
        <v/>
      </c>
      <c r="AC14" s="6" t="n"/>
      <c r="AD14" s="79" t="n"/>
      <c r="AE14" s="6" t="n"/>
      <c r="AF14" s="79" t="n"/>
      <c r="AG14" s="6" t="n"/>
      <c r="AH14" s="79" t="n"/>
      <c r="AI14" s="6" t="n"/>
      <c r="AJ14" s="79" t="n"/>
      <c r="AK14" s="6" t="n"/>
      <c r="AL14" s="79" t="n"/>
      <c r="AM14" s="18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18" t="n"/>
      <c r="AW14" s="19" t="n"/>
      <c r="AX14" s="6" t="n"/>
      <c r="AY14" s="79" t="n"/>
      <c r="AZ14" s="6" t="n"/>
      <c r="BA14" s="79" t="n"/>
      <c r="BB14" s="6" t="n"/>
      <c r="BC14" s="79" t="n"/>
      <c r="BD14" s="6" t="n"/>
      <c r="BE14" s="79" t="n"/>
      <c r="BF14" s="6" t="n"/>
      <c r="BG14" s="79">
        <f>IF(COUNTA(AC14:BF14)=0, "", SUMPRODUCT(--ISNUMBER(SEARCH("m", AC14:BF14))))</f>
        <v/>
      </c>
      <c r="BH14" s="18">
        <f>IF(COUNTA(AC14:BF14)=0, "", COUNTA(AC14:BF14) - SUMPRODUCT(--ISNUMBER(SEARCH("m", AC14:BF14))))</f>
        <v/>
      </c>
      <c r="BI14" s="79" t="n"/>
      <c r="BJ14" s="79" t="n"/>
      <c r="BK14" s="79" t="n"/>
      <c r="BL14" s="79" t="n"/>
      <c r="BM14" s="79" t="n"/>
      <c r="BN14" s="79" t="n"/>
      <c r="BO14" s="79" t="n"/>
      <c r="BP14" s="79" t="n"/>
      <c r="BQ14" s="18" t="n"/>
      <c r="BR14" s="19" t="n"/>
      <c r="BS14" s="6" t="n"/>
      <c r="BT14" s="79" t="n"/>
      <c r="BU14" s="6" t="n"/>
      <c r="BV14" s="79" t="n"/>
      <c r="BW14" s="6" t="n"/>
      <c r="BX14" s="79" t="n"/>
      <c r="BY14" s="6" t="n"/>
      <c r="BZ14" s="79" t="n"/>
      <c r="CA14" s="6" t="n"/>
      <c r="CB14" s="79" t="n"/>
      <c r="CC14" s="8">
        <f>IFERROR(ROUND(AVERAGE(BI14,BK14,BM14,BO14,BQ14,BS14,BU14,BW14,BY14,CA14), 2), "")</f>
        <v/>
      </c>
      <c r="CD14" s="79" t="n"/>
      <c r="CE14" s="79" t="n"/>
      <c r="CF14" s="79" t="n"/>
      <c r="CG14" s="79" t="n"/>
      <c r="CH14" s="79" t="n"/>
      <c r="CI14" s="79" t="n"/>
      <c r="CJ14" s="79" t="n"/>
      <c r="CK14" s="79" t="n"/>
      <c r="CL14" s="18" t="n"/>
      <c r="CM14" s="19" t="n"/>
      <c r="CN14" s="6" t="n"/>
      <c r="CO14" s="79" t="n"/>
      <c r="CP14" s="6" t="n"/>
      <c r="CQ14" s="79" t="n"/>
      <c r="CR14" s="6" t="n"/>
      <c r="CS14" s="79" t="n"/>
      <c r="CT14" s="6" t="n"/>
      <c r="CU14" s="79" t="n"/>
      <c r="CV14" s="6" t="n"/>
      <c r="CW14" s="79" t="n"/>
      <c r="CX14" s="18" t="n"/>
      <c r="CY14" s="79" t="n"/>
      <c r="CZ14" s="79" t="n"/>
      <c r="DA14" s="79" t="n"/>
      <c r="DB14" s="79" t="n"/>
      <c r="DC14" s="79" t="n"/>
      <c r="DD14" s="79" t="n"/>
      <c r="DE14" s="79" t="n"/>
      <c r="DF14" s="79" t="n"/>
      <c r="DG14" s="18" t="n"/>
      <c r="DH14" s="19">
        <f>IF(COUNTA(CD14:DG14)=0, "", SUMPRODUCT(--ISNUMBER(SEARCH("m", CD14:DG14))))</f>
        <v/>
      </c>
      <c r="DI14" s="6">
        <f>IF(COUNTA(CD14:DG14)=0, "", COUNTA(CD14:DG14) - SUMPRODUCT(--ISNUMBER(SEARCH("m", CD14:DG14))))</f>
        <v/>
      </c>
      <c r="DJ14" s="79" t="n"/>
      <c r="DK14" s="6" t="n"/>
      <c r="DL14" s="79" t="n"/>
      <c r="DM14" s="6" t="n"/>
      <c r="DN14" s="79" t="n"/>
      <c r="DO14" s="6" t="n"/>
      <c r="DP14" s="79" t="n"/>
      <c r="DQ14" s="6" t="n"/>
      <c r="DR14" s="79" t="n"/>
      <c r="DS14" s="18" t="n"/>
      <c r="DT14" s="79" t="n"/>
      <c r="DU14" s="79" t="n"/>
      <c r="DV14" s="79" t="n"/>
      <c r="DW14" s="79" t="n"/>
      <c r="DX14" s="79" t="n"/>
      <c r="DY14" s="79" t="n"/>
      <c r="DZ14" s="79" t="n"/>
      <c r="EA14" s="79" t="n"/>
      <c r="EB14" s="18" t="n"/>
      <c r="EC14" s="19" t="n"/>
      <c r="ED14" s="20">
        <f>IFERROR(ROUND(AVERAGE(DJ14,DL14,DN14,DP14,DR14,DT14,DV14,DX14,DZ14,EB14), 2), "")</f>
        <v/>
      </c>
      <c r="EE14" s="6" t="n"/>
      <c r="EF14" s="6" t="n"/>
      <c r="EG14" s="6" t="n"/>
      <c r="EH14" s="6" t="n"/>
      <c r="EI14" s="6" t="n"/>
      <c r="EJ14" s="6" t="n"/>
      <c r="EK14" s="6" t="n"/>
      <c r="EL14" s="6" t="n"/>
      <c r="EM14" s="6" t="n"/>
      <c r="EN14" s="6" t="n"/>
      <c r="EO14" s="6" t="n"/>
      <c r="EP14" s="6" t="n"/>
      <c r="EQ14" s="6" t="n"/>
      <c r="ER14" s="6" t="n"/>
      <c r="ES14" s="6" t="n"/>
      <c r="ET14" s="6" t="n"/>
      <c r="EU14" s="6" t="n"/>
      <c r="EV14" s="6" t="n"/>
      <c r="EW14" s="6" t="n"/>
      <c r="EX14" s="6" t="n"/>
      <c r="EY14" s="6" t="n"/>
      <c r="EZ14" s="6" t="n"/>
      <c r="FA14" s="6" t="n"/>
      <c r="FB14" s="6" t="n"/>
      <c r="FC14" s="6" t="n"/>
      <c r="FD14" s="6" t="n"/>
      <c r="FE14" s="6" t="n"/>
      <c r="FF14" s="6" t="n"/>
      <c r="FG14" s="6" t="n"/>
      <c r="FH14" s="6" t="n"/>
      <c r="FI14" s="6">
        <f>IF(COUNTA(EE14:FH14)=0, "", SUMPRODUCT(--ISNUMBER(SEARCH("m", EE14:FH14))))</f>
        <v/>
      </c>
      <c r="FJ14" s="6">
        <f>IF(COUNTA(EE14:FH14)=0, "", COUNTA(EE14:FH14) - SUMPRODUCT(--ISNUMBER(SEARCH("m", EE14:FH14))))</f>
        <v/>
      </c>
      <c r="FK14" s="6" t="n"/>
      <c r="FL14" s="6" t="n"/>
      <c r="FM14" s="6" t="n"/>
      <c r="FN14" s="6" t="n"/>
      <c r="FO14" s="6" t="n"/>
      <c r="FP14" s="6" t="n"/>
      <c r="FQ14" s="6" t="n"/>
      <c r="FR14" s="6" t="n"/>
      <c r="FS14" s="6" t="n"/>
      <c r="FT14" s="6" t="n"/>
      <c r="FU14" s="6" t="n"/>
      <c r="FV14" s="6" t="n"/>
      <c r="FW14" s="6" t="n"/>
      <c r="FX14" s="6" t="n"/>
      <c r="FY14" s="6" t="n"/>
      <c r="FZ14" s="6" t="n"/>
      <c r="GA14" s="6" t="n"/>
      <c r="GB14" s="6" t="n"/>
      <c r="GC14" s="6" t="n"/>
      <c r="GD14" s="6" t="n"/>
      <c r="GE14" s="20">
        <f>IFERROR(ROUND(AVERAGE(FK14,FM14,FO14,FQ14,FS14,FU14,FW14,FY14,GA14,GC14), 2), "")</f>
        <v/>
      </c>
      <c r="GF14" s="6" t="n"/>
      <c r="GG14" s="6" t="n"/>
      <c r="GH14" s="6" t="n"/>
      <c r="GI14" s="6" t="n"/>
      <c r="GJ14" s="6" t="n"/>
      <c r="GK14" s="6" t="n"/>
      <c r="GL14" s="6" t="n"/>
      <c r="GM14" s="6" t="n"/>
      <c r="GN14" s="6" t="n"/>
      <c r="GO14" s="6" t="n"/>
      <c r="GP14" s="6" t="n"/>
      <c r="GQ14" s="6" t="n"/>
      <c r="GR14" s="6" t="n"/>
      <c r="GS14" s="6" t="n"/>
      <c r="GT14" s="6" t="n"/>
      <c r="GU14" s="6" t="n"/>
      <c r="GV14" s="6" t="n"/>
      <c r="GW14" s="6" t="n"/>
      <c r="GX14" s="6" t="n"/>
      <c r="GY14" s="6" t="n"/>
      <c r="GZ14" s="6" t="n"/>
      <c r="HA14" s="6" t="n"/>
      <c r="HB14" s="6" t="n"/>
      <c r="HC14" s="6" t="n"/>
      <c r="HD14" s="6" t="n"/>
      <c r="HE14" s="6" t="n"/>
      <c r="HF14" s="6" t="n"/>
      <c r="HG14" s="6" t="n"/>
      <c r="HH14" s="6" t="n"/>
      <c r="HI14" s="6" t="n"/>
      <c r="HJ14" s="6">
        <f>IF(COUNTA(GF14:HI14)=0, "", SUMPRODUCT(--ISNUMBER(SEARCH("m", GF14:HI14))))</f>
        <v/>
      </c>
      <c r="HK14" s="6">
        <f>IF(COUNTA(GF14:HI14)=0, "", COUNTA(GF14:HI14) - SUMPRODUCT(--ISNUMBER(SEARCH("m", GF14:HI14))))</f>
        <v/>
      </c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20">
        <f>IFERROR(ROUND(AVERAGE(HL14,HN14,HP14,HR14,HT14,HV14,HX14,HZ14,IB14,ID14), 2), "")</f>
        <v/>
      </c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  <c r="IR14" s="6" t="n"/>
      <c r="IS14" s="6" t="n"/>
      <c r="IT14" s="6" t="n"/>
      <c r="IU14" s="6" t="n"/>
      <c r="IV14" s="6" t="n"/>
      <c r="IW14" s="6" t="n"/>
      <c r="IX14" s="6" t="n"/>
      <c r="IY14" s="6" t="n"/>
      <c r="IZ14" s="6" t="n"/>
      <c r="JA14" s="6" t="n"/>
      <c r="JB14" s="6" t="n"/>
      <c r="JC14" s="6" t="n"/>
      <c r="JD14" s="6" t="n"/>
      <c r="JE14" s="6" t="n"/>
      <c r="JF14" s="6" t="n"/>
      <c r="JG14" s="6" t="n"/>
      <c r="JH14" s="6" t="n"/>
      <c r="JI14" s="6" t="n"/>
      <c r="JJ14" s="6" t="n"/>
      <c r="JK14" s="6">
        <f>IF(COUNTA(IG14:JJ14)=0, "", SUMPRODUCT(--ISNUMBER(SEARCH("m", IG14:JJ14))))</f>
        <v/>
      </c>
      <c r="JL14" s="6">
        <f>IF(COUNTA(IG14:JJ14)=0, "", COUNTA(IG14:JJ14) - SUMPRODUCT(--ISNUMBER(SEARCH("m", IG14:JJ14))))</f>
        <v/>
      </c>
      <c r="JM14" s="6" t="n"/>
      <c r="JN14" s="6" t="n"/>
      <c r="JO14" s="6" t="n"/>
      <c r="JP14" s="6" t="n"/>
      <c r="JQ14" s="6" t="n"/>
      <c r="JR14" s="6" t="n"/>
      <c r="JS14" s="6" t="n"/>
      <c r="JT14" s="6" t="n"/>
      <c r="JU14" s="6" t="n"/>
      <c r="JV14" s="6" t="n"/>
      <c r="JW14" s="6" t="n"/>
      <c r="JX14" s="6" t="n"/>
      <c r="JY14" s="6" t="n"/>
      <c r="JZ14" s="6" t="n"/>
      <c r="KA14" s="6" t="n"/>
      <c r="KB14" s="6" t="n"/>
      <c r="KC14" s="6" t="n"/>
      <c r="KD14" s="6" t="n"/>
      <c r="KE14" s="6" t="n"/>
      <c r="KF14" s="6" t="n"/>
      <c r="KG14" s="20">
        <f>IFERROR(ROUND(AVERAGE(JM14,JO14,JQ14,JS14,JU14,JW14,JY14,KA14,KC14,KE14), 2), "")</f>
        <v/>
      </c>
      <c r="KH14" s="6" t="n"/>
      <c r="KI14" s="6" t="n"/>
      <c r="KJ14" s="6" t="n"/>
      <c r="KK14" s="6" t="n"/>
      <c r="KL14" s="6" t="n"/>
      <c r="KM14" s="6" t="n"/>
      <c r="KN14" s="6" t="n"/>
      <c r="KO14" s="6" t="n"/>
      <c r="KP14" s="6" t="n"/>
      <c r="KQ14" s="6" t="n"/>
      <c r="KR14" s="6" t="n"/>
      <c r="KS14" s="6" t="n"/>
      <c r="KT14" s="6" t="n"/>
      <c r="KU14" s="6" t="n"/>
      <c r="KV14" s="6" t="n"/>
      <c r="KW14" s="6" t="n"/>
      <c r="KX14" s="6" t="n"/>
      <c r="KY14" s="6" t="n"/>
      <c r="KZ14" s="6" t="n"/>
      <c r="LA14" s="6" t="n"/>
      <c r="LB14" s="6" t="n"/>
      <c r="LC14" s="6" t="n"/>
      <c r="LD14" s="6" t="n"/>
      <c r="LE14" s="6" t="n"/>
      <c r="LF14" s="6" t="n"/>
      <c r="LG14" s="6" t="n"/>
      <c r="LH14" s="6" t="n"/>
      <c r="LI14" s="6" t="n"/>
      <c r="LJ14" s="6" t="n"/>
      <c r="LK14" s="6" t="n"/>
      <c r="LL14" s="6">
        <f>IF(COUNTA(KH14:LK14)=0, "", SUMPRODUCT(--ISNUMBER(SEARCH("m", KH14:LK14))))</f>
        <v/>
      </c>
      <c r="LM14" s="6">
        <f>IF(COUNTA(KH14:LK14)=0, "", COUNTA(KH14:LK14) - SUMPRODUCT(--ISNUMBER(SEARCH("m", KH14:LK14))))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8">
        <f>IFERROR(ROUND(AVERAGE(AB15,CC15,ED15,GE15,IF15,KG15), 2), "")</f>
        <v/>
      </c>
      <c r="F15" s="14">
        <f>IF(SUM(BH15,DI15,FJ15,HK15,JL15,LM15)=0, "", SUM(BH15,DI15,FJ15,HK15,JL15,LM15))</f>
        <v/>
      </c>
      <c r="G15" s="8">
        <f>IF(SUM(BG15,DH15,FI15,HJ15,JK15,LL15)=0, "", SUM(BG15,DH15,FI15,HJ15,JK15,LL15))</f>
        <v/>
      </c>
      <c r="H15" s="6" t="n"/>
      <c r="I15" s="79" t="n"/>
      <c r="J15" s="6" t="n"/>
      <c r="K15" s="79" t="n"/>
      <c r="L15" s="6" t="n"/>
      <c r="M15" s="79" t="n"/>
      <c r="N15" s="6" t="n"/>
      <c r="O15" s="79" t="n"/>
      <c r="P15" s="6" t="n"/>
      <c r="Q15" s="79" t="n"/>
      <c r="R15" s="18" t="n"/>
      <c r="S15" s="79" t="n"/>
      <c r="T15" s="79" t="n"/>
      <c r="U15" s="79" t="n"/>
      <c r="V15" s="79" t="n"/>
      <c r="W15" s="79" t="n"/>
      <c r="X15" s="79" t="n"/>
      <c r="Y15" s="79" t="n"/>
      <c r="Z15" s="79" t="n"/>
      <c r="AA15" s="18" t="n"/>
      <c r="AB15" s="14">
        <f>IFERROR(ROUND(AVERAGE(H15,J15,L15,N15,P15,R15,T15,V15,X15,Z15), 2), "")</f>
        <v/>
      </c>
      <c r="AC15" s="6" t="n"/>
      <c r="AD15" s="79" t="n"/>
      <c r="AE15" s="6" t="n"/>
      <c r="AF15" s="79" t="n"/>
      <c r="AG15" s="6" t="n"/>
      <c r="AH15" s="79" t="n"/>
      <c r="AI15" s="6" t="n"/>
      <c r="AJ15" s="79" t="n"/>
      <c r="AK15" s="6" t="n"/>
      <c r="AL15" s="79" t="n"/>
      <c r="AM15" s="18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18" t="n"/>
      <c r="AW15" s="19" t="n"/>
      <c r="AX15" s="6" t="n"/>
      <c r="AY15" s="79" t="n"/>
      <c r="AZ15" s="6" t="n"/>
      <c r="BA15" s="79" t="n"/>
      <c r="BB15" s="6" t="n"/>
      <c r="BC15" s="79" t="n"/>
      <c r="BD15" s="6" t="n"/>
      <c r="BE15" s="79" t="n"/>
      <c r="BF15" s="6" t="n"/>
      <c r="BG15" s="79">
        <f>IF(COUNTA(AC15:BF15)=0, "", SUMPRODUCT(--ISNUMBER(SEARCH("m", AC15:BF15))))</f>
        <v/>
      </c>
      <c r="BH15" s="18">
        <f>IF(COUNTA(AC15:BF15)=0, "", COUNTA(AC15:BF15) - SUMPRODUCT(--ISNUMBER(SEARCH("m", AC15:BF15))))</f>
        <v/>
      </c>
      <c r="BI15" s="79" t="n"/>
      <c r="BJ15" s="79" t="n"/>
      <c r="BK15" s="79" t="n"/>
      <c r="BL15" s="79" t="n"/>
      <c r="BM15" s="79" t="n"/>
      <c r="BN15" s="79" t="n"/>
      <c r="BO15" s="79" t="n"/>
      <c r="BP15" s="79" t="n"/>
      <c r="BQ15" s="18" t="n"/>
      <c r="BR15" s="19" t="n"/>
      <c r="BS15" s="6" t="n"/>
      <c r="BT15" s="79" t="n"/>
      <c r="BU15" s="6" t="n"/>
      <c r="BV15" s="79" t="n"/>
      <c r="BW15" s="6" t="n"/>
      <c r="BX15" s="79" t="n"/>
      <c r="BY15" s="6" t="n"/>
      <c r="BZ15" s="79" t="n"/>
      <c r="CA15" s="6" t="n"/>
      <c r="CB15" s="79" t="n"/>
      <c r="CC15" s="8">
        <f>IFERROR(ROUND(AVERAGE(BI15,BK15,BM15,BO15,BQ15,BS15,BU15,BW15,BY15,CA15), 2), "")</f>
        <v/>
      </c>
      <c r="CD15" s="79" t="n"/>
      <c r="CE15" s="79" t="n"/>
      <c r="CF15" s="79" t="n"/>
      <c r="CG15" s="79" t="n"/>
      <c r="CH15" s="79" t="n"/>
      <c r="CI15" s="79" t="n"/>
      <c r="CJ15" s="79" t="n"/>
      <c r="CK15" s="79" t="n"/>
      <c r="CL15" s="18" t="n"/>
      <c r="CM15" s="19" t="n"/>
      <c r="CN15" s="6" t="n"/>
      <c r="CO15" s="79" t="n"/>
      <c r="CP15" s="6" t="n"/>
      <c r="CQ15" s="79" t="n"/>
      <c r="CR15" s="6" t="n"/>
      <c r="CS15" s="79" t="n"/>
      <c r="CT15" s="6" t="n"/>
      <c r="CU15" s="79" t="n"/>
      <c r="CV15" s="6" t="n"/>
      <c r="CW15" s="79" t="n"/>
      <c r="CX15" s="18" t="n"/>
      <c r="CY15" s="79" t="n"/>
      <c r="CZ15" s="79" t="n"/>
      <c r="DA15" s="79" t="n"/>
      <c r="DB15" s="79" t="n"/>
      <c r="DC15" s="79" t="n"/>
      <c r="DD15" s="79" t="n"/>
      <c r="DE15" s="79" t="n"/>
      <c r="DF15" s="79" t="n"/>
      <c r="DG15" s="18" t="n"/>
      <c r="DH15" s="19">
        <f>IF(COUNTA(CD15:DG15)=0, "", SUMPRODUCT(--ISNUMBER(SEARCH("m", CD15:DG15))))</f>
        <v/>
      </c>
      <c r="DI15" s="6">
        <f>IF(COUNTA(CD15:DG15)=0, "", COUNTA(CD15:DG15) - SUMPRODUCT(--ISNUMBER(SEARCH("m", CD15:DG15))))</f>
        <v/>
      </c>
      <c r="DJ15" s="79" t="n"/>
      <c r="DK15" s="6" t="n"/>
      <c r="DL15" s="79" t="n"/>
      <c r="DM15" s="6" t="n"/>
      <c r="DN15" s="79" t="n"/>
      <c r="DO15" s="6" t="n"/>
      <c r="DP15" s="79" t="n"/>
      <c r="DQ15" s="6" t="n"/>
      <c r="DR15" s="79" t="n"/>
      <c r="DS15" s="18" t="n"/>
      <c r="DT15" s="79" t="n"/>
      <c r="DU15" s="79" t="n"/>
      <c r="DV15" s="79" t="n"/>
      <c r="DW15" s="79" t="n"/>
      <c r="DX15" s="79" t="n"/>
      <c r="DY15" s="79" t="n"/>
      <c r="DZ15" s="79" t="n"/>
      <c r="EA15" s="79" t="n"/>
      <c r="EB15" s="18" t="n"/>
      <c r="EC15" s="19" t="n"/>
      <c r="ED15" s="20">
        <f>IFERROR(ROUND(AVERAGE(DJ15,DL15,DN15,DP15,DR15,DT15,DV15,DX15,DZ15,EB15), 2), "")</f>
        <v/>
      </c>
      <c r="EE15" s="6" t="n"/>
      <c r="EF15" s="6" t="n"/>
      <c r="EG15" s="6" t="n"/>
      <c r="EH15" s="6" t="n"/>
      <c r="EI15" s="6" t="n"/>
      <c r="EJ15" s="6" t="n"/>
      <c r="EK15" s="6" t="n"/>
      <c r="EL15" s="6" t="n"/>
      <c r="EM15" s="6" t="n"/>
      <c r="EN15" s="6" t="n"/>
      <c r="EO15" s="6" t="n"/>
      <c r="EP15" s="6" t="n"/>
      <c r="EQ15" s="6" t="n"/>
      <c r="ER15" s="6" t="n"/>
      <c r="ES15" s="6" t="n"/>
      <c r="ET15" s="6" t="n"/>
      <c r="EU15" s="6" t="n"/>
      <c r="EV15" s="6" t="n"/>
      <c r="EW15" s="6" t="n"/>
      <c r="EX15" s="6" t="n"/>
      <c r="EY15" s="6" t="n"/>
      <c r="EZ15" s="6" t="n"/>
      <c r="FA15" s="6" t="n"/>
      <c r="FB15" s="6" t="n"/>
      <c r="FC15" s="6" t="n"/>
      <c r="FD15" s="6" t="n"/>
      <c r="FE15" s="6" t="n"/>
      <c r="FF15" s="6" t="n"/>
      <c r="FG15" s="6" t="n"/>
      <c r="FH15" s="6" t="n"/>
      <c r="FI15" s="6">
        <f>IF(COUNTA(EE15:FH15)=0, "", SUMPRODUCT(--ISNUMBER(SEARCH("m", EE15:FH15))))</f>
        <v/>
      </c>
      <c r="FJ15" s="6">
        <f>IF(COUNTA(EE15:FH15)=0, "", COUNTA(EE15:FH15) - SUMPRODUCT(--ISNUMBER(SEARCH("m", EE15:FH15))))</f>
        <v/>
      </c>
      <c r="FK15" s="6" t="n"/>
      <c r="FL15" s="6" t="n"/>
      <c r="FM15" s="6" t="n"/>
      <c r="FN15" s="6" t="n"/>
      <c r="FO15" s="6" t="n"/>
      <c r="FP15" s="6" t="n"/>
      <c r="FQ15" s="6" t="n"/>
      <c r="FR15" s="6" t="n"/>
      <c r="FS15" s="6" t="n"/>
      <c r="FT15" s="6" t="n"/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20">
        <f>IFERROR(ROUND(AVERAGE(FK15,FM15,FO15,FQ15,FS15,FU15,FW15,FY15,GA15,GC15), 2), "")</f>
        <v/>
      </c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>
        <f>IF(COUNTA(GF15:HI15)=0, "", SUMPRODUCT(--ISNUMBER(SEARCH("m", GF15:HI15))))</f>
        <v/>
      </c>
      <c r="HK15" s="6">
        <f>IF(COUNTA(GF15:HI15)=0, "", COUNTA(GF15:HI15) - SUMPRODUCT(--ISNUMBER(SEARCH("m", GF15:HI15))))</f>
        <v/>
      </c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20">
        <f>IFERROR(ROUND(AVERAGE(HL15,HN15,HP15,HR15,HT15,HV15,HX15,HZ15,IB15,ID15), 2), "")</f>
        <v/>
      </c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>
        <f>IF(COUNTA(IG15:JJ15)=0, "", SUMPRODUCT(--ISNUMBER(SEARCH("m", IG15:JJ15))))</f>
        <v/>
      </c>
      <c r="JL15" s="6">
        <f>IF(COUNTA(IG15:JJ15)=0, "", COUNTA(IG15:JJ15) - SUMPRODUCT(--ISNUMBER(SEARCH("m", IG15:JJ15))))</f>
        <v/>
      </c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20">
        <f>IFERROR(ROUND(AVERAGE(JM15,JO15,JQ15,JS15,JU15,JW15,JY15,KA15,KC15,KE15), 2), "")</f>
        <v/>
      </c>
      <c r="KH15" s="6" t="n"/>
      <c r="KI15" s="6" t="n"/>
      <c r="KJ15" s="6" t="n"/>
      <c r="KK15" s="6" t="n"/>
      <c r="KL15" s="6" t="n"/>
      <c r="KM15" s="6" t="n"/>
      <c r="KN15" s="6" t="n"/>
      <c r="KO15" s="6" t="n"/>
      <c r="KP15" s="6" t="n"/>
      <c r="KQ15" s="6" t="n"/>
      <c r="KR15" s="6" t="n"/>
      <c r="KS15" s="6" t="n"/>
      <c r="KT15" s="6" t="n"/>
      <c r="KU15" s="6" t="n"/>
      <c r="KV15" s="6" t="n"/>
      <c r="KW15" s="6" t="n"/>
      <c r="KX15" s="6" t="n"/>
      <c r="KY15" s="6" t="n"/>
      <c r="KZ15" s="6" t="n"/>
      <c r="LA15" s="6" t="n"/>
      <c r="LB15" s="6" t="n"/>
      <c r="LC15" s="6" t="n"/>
      <c r="LD15" s="6" t="n"/>
      <c r="LE15" s="6" t="n"/>
      <c r="LF15" s="6" t="n"/>
      <c r="LG15" s="6" t="n"/>
      <c r="LH15" s="6" t="n"/>
      <c r="LI15" s="6" t="n"/>
      <c r="LJ15" s="6" t="n"/>
      <c r="LK15" s="6" t="n"/>
      <c r="LL15" s="6">
        <f>IF(COUNTA(KH15:LK15)=0, "", SUMPRODUCT(--ISNUMBER(SEARCH("m", KH15:LK15))))</f>
        <v/>
      </c>
      <c r="LM15" s="6">
        <f>IF(COUNTA(KH15:LK15)=0, "", COUNTA(KH15:LK15) - SUMPRODUCT(--ISNUMBER(SEARCH("m", KH15:LK15))))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8">
        <f>IFERROR(ROUND(AVERAGE(AB16,CC16,ED16,GE16,IF16,KG16), 2), "")</f>
        <v/>
      </c>
      <c r="F16" s="14">
        <f>IF(SUM(BH16,DI16,FJ16,HK16,JL16,LM16)=0, "", SUM(BH16,DI16,FJ16,HK16,JL16,LM16))</f>
        <v/>
      </c>
      <c r="G16" s="8">
        <f>IF(SUM(BG16,DH16,FI16,HJ16,JK16,LL16)=0, "", SUM(BG16,DH16,FI16,HJ16,JK16,LL16))</f>
        <v/>
      </c>
      <c r="H16" s="6" t="n"/>
      <c r="I16" s="79" t="n"/>
      <c r="J16" s="6" t="n"/>
      <c r="K16" s="79" t="n"/>
      <c r="L16" s="6" t="n"/>
      <c r="M16" s="79" t="n"/>
      <c r="N16" s="6" t="n"/>
      <c r="O16" s="79" t="n"/>
      <c r="P16" s="6" t="n"/>
      <c r="Q16" s="79" t="n"/>
      <c r="R16" s="18" t="n"/>
      <c r="S16" s="79" t="n"/>
      <c r="T16" s="79" t="n"/>
      <c r="U16" s="79" t="n"/>
      <c r="V16" s="79" t="n"/>
      <c r="W16" s="79" t="n"/>
      <c r="X16" s="79" t="n"/>
      <c r="Y16" s="79" t="n"/>
      <c r="Z16" s="79" t="n"/>
      <c r="AA16" s="18" t="n"/>
      <c r="AB16" s="14">
        <f>IFERROR(ROUND(AVERAGE(H16,J16,L16,N16,P16,R16,T16,V16,X16,Z16), 2), "")</f>
        <v/>
      </c>
      <c r="AC16" s="6" t="n"/>
      <c r="AD16" s="79" t="n"/>
      <c r="AE16" s="6" t="n"/>
      <c r="AF16" s="79" t="n"/>
      <c r="AG16" s="6" t="n"/>
      <c r="AH16" s="79" t="n"/>
      <c r="AI16" s="6" t="n"/>
      <c r="AJ16" s="79" t="n"/>
      <c r="AK16" s="6" t="n"/>
      <c r="AL16" s="79" t="n"/>
      <c r="AM16" s="18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18" t="n"/>
      <c r="AW16" s="19" t="n"/>
      <c r="AX16" s="6" t="n"/>
      <c r="AY16" s="79" t="n"/>
      <c r="AZ16" s="6" t="n"/>
      <c r="BA16" s="79" t="n"/>
      <c r="BB16" s="6" t="n"/>
      <c r="BC16" s="79" t="n"/>
      <c r="BD16" s="6" t="n"/>
      <c r="BE16" s="79" t="n"/>
      <c r="BF16" s="6" t="n"/>
      <c r="BG16" s="79">
        <f>IF(COUNTA(AC16:BF16)=0, "", SUMPRODUCT(--ISNUMBER(SEARCH("m", AC16:BF16))))</f>
        <v/>
      </c>
      <c r="BH16" s="18">
        <f>IF(COUNTA(AC16:BF16)=0, "", COUNTA(AC16:BF16) - SUMPRODUCT(--ISNUMBER(SEARCH("m", AC16:BF16))))</f>
        <v/>
      </c>
      <c r="BI16" s="79" t="n"/>
      <c r="BJ16" s="79" t="n"/>
      <c r="BK16" s="79" t="n"/>
      <c r="BL16" s="79" t="n"/>
      <c r="BM16" s="79" t="n"/>
      <c r="BN16" s="79" t="n"/>
      <c r="BO16" s="79" t="n"/>
      <c r="BP16" s="79" t="n"/>
      <c r="BQ16" s="18" t="n"/>
      <c r="BR16" s="19" t="n"/>
      <c r="BS16" s="6" t="n"/>
      <c r="BT16" s="79" t="n"/>
      <c r="BU16" s="6" t="n"/>
      <c r="BV16" s="79" t="n"/>
      <c r="BW16" s="6" t="n"/>
      <c r="BX16" s="79" t="n"/>
      <c r="BY16" s="6" t="n"/>
      <c r="BZ16" s="79" t="n"/>
      <c r="CA16" s="6" t="n"/>
      <c r="CB16" s="79" t="n"/>
      <c r="CC16" s="8">
        <f>IFERROR(ROUND(AVERAGE(BI16,BK16,BM16,BO16,BQ16,BS16,BU16,BW16,BY16,CA16), 2), "")</f>
        <v/>
      </c>
      <c r="CD16" s="79" t="n"/>
      <c r="CE16" s="79" t="n"/>
      <c r="CF16" s="79" t="n"/>
      <c r="CG16" s="79" t="n"/>
      <c r="CH16" s="79" t="n"/>
      <c r="CI16" s="79" t="n"/>
      <c r="CJ16" s="79" t="n"/>
      <c r="CK16" s="79" t="n"/>
      <c r="CL16" s="18" t="n"/>
      <c r="CM16" s="19" t="n"/>
      <c r="CN16" s="6" t="n"/>
      <c r="CO16" s="79" t="n"/>
      <c r="CP16" s="6" t="n"/>
      <c r="CQ16" s="79" t="n"/>
      <c r="CR16" s="6" t="n"/>
      <c r="CS16" s="79" t="n"/>
      <c r="CT16" s="6" t="n"/>
      <c r="CU16" s="79" t="n"/>
      <c r="CV16" s="6" t="n"/>
      <c r="CW16" s="79" t="n"/>
      <c r="CX16" s="18" t="n"/>
      <c r="CY16" s="79" t="n"/>
      <c r="CZ16" s="79" t="n"/>
      <c r="DA16" s="79" t="n"/>
      <c r="DB16" s="79" t="n"/>
      <c r="DC16" s="79" t="n"/>
      <c r="DD16" s="79" t="n"/>
      <c r="DE16" s="79" t="n"/>
      <c r="DF16" s="79" t="n"/>
      <c r="DG16" s="18" t="n"/>
      <c r="DH16" s="19">
        <f>IF(COUNTA(CD16:DG16)=0, "", SUMPRODUCT(--ISNUMBER(SEARCH("m", CD16:DG16))))</f>
        <v/>
      </c>
      <c r="DI16" s="6">
        <f>IF(COUNTA(CD16:DG16)=0, "", COUNTA(CD16:DG16) - SUMPRODUCT(--ISNUMBER(SEARCH("m", CD16:DG16))))</f>
        <v/>
      </c>
      <c r="DJ16" s="79" t="n"/>
      <c r="DK16" s="6" t="n"/>
      <c r="DL16" s="79" t="n"/>
      <c r="DM16" s="6" t="n"/>
      <c r="DN16" s="79" t="n"/>
      <c r="DO16" s="6" t="n"/>
      <c r="DP16" s="79" t="n"/>
      <c r="DQ16" s="6" t="n"/>
      <c r="DR16" s="79" t="n"/>
      <c r="DS16" s="18" t="n"/>
      <c r="DT16" s="79" t="n"/>
      <c r="DU16" s="79" t="n"/>
      <c r="DV16" s="79" t="n"/>
      <c r="DW16" s="79" t="n"/>
      <c r="DX16" s="79" t="n"/>
      <c r="DY16" s="79" t="n"/>
      <c r="DZ16" s="79" t="n"/>
      <c r="EA16" s="79" t="n"/>
      <c r="EB16" s="18" t="n"/>
      <c r="EC16" s="19" t="n"/>
      <c r="ED16" s="20">
        <f>IFERROR(ROUND(AVERAGE(DJ16,DL16,DN16,DP16,DR16,DT16,DV16,DX16,DZ16,EB16), 2), "")</f>
        <v/>
      </c>
      <c r="EE16" s="6" t="n"/>
      <c r="EF16" s="6" t="n"/>
      <c r="EG16" s="6" t="n"/>
      <c r="EH16" s="6" t="n"/>
      <c r="EI16" s="6" t="n"/>
      <c r="EJ16" s="6" t="n"/>
      <c r="EK16" s="6" t="n"/>
      <c r="EL16" s="6" t="n"/>
      <c r="EM16" s="6" t="n"/>
      <c r="EN16" s="6" t="n"/>
      <c r="EO16" s="6" t="n"/>
      <c r="EP16" s="6" t="n"/>
      <c r="EQ16" s="6" t="n"/>
      <c r="ER16" s="6" t="n"/>
      <c r="ES16" s="6" t="n"/>
      <c r="ET16" s="6" t="n"/>
      <c r="EU16" s="6" t="n"/>
      <c r="EV16" s="6" t="n"/>
      <c r="EW16" s="6" t="n"/>
      <c r="EX16" s="6" t="n"/>
      <c r="EY16" s="6" t="n"/>
      <c r="EZ16" s="6" t="n"/>
      <c r="FA16" s="6" t="n"/>
      <c r="FB16" s="6" t="n"/>
      <c r="FC16" s="6" t="n"/>
      <c r="FD16" s="6" t="n"/>
      <c r="FE16" s="6" t="n"/>
      <c r="FF16" s="6" t="n"/>
      <c r="FG16" s="6" t="n"/>
      <c r="FH16" s="6" t="n"/>
      <c r="FI16" s="6">
        <f>IF(COUNTA(EE16:FH16)=0, "", SUMPRODUCT(--ISNUMBER(SEARCH("m", EE16:FH16))))</f>
        <v/>
      </c>
      <c r="FJ16" s="6">
        <f>IF(COUNTA(EE16:FH16)=0, "", COUNTA(EE16:FH16) - SUMPRODUCT(--ISNUMBER(SEARCH("m", EE16:FH16))))</f>
        <v/>
      </c>
      <c r="FK16" s="6" t="n"/>
      <c r="FL16" s="6" t="n"/>
      <c r="FM16" s="6" t="n"/>
      <c r="FN16" s="6" t="n"/>
      <c r="FO16" s="6" t="n"/>
      <c r="FP16" s="6" t="n"/>
      <c r="FQ16" s="6" t="n"/>
      <c r="FR16" s="6" t="n"/>
      <c r="FS16" s="6" t="n"/>
      <c r="FT16" s="6" t="n"/>
      <c r="FU16" s="6" t="n"/>
      <c r="FV16" s="6" t="n"/>
      <c r="FW16" s="6" t="n"/>
      <c r="FX16" s="6" t="n"/>
      <c r="FY16" s="6" t="n"/>
      <c r="FZ16" s="6" t="n"/>
      <c r="GA16" s="6" t="n"/>
      <c r="GB16" s="6" t="n"/>
      <c r="GC16" s="6" t="n"/>
      <c r="GD16" s="6" t="n"/>
      <c r="GE16" s="20">
        <f>IFERROR(ROUND(AVERAGE(FK16,FM16,FO16,FQ16,FS16,FU16,FW16,FY16,GA16,GC16), 2), "")</f>
        <v/>
      </c>
      <c r="GF16" s="6" t="n"/>
      <c r="GG16" s="6" t="n"/>
      <c r="GH16" s="6" t="n"/>
      <c r="GI16" s="6" t="n"/>
      <c r="GJ16" s="6" t="n"/>
      <c r="GK16" s="6" t="n"/>
      <c r="GL16" s="6" t="n"/>
      <c r="GM16" s="6" t="n"/>
      <c r="GN16" s="6" t="n"/>
      <c r="GO16" s="6" t="n"/>
      <c r="GP16" s="6" t="n"/>
      <c r="GQ16" s="6" t="n"/>
      <c r="GR16" s="6" t="n"/>
      <c r="GS16" s="6" t="n"/>
      <c r="GT16" s="6" t="n"/>
      <c r="GU16" s="6" t="n"/>
      <c r="GV16" s="6" t="n"/>
      <c r="GW16" s="6" t="n"/>
      <c r="GX16" s="6" t="n"/>
      <c r="GY16" s="6" t="n"/>
      <c r="GZ16" s="6" t="n"/>
      <c r="HA16" s="6" t="n"/>
      <c r="HB16" s="6" t="n"/>
      <c r="HC16" s="6" t="n"/>
      <c r="HD16" s="6" t="n"/>
      <c r="HE16" s="6" t="n"/>
      <c r="HF16" s="6" t="n"/>
      <c r="HG16" s="6" t="n"/>
      <c r="HH16" s="6" t="n"/>
      <c r="HI16" s="6" t="n"/>
      <c r="HJ16" s="6">
        <f>IF(COUNTA(GF16:HI16)=0, "", SUMPRODUCT(--ISNUMBER(SEARCH("m", GF16:HI16))))</f>
        <v/>
      </c>
      <c r="HK16" s="6">
        <f>IF(COUNTA(GF16:HI16)=0, "", COUNTA(GF16:HI16) - SUMPRODUCT(--ISNUMBER(SEARCH("m", GF16:HI16))))</f>
        <v/>
      </c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20">
        <f>IFERROR(ROUND(AVERAGE(HL16,HN16,HP16,HR16,HT16,HV16,HX16,HZ16,IB16,ID16), 2), "")</f>
        <v/>
      </c>
      <c r="IG16" s="6" t="n"/>
      <c r="IH16" s="6" t="n"/>
      <c r="II16" s="6" t="n"/>
      <c r="IJ16" s="6" t="n"/>
      <c r="IK16" s="6" t="n"/>
      <c r="IL16" s="6" t="n"/>
      <c r="IM16" s="6" t="n"/>
      <c r="IN16" s="6" t="n"/>
      <c r="IO16" s="6" t="n"/>
      <c r="IP16" s="6" t="n"/>
      <c r="IQ16" s="6" t="n"/>
      <c r="IR16" s="6" t="n"/>
      <c r="IS16" s="6" t="n"/>
      <c r="IT16" s="6" t="n"/>
      <c r="IU16" s="6" t="n"/>
      <c r="IV16" s="6" t="n"/>
      <c r="IW16" s="6" t="n"/>
      <c r="IX16" s="6" t="n"/>
      <c r="IY16" s="6" t="n"/>
      <c r="IZ16" s="6" t="n"/>
      <c r="JA16" s="6" t="n"/>
      <c r="JB16" s="6" t="n"/>
      <c r="JC16" s="6" t="n"/>
      <c r="JD16" s="6" t="n"/>
      <c r="JE16" s="6" t="n"/>
      <c r="JF16" s="6" t="n"/>
      <c r="JG16" s="6" t="n"/>
      <c r="JH16" s="6" t="n"/>
      <c r="JI16" s="6" t="n"/>
      <c r="JJ16" s="6" t="n"/>
      <c r="JK16" s="6">
        <f>IF(COUNTA(IG16:JJ16)=0, "", SUMPRODUCT(--ISNUMBER(SEARCH("m", IG16:JJ16))))</f>
        <v/>
      </c>
      <c r="JL16" s="6">
        <f>IF(COUNTA(IG16:JJ16)=0, "", COUNTA(IG16:JJ16) - SUMPRODUCT(--ISNUMBER(SEARCH("m", IG16:JJ16))))</f>
        <v/>
      </c>
      <c r="JM16" s="6" t="n"/>
      <c r="JN16" s="6" t="n"/>
      <c r="JO16" s="6" t="n"/>
      <c r="JP16" s="6" t="n"/>
      <c r="JQ16" s="6" t="n"/>
      <c r="JR16" s="6" t="n"/>
      <c r="JS16" s="6" t="n"/>
      <c r="JT16" s="6" t="n"/>
      <c r="JU16" s="6" t="n"/>
      <c r="JV16" s="6" t="n"/>
      <c r="JW16" s="6" t="n"/>
      <c r="JX16" s="6" t="n"/>
      <c r="JY16" s="6" t="n"/>
      <c r="JZ16" s="6" t="n"/>
      <c r="KA16" s="6" t="n"/>
      <c r="KB16" s="6" t="n"/>
      <c r="KC16" s="6" t="n"/>
      <c r="KD16" s="6" t="n"/>
      <c r="KE16" s="6" t="n"/>
      <c r="KF16" s="6" t="n"/>
      <c r="KG16" s="20">
        <f>IFERROR(ROUND(AVERAGE(JM16,JO16,JQ16,JS16,JU16,JW16,JY16,KA16,KC16,KE16), 2), "")</f>
        <v/>
      </c>
      <c r="KH16" s="6" t="n"/>
      <c r="KI16" s="6" t="n"/>
      <c r="KJ16" s="6" t="n"/>
      <c r="KK16" s="6" t="n"/>
      <c r="KL16" s="6" t="n"/>
      <c r="KM16" s="6" t="n"/>
      <c r="KN16" s="6" t="n"/>
      <c r="KO16" s="6" t="n"/>
      <c r="KP16" s="6" t="n"/>
      <c r="KQ16" s="6" t="n"/>
      <c r="KR16" s="6" t="n"/>
      <c r="KS16" s="6" t="n"/>
      <c r="KT16" s="6" t="n"/>
      <c r="KU16" s="6" t="n"/>
      <c r="KV16" s="6" t="n"/>
      <c r="KW16" s="6" t="n"/>
      <c r="KX16" s="6" t="n"/>
      <c r="KY16" s="6" t="n"/>
      <c r="KZ16" s="6" t="n"/>
      <c r="LA16" s="6" t="n"/>
      <c r="LB16" s="6" t="n"/>
      <c r="LC16" s="6" t="n"/>
      <c r="LD16" s="6" t="n"/>
      <c r="LE16" s="6" t="n"/>
      <c r="LF16" s="6" t="n"/>
      <c r="LG16" s="6" t="n"/>
      <c r="LH16" s="6" t="n"/>
      <c r="LI16" s="6" t="n"/>
      <c r="LJ16" s="6" t="n"/>
      <c r="LK16" s="6" t="n"/>
      <c r="LL16" s="6">
        <f>IF(COUNTA(KH16:LK16)=0, "", SUMPRODUCT(--ISNUMBER(SEARCH("m", KH16:LK16))))</f>
        <v/>
      </c>
      <c r="LM16" s="6">
        <f>IF(COUNTA(KH16:LK16)=0, "", COUNTA(KH16:LK16) - SUMPRODUCT(--ISNUMBER(SEARCH("m", KH16:LK16))))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8">
        <f>IFERROR(ROUND(AVERAGE(AB17,CC17,ED17,GE17,IF17,KG17), 2), "")</f>
        <v/>
      </c>
      <c r="F17" s="14">
        <f>IF(SUM(BH17,DI17,FJ17,HK17,JL17,LM17)=0, "", SUM(BH17,DI17,FJ17,HK17,JL17,LM17))</f>
        <v/>
      </c>
      <c r="G17" s="8">
        <f>IF(SUM(BG17,DH17,FI17,HJ17,JK17,LL17)=0, "", SUM(BG17,DH17,FI17,HJ17,JK17,LL17))</f>
        <v/>
      </c>
      <c r="H17" s="6" t="n"/>
      <c r="I17" s="79" t="n"/>
      <c r="J17" s="6" t="n"/>
      <c r="K17" s="79" t="n"/>
      <c r="L17" s="6" t="n"/>
      <c r="M17" s="79" t="n"/>
      <c r="N17" s="6" t="n"/>
      <c r="O17" s="79" t="n"/>
      <c r="P17" s="6" t="n"/>
      <c r="Q17" s="79" t="n"/>
      <c r="R17" s="18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18" t="n"/>
      <c r="AB17" s="14">
        <f>IFERROR(ROUND(AVERAGE(H17,J17,L17,N17,P17,R17,T17,V17,X17,Z17), 2), "")</f>
        <v/>
      </c>
      <c r="AC17" s="6" t="n"/>
      <c r="AD17" s="79" t="n"/>
      <c r="AE17" s="6" t="n"/>
      <c r="AF17" s="79" t="n"/>
      <c r="AG17" s="6" t="n"/>
      <c r="AH17" s="79" t="n"/>
      <c r="AI17" s="6" t="n"/>
      <c r="AJ17" s="79" t="n"/>
      <c r="AK17" s="6" t="n"/>
      <c r="AL17" s="79" t="n"/>
      <c r="AM17" s="18" t="n"/>
      <c r="AN17" s="79" t="n"/>
      <c r="AO17" s="79" t="n"/>
      <c r="AP17" s="79" t="n"/>
      <c r="AQ17" s="79" t="n"/>
      <c r="AR17" s="79" t="n"/>
      <c r="AS17" s="79" t="n"/>
      <c r="AT17" s="79" t="n"/>
      <c r="AU17" s="79" t="n"/>
      <c r="AV17" s="18" t="n"/>
      <c r="AW17" s="19" t="n"/>
      <c r="AX17" s="6" t="n"/>
      <c r="AY17" s="79" t="n"/>
      <c r="AZ17" s="6" t="n"/>
      <c r="BA17" s="79" t="n"/>
      <c r="BB17" s="6" t="n"/>
      <c r="BC17" s="79" t="n"/>
      <c r="BD17" s="6" t="n"/>
      <c r="BE17" s="79" t="n"/>
      <c r="BF17" s="6" t="n"/>
      <c r="BG17" s="79">
        <f>IF(COUNTA(AC17:BF17)=0, "", SUMPRODUCT(--ISNUMBER(SEARCH("m", AC17:BF17))))</f>
        <v/>
      </c>
      <c r="BH17" s="18">
        <f>IF(COUNTA(AC17:BF17)=0, "", COUNTA(AC17:BF17) - SUMPRODUCT(--ISNUMBER(SEARCH("m", AC17:BF17))))</f>
        <v/>
      </c>
      <c r="BI17" s="79" t="n"/>
      <c r="BJ17" s="79" t="n"/>
      <c r="BK17" s="79" t="n"/>
      <c r="BL17" s="79" t="n"/>
      <c r="BM17" s="79" t="n"/>
      <c r="BN17" s="79" t="n"/>
      <c r="BO17" s="79" t="n"/>
      <c r="BP17" s="79" t="n"/>
      <c r="BQ17" s="18" t="n"/>
      <c r="BR17" s="19" t="n"/>
      <c r="BS17" s="6" t="n"/>
      <c r="BT17" s="79" t="n"/>
      <c r="BU17" s="6" t="n"/>
      <c r="BV17" s="79" t="n"/>
      <c r="BW17" s="6" t="n"/>
      <c r="BX17" s="79" t="n"/>
      <c r="BY17" s="6" t="n"/>
      <c r="BZ17" s="79" t="n"/>
      <c r="CA17" s="6" t="n"/>
      <c r="CB17" s="79" t="n"/>
      <c r="CC17" s="8">
        <f>IFERROR(ROUND(AVERAGE(BI17,BK17,BM17,BO17,BQ17,BS17,BU17,BW17,BY17,CA17), 2), "")</f>
        <v/>
      </c>
      <c r="CD17" s="79" t="n"/>
      <c r="CE17" s="79" t="n"/>
      <c r="CF17" s="79" t="n"/>
      <c r="CG17" s="79" t="n"/>
      <c r="CH17" s="79" t="n"/>
      <c r="CI17" s="79" t="n"/>
      <c r="CJ17" s="79" t="n"/>
      <c r="CK17" s="79" t="n"/>
      <c r="CL17" s="18" t="n"/>
      <c r="CM17" s="19" t="n"/>
      <c r="CN17" s="6" t="n"/>
      <c r="CO17" s="79" t="n"/>
      <c r="CP17" s="6" t="n"/>
      <c r="CQ17" s="79" t="n"/>
      <c r="CR17" s="6" t="n"/>
      <c r="CS17" s="79" t="n"/>
      <c r="CT17" s="6" t="n"/>
      <c r="CU17" s="79" t="n"/>
      <c r="CV17" s="6" t="n"/>
      <c r="CW17" s="79" t="n"/>
      <c r="CX17" s="18" t="n"/>
      <c r="CY17" s="79" t="n"/>
      <c r="CZ17" s="79" t="n"/>
      <c r="DA17" s="79" t="n"/>
      <c r="DB17" s="79" t="n"/>
      <c r="DC17" s="79" t="n"/>
      <c r="DD17" s="79" t="n"/>
      <c r="DE17" s="79" t="n"/>
      <c r="DF17" s="79" t="n"/>
      <c r="DG17" s="18" t="n"/>
      <c r="DH17" s="19">
        <f>IF(COUNTA(CD17:DG17)=0, "", SUMPRODUCT(--ISNUMBER(SEARCH("m", CD17:DG17))))</f>
        <v/>
      </c>
      <c r="DI17" s="6">
        <f>IF(COUNTA(CD17:DG17)=0, "", COUNTA(CD17:DG17) - SUMPRODUCT(--ISNUMBER(SEARCH("m", CD17:DG17))))</f>
        <v/>
      </c>
      <c r="DJ17" s="79" t="n"/>
      <c r="DK17" s="6" t="n"/>
      <c r="DL17" s="79" t="n"/>
      <c r="DM17" s="6" t="n"/>
      <c r="DN17" s="79" t="n"/>
      <c r="DO17" s="6" t="n"/>
      <c r="DP17" s="79" t="n"/>
      <c r="DQ17" s="6" t="n"/>
      <c r="DR17" s="79" t="n"/>
      <c r="DS17" s="18" t="n"/>
      <c r="DT17" s="79" t="n"/>
      <c r="DU17" s="79" t="n"/>
      <c r="DV17" s="79" t="n"/>
      <c r="DW17" s="79" t="n"/>
      <c r="DX17" s="79" t="n"/>
      <c r="DY17" s="79" t="n"/>
      <c r="DZ17" s="79" t="n"/>
      <c r="EA17" s="79" t="n"/>
      <c r="EB17" s="18" t="n"/>
      <c r="EC17" s="19" t="n"/>
      <c r="ED17" s="20">
        <f>IFERROR(ROUND(AVERAGE(DJ17,DL17,DN17,DP17,DR17,DT17,DV17,DX17,DZ17,EB17), 2), "")</f>
        <v/>
      </c>
      <c r="EE17" s="6" t="n"/>
      <c r="EF17" s="6" t="n"/>
      <c r="EG17" s="6" t="n"/>
      <c r="EH17" s="6" t="n"/>
      <c r="EI17" s="6" t="n"/>
      <c r="EJ17" s="6" t="n"/>
      <c r="EK17" s="6" t="n"/>
      <c r="EL17" s="6" t="n"/>
      <c r="EM17" s="6" t="n"/>
      <c r="EN17" s="6" t="n"/>
      <c r="EO17" s="6" t="n"/>
      <c r="EP17" s="6" t="n"/>
      <c r="EQ17" s="6" t="n"/>
      <c r="ER17" s="6" t="n"/>
      <c r="ES17" s="6" t="n"/>
      <c r="ET17" s="6" t="n"/>
      <c r="EU17" s="6" t="n"/>
      <c r="EV17" s="6" t="n"/>
      <c r="EW17" s="6" t="n"/>
      <c r="EX17" s="6" t="n"/>
      <c r="EY17" s="6" t="n"/>
      <c r="EZ17" s="6" t="n"/>
      <c r="FA17" s="6" t="n"/>
      <c r="FB17" s="6" t="n"/>
      <c r="FC17" s="6" t="n"/>
      <c r="FD17" s="6" t="n"/>
      <c r="FE17" s="6" t="n"/>
      <c r="FF17" s="6" t="n"/>
      <c r="FG17" s="6" t="n"/>
      <c r="FH17" s="6" t="n"/>
      <c r="FI17" s="6">
        <f>IF(COUNTA(EE17:FH17)=0, "", SUMPRODUCT(--ISNUMBER(SEARCH("m", EE17:FH17))))</f>
        <v/>
      </c>
      <c r="FJ17" s="6">
        <f>IF(COUNTA(EE17:FH17)=0, "", COUNTA(EE17:FH17) - SUMPRODUCT(--ISNUMBER(SEARCH("m", EE17:FH17))))</f>
        <v/>
      </c>
      <c r="FK17" s="6" t="n"/>
      <c r="FL17" s="6" t="n"/>
      <c r="FM17" s="6" t="n"/>
      <c r="FN17" s="6" t="n"/>
      <c r="FO17" s="6" t="n"/>
      <c r="FP17" s="6" t="n"/>
      <c r="FQ17" s="6" t="n"/>
      <c r="FR17" s="6" t="n"/>
      <c r="FS17" s="6" t="n"/>
      <c r="FT17" s="6" t="n"/>
      <c r="FU17" s="6" t="n"/>
      <c r="FV17" s="6" t="n"/>
      <c r="FW17" s="6" t="n"/>
      <c r="FX17" s="6" t="n"/>
      <c r="FY17" s="6" t="n"/>
      <c r="FZ17" s="6" t="n"/>
      <c r="GA17" s="6" t="n"/>
      <c r="GB17" s="6" t="n"/>
      <c r="GC17" s="6" t="n"/>
      <c r="GD17" s="6" t="n"/>
      <c r="GE17" s="20">
        <f>IFERROR(ROUND(AVERAGE(FK17,FM17,FO17,FQ17,FS17,FU17,FW17,FY17,GA17,GC17), 2), "")</f>
        <v/>
      </c>
      <c r="GF17" s="6" t="n"/>
      <c r="GG17" s="6" t="n"/>
      <c r="GH17" s="6" t="n"/>
      <c r="GI17" s="6" t="n"/>
      <c r="GJ17" s="6" t="n"/>
      <c r="GK17" s="6" t="n"/>
      <c r="GL17" s="6" t="n"/>
      <c r="GM17" s="6" t="n"/>
      <c r="GN17" s="6" t="n"/>
      <c r="GO17" s="6" t="n"/>
      <c r="GP17" s="6" t="n"/>
      <c r="GQ17" s="6" t="n"/>
      <c r="GR17" s="6" t="n"/>
      <c r="GS17" s="6" t="n"/>
      <c r="GT17" s="6" t="n"/>
      <c r="GU17" s="6" t="n"/>
      <c r="GV17" s="6" t="n"/>
      <c r="GW17" s="6" t="n"/>
      <c r="GX17" s="6" t="n"/>
      <c r="GY17" s="6" t="n"/>
      <c r="GZ17" s="6" t="n"/>
      <c r="HA17" s="6" t="n"/>
      <c r="HB17" s="6" t="n"/>
      <c r="HC17" s="6" t="n"/>
      <c r="HD17" s="6" t="n"/>
      <c r="HE17" s="6" t="n"/>
      <c r="HF17" s="6" t="n"/>
      <c r="HG17" s="6" t="n"/>
      <c r="HH17" s="6" t="n"/>
      <c r="HI17" s="6" t="n"/>
      <c r="HJ17" s="6">
        <f>IF(COUNTA(GF17:HI17)=0, "", SUMPRODUCT(--ISNUMBER(SEARCH("m", GF17:HI17))))</f>
        <v/>
      </c>
      <c r="HK17" s="6">
        <f>IF(COUNTA(GF17:HI17)=0, "", COUNTA(GF17:HI17) - SUMPRODUCT(--ISNUMBER(SEARCH("m", GF17:HI17))))</f>
        <v/>
      </c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20">
        <f>IFERROR(ROUND(AVERAGE(HL17,HN17,HP17,HR17,HT17,HV17,HX17,HZ17,IB17,ID17), 2), "")</f>
        <v/>
      </c>
      <c r="IG17" s="6" t="n"/>
      <c r="IH17" s="6" t="n"/>
      <c r="II17" s="6" t="n"/>
      <c r="IJ17" s="6" t="n"/>
      <c r="IK17" s="6" t="n"/>
      <c r="IL17" s="6" t="n"/>
      <c r="IM17" s="6" t="n"/>
      <c r="IN17" s="6" t="n"/>
      <c r="IO17" s="6" t="n"/>
      <c r="IP17" s="6" t="n"/>
      <c r="IQ17" s="6" t="n"/>
      <c r="IR17" s="6" t="n"/>
      <c r="IS17" s="6" t="n"/>
      <c r="IT17" s="6" t="n"/>
      <c r="IU17" s="6" t="n"/>
      <c r="IV17" s="6" t="n"/>
      <c r="IW17" s="6" t="n"/>
      <c r="IX17" s="6" t="n"/>
      <c r="IY17" s="6" t="n"/>
      <c r="IZ17" s="6" t="n"/>
      <c r="JA17" s="6" t="n"/>
      <c r="JB17" s="6" t="n"/>
      <c r="JC17" s="6" t="n"/>
      <c r="JD17" s="6" t="n"/>
      <c r="JE17" s="6" t="n"/>
      <c r="JF17" s="6" t="n"/>
      <c r="JG17" s="6" t="n"/>
      <c r="JH17" s="6" t="n"/>
      <c r="JI17" s="6" t="n"/>
      <c r="JJ17" s="6" t="n"/>
      <c r="JK17" s="6">
        <f>IF(COUNTA(IG17:JJ17)=0, "", SUMPRODUCT(--ISNUMBER(SEARCH("m", IG17:JJ17))))</f>
        <v/>
      </c>
      <c r="JL17" s="6">
        <f>IF(COUNTA(IG17:JJ17)=0, "", COUNTA(IG17:JJ17) - SUMPRODUCT(--ISNUMBER(SEARCH("m", IG17:JJ17))))</f>
        <v/>
      </c>
      <c r="JM17" s="6" t="n"/>
      <c r="JN17" s="6" t="n"/>
      <c r="JO17" s="6" t="n"/>
      <c r="JP17" s="6" t="n"/>
      <c r="JQ17" s="6" t="n"/>
      <c r="JR17" s="6" t="n"/>
      <c r="JS17" s="6" t="n"/>
      <c r="JT17" s="6" t="n"/>
      <c r="JU17" s="6" t="n"/>
      <c r="JV17" s="6" t="n"/>
      <c r="JW17" s="6" t="n"/>
      <c r="JX17" s="6" t="n"/>
      <c r="JY17" s="6" t="n"/>
      <c r="JZ17" s="6" t="n"/>
      <c r="KA17" s="6" t="n"/>
      <c r="KB17" s="6" t="n"/>
      <c r="KC17" s="6" t="n"/>
      <c r="KD17" s="6" t="n"/>
      <c r="KE17" s="6" t="n"/>
      <c r="KF17" s="6" t="n"/>
      <c r="KG17" s="20">
        <f>IFERROR(ROUND(AVERAGE(JM17,JO17,JQ17,JS17,JU17,JW17,JY17,KA17,KC17,KE17), 2), "")</f>
        <v/>
      </c>
      <c r="KH17" s="6" t="n"/>
      <c r="KI17" s="6" t="n"/>
      <c r="KJ17" s="6" t="n"/>
      <c r="KK17" s="6" t="n"/>
      <c r="KL17" s="6" t="n"/>
      <c r="KM17" s="6" t="n"/>
      <c r="KN17" s="6" t="n"/>
      <c r="KO17" s="6" t="n"/>
      <c r="KP17" s="6" t="n"/>
      <c r="KQ17" s="6" t="n"/>
      <c r="KR17" s="6" t="n"/>
      <c r="KS17" s="6" t="n"/>
      <c r="KT17" s="6" t="n"/>
      <c r="KU17" s="6" t="n"/>
      <c r="KV17" s="6" t="n"/>
      <c r="KW17" s="6" t="n"/>
      <c r="KX17" s="6" t="n"/>
      <c r="KY17" s="6" t="n"/>
      <c r="KZ17" s="6" t="n"/>
      <c r="LA17" s="6" t="n"/>
      <c r="LB17" s="6" t="n"/>
      <c r="LC17" s="6" t="n"/>
      <c r="LD17" s="6" t="n"/>
      <c r="LE17" s="6" t="n"/>
      <c r="LF17" s="6" t="n"/>
      <c r="LG17" s="6" t="n"/>
      <c r="LH17" s="6" t="n"/>
      <c r="LI17" s="6" t="n"/>
      <c r="LJ17" s="6" t="n"/>
      <c r="LK17" s="6" t="n"/>
      <c r="LL17" s="6">
        <f>IF(COUNTA(KH17:LK17)=0, "", SUMPRODUCT(--ISNUMBER(SEARCH("m", KH17:LK17))))</f>
        <v/>
      </c>
      <c r="LM17" s="6">
        <f>IF(COUNTA(KH17:LK17)=0, "", COUNTA(KH17:LK17) - SUMPRODUCT(--ISNUMBER(SEARCH("m", KH17:LK17))))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8">
        <f>IFERROR(ROUND(AVERAGE(AB18,CC18,ED18,GE18,IF18,KG18), 2), "")</f>
        <v/>
      </c>
      <c r="F18" s="14">
        <f>IF(SUM(BH18,DI18,FJ18,HK18,JL18,LM18)=0, "", SUM(BH18,DI18,FJ18,HK18,JL18,LM18))</f>
        <v/>
      </c>
      <c r="G18" s="8">
        <f>IF(SUM(BG18,DH18,FI18,HJ18,JK18,LL18)=0, "", SUM(BG18,DH18,FI18,HJ18,JK18,LL18))</f>
        <v/>
      </c>
      <c r="H18" s="6" t="n"/>
      <c r="I18" s="79" t="n"/>
      <c r="J18" s="6" t="n"/>
      <c r="K18" s="79" t="n"/>
      <c r="L18" s="6" t="n"/>
      <c r="M18" s="79" t="n"/>
      <c r="N18" s="6" t="n"/>
      <c r="O18" s="79" t="n"/>
      <c r="P18" s="6" t="n"/>
      <c r="Q18" s="79" t="n"/>
      <c r="R18" s="18" t="n"/>
      <c r="S18" s="79" t="n"/>
      <c r="T18" s="79" t="n"/>
      <c r="U18" s="79" t="n"/>
      <c r="V18" s="79" t="n"/>
      <c r="W18" s="79" t="n"/>
      <c r="X18" s="79" t="n"/>
      <c r="Y18" s="79" t="n"/>
      <c r="Z18" s="79" t="n"/>
      <c r="AA18" s="18" t="n"/>
      <c r="AB18" s="14">
        <f>IFERROR(ROUND(AVERAGE(H18,J18,L18,N18,P18,R18,T18,V18,X18,Z18), 2), "")</f>
        <v/>
      </c>
      <c r="AC18" s="6" t="n"/>
      <c r="AD18" s="79" t="n"/>
      <c r="AE18" s="6" t="n"/>
      <c r="AF18" s="79" t="n"/>
      <c r="AG18" s="6" t="n"/>
      <c r="AH18" s="79" t="n"/>
      <c r="AI18" s="6" t="n"/>
      <c r="AJ18" s="79" t="n"/>
      <c r="AK18" s="6" t="n"/>
      <c r="AL18" s="79" t="n"/>
      <c r="AM18" s="18" t="n"/>
      <c r="AN18" s="79" t="n"/>
      <c r="AO18" s="79" t="n"/>
      <c r="AP18" s="79" t="n"/>
      <c r="AQ18" s="79" t="n"/>
      <c r="AR18" s="79" t="n"/>
      <c r="AS18" s="79" t="n"/>
      <c r="AT18" s="79" t="n"/>
      <c r="AU18" s="79" t="n"/>
      <c r="AV18" s="18" t="n"/>
      <c r="AW18" s="19" t="n"/>
      <c r="AX18" s="6" t="n"/>
      <c r="AY18" s="79" t="n"/>
      <c r="AZ18" s="6" t="n"/>
      <c r="BA18" s="79" t="n"/>
      <c r="BB18" s="6" t="n"/>
      <c r="BC18" s="79" t="n"/>
      <c r="BD18" s="6" t="n"/>
      <c r="BE18" s="79" t="n"/>
      <c r="BF18" s="6" t="n"/>
      <c r="BG18" s="79">
        <f>IF(COUNTA(AC18:BF18)=0, "", SUMPRODUCT(--ISNUMBER(SEARCH("m", AC18:BF18))))</f>
        <v/>
      </c>
      <c r="BH18" s="18">
        <f>IF(COUNTA(AC18:BF18)=0, "", COUNTA(AC18:BF18) - SUMPRODUCT(--ISNUMBER(SEARCH("m", AC18:BF18))))</f>
        <v/>
      </c>
      <c r="BI18" s="79" t="n"/>
      <c r="BJ18" s="79" t="n"/>
      <c r="BK18" s="79" t="n"/>
      <c r="BL18" s="79" t="n"/>
      <c r="BM18" s="79" t="n"/>
      <c r="BN18" s="79" t="n"/>
      <c r="BO18" s="79" t="n"/>
      <c r="BP18" s="79" t="n"/>
      <c r="BQ18" s="18" t="n"/>
      <c r="BR18" s="19" t="n"/>
      <c r="BS18" s="6" t="n"/>
      <c r="BT18" s="79" t="n"/>
      <c r="BU18" s="6" t="n"/>
      <c r="BV18" s="79" t="n"/>
      <c r="BW18" s="6" t="n"/>
      <c r="BX18" s="79" t="n"/>
      <c r="BY18" s="6" t="n"/>
      <c r="BZ18" s="79" t="n"/>
      <c r="CA18" s="6" t="n"/>
      <c r="CB18" s="79" t="n"/>
      <c r="CC18" s="8">
        <f>IFERROR(ROUND(AVERAGE(BI18,BK18,BM18,BO18,BQ18,BS18,BU18,BW18,BY18,CA18), 2), "")</f>
        <v/>
      </c>
      <c r="CD18" s="79" t="n"/>
      <c r="CE18" s="79" t="n"/>
      <c r="CF18" s="79" t="n"/>
      <c r="CG18" s="79" t="n"/>
      <c r="CH18" s="79" t="n"/>
      <c r="CI18" s="79" t="n"/>
      <c r="CJ18" s="79" t="n"/>
      <c r="CK18" s="79" t="n"/>
      <c r="CL18" s="18" t="n"/>
      <c r="CM18" s="19" t="n"/>
      <c r="CN18" s="6" t="n"/>
      <c r="CO18" s="79" t="n"/>
      <c r="CP18" s="6" t="n"/>
      <c r="CQ18" s="79" t="n"/>
      <c r="CR18" s="6" t="n"/>
      <c r="CS18" s="79" t="n"/>
      <c r="CT18" s="6" t="n"/>
      <c r="CU18" s="79" t="n"/>
      <c r="CV18" s="6" t="n"/>
      <c r="CW18" s="79" t="n"/>
      <c r="CX18" s="18" t="n"/>
      <c r="CY18" s="79" t="n"/>
      <c r="CZ18" s="79" t="n"/>
      <c r="DA18" s="79" t="n"/>
      <c r="DB18" s="79" t="n"/>
      <c r="DC18" s="79" t="n"/>
      <c r="DD18" s="79" t="n"/>
      <c r="DE18" s="79" t="n"/>
      <c r="DF18" s="79" t="n"/>
      <c r="DG18" s="18" t="n"/>
      <c r="DH18" s="19">
        <f>IF(COUNTA(CD18:DG18)=0, "", SUMPRODUCT(--ISNUMBER(SEARCH("m", CD18:DG18))))</f>
        <v/>
      </c>
      <c r="DI18" s="6">
        <f>IF(COUNTA(CD18:DG18)=0, "", COUNTA(CD18:DG18) - SUMPRODUCT(--ISNUMBER(SEARCH("m", CD18:DG18))))</f>
        <v/>
      </c>
      <c r="DJ18" s="79" t="n"/>
      <c r="DK18" s="6" t="n"/>
      <c r="DL18" s="79" t="n"/>
      <c r="DM18" s="6" t="n"/>
      <c r="DN18" s="79" t="n"/>
      <c r="DO18" s="6" t="n"/>
      <c r="DP18" s="79" t="n"/>
      <c r="DQ18" s="6" t="n"/>
      <c r="DR18" s="79" t="n"/>
      <c r="DS18" s="18" t="n"/>
      <c r="DT18" s="79" t="n"/>
      <c r="DU18" s="79" t="n"/>
      <c r="DV18" s="79" t="n"/>
      <c r="DW18" s="79" t="n"/>
      <c r="DX18" s="79" t="n"/>
      <c r="DY18" s="79" t="n"/>
      <c r="DZ18" s="79" t="n"/>
      <c r="EA18" s="79" t="n"/>
      <c r="EB18" s="18" t="n"/>
      <c r="EC18" s="19" t="n"/>
      <c r="ED18" s="20">
        <f>IFERROR(ROUND(AVERAGE(DJ18,DL18,DN18,DP18,DR18,DT18,DV18,DX18,DZ18,EB18), 2), "")</f>
        <v/>
      </c>
      <c r="EE18" s="6" t="n"/>
      <c r="EF18" s="6" t="n"/>
      <c r="EG18" s="6" t="n"/>
      <c r="EH18" s="6" t="n"/>
      <c r="EI18" s="6" t="n"/>
      <c r="EJ18" s="6" t="n"/>
      <c r="EK18" s="6" t="n"/>
      <c r="EL18" s="6" t="n"/>
      <c r="EM18" s="6" t="n"/>
      <c r="EN18" s="6" t="n"/>
      <c r="EO18" s="6" t="n"/>
      <c r="EP18" s="6" t="n"/>
      <c r="EQ18" s="6" t="n"/>
      <c r="ER18" s="6" t="n"/>
      <c r="ES18" s="6" t="n"/>
      <c r="ET18" s="6" t="n"/>
      <c r="EU18" s="6" t="n"/>
      <c r="EV18" s="6" t="n"/>
      <c r="EW18" s="6" t="n"/>
      <c r="EX18" s="6" t="n"/>
      <c r="EY18" s="6" t="n"/>
      <c r="EZ18" s="6" t="n"/>
      <c r="FA18" s="6" t="n"/>
      <c r="FB18" s="6" t="n"/>
      <c r="FC18" s="6" t="n"/>
      <c r="FD18" s="6" t="n"/>
      <c r="FE18" s="6" t="n"/>
      <c r="FF18" s="6" t="n"/>
      <c r="FG18" s="6" t="n"/>
      <c r="FH18" s="6" t="n"/>
      <c r="FI18" s="6">
        <f>IF(COUNTA(EE18:FH18)=0, "", SUMPRODUCT(--ISNUMBER(SEARCH("m", EE18:FH18))))</f>
        <v/>
      </c>
      <c r="FJ18" s="6">
        <f>IF(COUNTA(EE18:FH18)=0, "", COUNTA(EE18:FH18) - SUMPRODUCT(--ISNUMBER(SEARCH("m", EE18:FH18))))</f>
        <v/>
      </c>
      <c r="FK18" s="6" t="n"/>
      <c r="FL18" s="6" t="n"/>
      <c r="FM18" s="6" t="n"/>
      <c r="FN18" s="6" t="n"/>
      <c r="FO18" s="6" t="n"/>
      <c r="FP18" s="6" t="n"/>
      <c r="FQ18" s="6" t="n"/>
      <c r="FR18" s="6" t="n"/>
      <c r="FS18" s="6" t="n"/>
      <c r="FT18" s="6" t="n"/>
      <c r="FU18" s="6" t="n"/>
      <c r="FV18" s="6" t="n"/>
      <c r="FW18" s="6" t="n"/>
      <c r="FX18" s="6" t="n"/>
      <c r="FY18" s="6" t="n"/>
      <c r="FZ18" s="6" t="n"/>
      <c r="GA18" s="6" t="n"/>
      <c r="GB18" s="6" t="n"/>
      <c r="GC18" s="6" t="n"/>
      <c r="GD18" s="6" t="n"/>
      <c r="GE18" s="20">
        <f>IFERROR(ROUND(AVERAGE(FK18,FM18,FO18,FQ18,FS18,FU18,FW18,FY18,GA18,GC18), 2), "")</f>
        <v/>
      </c>
      <c r="GF18" s="6" t="n"/>
      <c r="GG18" s="6" t="n"/>
      <c r="GH18" s="6" t="n"/>
      <c r="GI18" s="6" t="n"/>
      <c r="GJ18" s="6" t="n"/>
      <c r="GK18" s="6" t="n"/>
      <c r="GL18" s="6" t="n"/>
      <c r="GM18" s="6" t="n"/>
      <c r="GN18" s="6" t="n"/>
      <c r="GO18" s="6" t="n"/>
      <c r="GP18" s="6" t="n"/>
      <c r="GQ18" s="6" t="n"/>
      <c r="GR18" s="6" t="n"/>
      <c r="GS18" s="6" t="n"/>
      <c r="GT18" s="6" t="n"/>
      <c r="GU18" s="6" t="n"/>
      <c r="GV18" s="6" t="n"/>
      <c r="GW18" s="6" t="n"/>
      <c r="GX18" s="6" t="n"/>
      <c r="GY18" s="6" t="n"/>
      <c r="GZ18" s="6" t="n"/>
      <c r="HA18" s="6" t="n"/>
      <c r="HB18" s="6" t="n"/>
      <c r="HC18" s="6" t="n"/>
      <c r="HD18" s="6" t="n"/>
      <c r="HE18" s="6" t="n"/>
      <c r="HF18" s="6" t="n"/>
      <c r="HG18" s="6" t="n"/>
      <c r="HH18" s="6" t="n"/>
      <c r="HI18" s="6" t="n"/>
      <c r="HJ18" s="6">
        <f>IF(COUNTA(GF18:HI18)=0, "", SUMPRODUCT(--ISNUMBER(SEARCH("m", GF18:HI18))))</f>
        <v/>
      </c>
      <c r="HK18" s="6">
        <f>IF(COUNTA(GF18:HI18)=0, "", COUNTA(GF18:HI18) - SUMPRODUCT(--ISNUMBER(SEARCH("m", GF18:HI18))))</f>
        <v/>
      </c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20">
        <f>IFERROR(ROUND(AVERAGE(HL18,HN18,HP18,HR18,HT18,HV18,HX18,HZ18,IB18,ID18), 2), "")</f>
        <v/>
      </c>
      <c r="IG18" s="6" t="n"/>
      <c r="IH18" s="6" t="n"/>
      <c r="II18" s="6" t="n"/>
      <c r="IJ18" s="6" t="n"/>
      <c r="IK18" s="6" t="n"/>
      <c r="IL18" s="6" t="n"/>
      <c r="IM18" s="6" t="n"/>
      <c r="IN18" s="6" t="n"/>
      <c r="IO18" s="6" t="n"/>
      <c r="IP18" s="6" t="n"/>
      <c r="IQ18" s="6" t="n"/>
      <c r="IR18" s="6" t="n"/>
      <c r="IS18" s="6" t="n"/>
      <c r="IT18" s="6" t="n"/>
      <c r="IU18" s="6" t="n"/>
      <c r="IV18" s="6" t="n"/>
      <c r="IW18" s="6" t="n"/>
      <c r="IX18" s="6" t="n"/>
      <c r="IY18" s="6" t="n"/>
      <c r="IZ18" s="6" t="n"/>
      <c r="JA18" s="6" t="n"/>
      <c r="JB18" s="6" t="n"/>
      <c r="JC18" s="6" t="n"/>
      <c r="JD18" s="6" t="n"/>
      <c r="JE18" s="6" t="n"/>
      <c r="JF18" s="6" t="n"/>
      <c r="JG18" s="6" t="n"/>
      <c r="JH18" s="6" t="n"/>
      <c r="JI18" s="6" t="n"/>
      <c r="JJ18" s="6" t="n"/>
      <c r="JK18" s="6">
        <f>IF(COUNTA(IG18:JJ18)=0, "", SUMPRODUCT(--ISNUMBER(SEARCH("m", IG18:JJ18))))</f>
        <v/>
      </c>
      <c r="JL18" s="6">
        <f>IF(COUNTA(IG18:JJ18)=0, "", COUNTA(IG18:JJ18) - SUMPRODUCT(--ISNUMBER(SEARCH("m", IG18:JJ18))))</f>
        <v/>
      </c>
      <c r="JM18" s="6" t="n"/>
      <c r="JN18" s="6" t="n"/>
      <c r="JO18" s="6" t="n"/>
      <c r="JP18" s="6" t="n"/>
      <c r="JQ18" s="6" t="n"/>
      <c r="JR18" s="6" t="n"/>
      <c r="JS18" s="6" t="n"/>
      <c r="JT18" s="6" t="n"/>
      <c r="JU18" s="6" t="n"/>
      <c r="JV18" s="6" t="n"/>
      <c r="JW18" s="6" t="n"/>
      <c r="JX18" s="6" t="n"/>
      <c r="JY18" s="6" t="n"/>
      <c r="JZ18" s="6" t="n"/>
      <c r="KA18" s="6" t="n"/>
      <c r="KB18" s="6" t="n"/>
      <c r="KC18" s="6" t="n"/>
      <c r="KD18" s="6" t="n"/>
      <c r="KE18" s="6" t="n"/>
      <c r="KF18" s="6" t="n"/>
      <c r="KG18" s="20">
        <f>IFERROR(ROUND(AVERAGE(JM18,JO18,JQ18,JS18,JU18,JW18,JY18,KA18,KC18,KE18), 2), "")</f>
        <v/>
      </c>
      <c r="KH18" s="6" t="n"/>
      <c r="KI18" s="6" t="n"/>
      <c r="KJ18" s="6" t="n"/>
      <c r="KK18" s="6" t="n"/>
      <c r="KL18" s="6" t="n"/>
      <c r="KM18" s="6" t="n"/>
      <c r="KN18" s="6" t="n"/>
      <c r="KO18" s="6" t="n"/>
      <c r="KP18" s="6" t="n"/>
      <c r="KQ18" s="6" t="n"/>
      <c r="KR18" s="6" t="n"/>
      <c r="KS18" s="6" t="n"/>
      <c r="KT18" s="6" t="n"/>
      <c r="KU18" s="6" t="n"/>
      <c r="KV18" s="6" t="n"/>
      <c r="KW18" s="6" t="n"/>
      <c r="KX18" s="6" t="n"/>
      <c r="KY18" s="6" t="n"/>
      <c r="KZ18" s="6" t="n"/>
      <c r="LA18" s="6" t="n"/>
      <c r="LB18" s="6" t="n"/>
      <c r="LC18" s="6" t="n"/>
      <c r="LD18" s="6" t="n"/>
      <c r="LE18" s="6" t="n"/>
      <c r="LF18" s="6" t="n"/>
      <c r="LG18" s="6" t="n"/>
      <c r="LH18" s="6" t="n"/>
      <c r="LI18" s="6" t="n"/>
      <c r="LJ18" s="6" t="n"/>
      <c r="LK18" s="6" t="n"/>
      <c r="LL18" s="6">
        <f>IF(COUNTA(KH18:LK18)=0, "", SUMPRODUCT(--ISNUMBER(SEARCH("m", KH18:LK18))))</f>
        <v/>
      </c>
      <c r="LM18" s="6">
        <f>IF(COUNTA(KH18:LK18)=0, "", COUNTA(KH18:LK18) - SUMPRODUCT(--ISNUMBER(SEARCH("m", KH18:LK18))))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8">
        <f>IFERROR(ROUND(AVERAGE(AB19,CC19,ED19,GE19,IF19,KG19), 2), "")</f>
        <v/>
      </c>
      <c r="F19" s="14">
        <f>IF(SUM(BH19,DI19,FJ19,HK19,JL19,LM19)=0, "", SUM(BH19,DI19,FJ19,HK19,JL19,LM19))</f>
        <v/>
      </c>
      <c r="G19" s="8">
        <f>IF(SUM(BG19,DH19,FI19,HJ19,JK19,LL19)=0, "", SUM(BG19,DH19,FI19,HJ19,JK19,LL19))</f>
        <v/>
      </c>
      <c r="H19" s="6" t="n"/>
      <c r="I19" s="79" t="n"/>
      <c r="J19" s="6" t="n"/>
      <c r="K19" s="79" t="n"/>
      <c r="L19" s="6" t="n"/>
      <c r="M19" s="79" t="n"/>
      <c r="N19" s="6" t="n"/>
      <c r="O19" s="79" t="n"/>
      <c r="P19" s="6" t="n"/>
      <c r="Q19" s="79" t="n"/>
      <c r="R19" s="18" t="n"/>
      <c r="S19" s="79" t="n"/>
      <c r="T19" s="79" t="n"/>
      <c r="U19" s="79" t="n"/>
      <c r="V19" s="79" t="n"/>
      <c r="W19" s="79" t="n"/>
      <c r="X19" s="79" t="n"/>
      <c r="Y19" s="79" t="n"/>
      <c r="Z19" s="79" t="n"/>
      <c r="AA19" s="18" t="n"/>
      <c r="AB19" s="14">
        <f>IFERROR(ROUND(AVERAGE(H19,J19,L19,N19,P19,R19,T19,V19,X19,Z19), 2), "")</f>
        <v/>
      </c>
      <c r="AC19" s="6" t="n"/>
      <c r="AD19" s="79" t="n"/>
      <c r="AE19" s="6" t="n"/>
      <c r="AF19" s="79" t="n"/>
      <c r="AG19" s="6" t="n"/>
      <c r="AH19" s="79" t="n"/>
      <c r="AI19" s="6" t="n"/>
      <c r="AJ19" s="79" t="n"/>
      <c r="AK19" s="6" t="n"/>
      <c r="AL19" s="79" t="n"/>
      <c r="AM19" s="18" t="n"/>
      <c r="AN19" s="79" t="n"/>
      <c r="AO19" s="79" t="n"/>
      <c r="AP19" s="79" t="n"/>
      <c r="AQ19" s="79" t="n"/>
      <c r="AR19" s="79" t="n"/>
      <c r="AS19" s="79" t="n"/>
      <c r="AT19" s="79" t="n"/>
      <c r="AU19" s="79" t="n"/>
      <c r="AV19" s="18" t="n"/>
      <c r="AW19" s="19" t="n"/>
      <c r="AX19" s="6" t="n"/>
      <c r="AY19" s="79" t="n"/>
      <c r="AZ19" s="6" t="n"/>
      <c r="BA19" s="79" t="n"/>
      <c r="BB19" s="6" t="n"/>
      <c r="BC19" s="79" t="n"/>
      <c r="BD19" s="6" t="n"/>
      <c r="BE19" s="79" t="n"/>
      <c r="BF19" s="6" t="n"/>
      <c r="BG19" s="79">
        <f>IF(COUNTA(AC19:BF19)=0, "", SUMPRODUCT(--ISNUMBER(SEARCH("m", AC19:BF19))))</f>
        <v/>
      </c>
      <c r="BH19" s="18">
        <f>IF(COUNTA(AC19:BF19)=0, "", COUNTA(AC19:BF19) - SUMPRODUCT(--ISNUMBER(SEARCH("m", AC19:BF19))))</f>
        <v/>
      </c>
      <c r="BI19" s="79" t="n"/>
      <c r="BJ19" s="79" t="n"/>
      <c r="BK19" s="79" t="n"/>
      <c r="BL19" s="79" t="n"/>
      <c r="BM19" s="79" t="n"/>
      <c r="BN19" s="79" t="n"/>
      <c r="BO19" s="79" t="n"/>
      <c r="BP19" s="79" t="n"/>
      <c r="BQ19" s="18" t="n"/>
      <c r="BR19" s="19" t="n"/>
      <c r="BS19" s="6" t="n"/>
      <c r="BT19" s="79" t="n"/>
      <c r="BU19" s="6" t="n"/>
      <c r="BV19" s="79" t="n"/>
      <c r="BW19" s="6" t="n"/>
      <c r="BX19" s="79" t="n"/>
      <c r="BY19" s="6" t="n"/>
      <c r="BZ19" s="79" t="n"/>
      <c r="CA19" s="6" t="n"/>
      <c r="CB19" s="79" t="n"/>
      <c r="CC19" s="8">
        <f>IFERROR(ROUND(AVERAGE(BI19,BK19,BM19,BO19,BQ19,BS19,BU19,BW19,BY19,CA19), 2), "")</f>
        <v/>
      </c>
      <c r="CD19" s="79" t="n"/>
      <c r="CE19" s="79" t="n"/>
      <c r="CF19" s="79" t="n"/>
      <c r="CG19" s="79" t="n"/>
      <c r="CH19" s="79" t="n"/>
      <c r="CI19" s="79" t="n"/>
      <c r="CJ19" s="79" t="n"/>
      <c r="CK19" s="79" t="n"/>
      <c r="CL19" s="18" t="n"/>
      <c r="CM19" s="19" t="n"/>
      <c r="CN19" s="6" t="n"/>
      <c r="CO19" s="79" t="n"/>
      <c r="CP19" s="6" t="n"/>
      <c r="CQ19" s="79" t="n"/>
      <c r="CR19" s="6" t="n"/>
      <c r="CS19" s="79" t="n"/>
      <c r="CT19" s="6" t="n"/>
      <c r="CU19" s="79" t="n"/>
      <c r="CV19" s="6" t="n"/>
      <c r="CW19" s="79" t="n"/>
      <c r="CX19" s="18" t="n"/>
      <c r="CY19" s="79" t="n"/>
      <c r="CZ19" s="79" t="n"/>
      <c r="DA19" s="79" t="n"/>
      <c r="DB19" s="79" t="n"/>
      <c r="DC19" s="79" t="n"/>
      <c r="DD19" s="79" t="n"/>
      <c r="DE19" s="79" t="n"/>
      <c r="DF19" s="79" t="n"/>
      <c r="DG19" s="18" t="n"/>
      <c r="DH19" s="19">
        <f>IF(COUNTA(CD19:DG19)=0, "", SUMPRODUCT(--ISNUMBER(SEARCH("m", CD19:DG19))))</f>
        <v/>
      </c>
      <c r="DI19" s="6">
        <f>IF(COUNTA(CD19:DG19)=0, "", COUNTA(CD19:DG19) - SUMPRODUCT(--ISNUMBER(SEARCH("m", CD19:DG19))))</f>
        <v/>
      </c>
      <c r="DJ19" s="79" t="n"/>
      <c r="DK19" s="6" t="n"/>
      <c r="DL19" s="79" t="n"/>
      <c r="DM19" s="6" t="n"/>
      <c r="DN19" s="79" t="n"/>
      <c r="DO19" s="6" t="n"/>
      <c r="DP19" s="79" t="n"/>
      <c r="DQ19" s="6" t="n"/>
      <c r="DR19" s="79" t="n"/>
      <c r="DS19" s="18" t="n"/>
      <c r="DT19" s="79" t="n"/>
      <c r="DU19" s="79" t="n"/>
      <c r="DV19" s="79" t="n"/>
      <c r="DW19" s="79" t="n"/>
      <c r="DX19" s="79" t="n"/>
      <c r="DY19" s="79" t="n"/>
      <c r="DZ19" s="79" t="n"/>
      <c r="EA19" s="79" t="n"/>
      <c r="EB19" s="18" t="n"/>
      <c r="EC19" s="19" t="n"/>
      <c r="ED19" s="20">
        <f>IFERROR(ROUND(AVERAGE(DJ19,DL19,DN19,DP19,DR19,DT19,DV19,DX19,DZ19,EB19), 2), "")</f>
        <v/>
      </c>
      <c r="EE19" s="6" t="n"/>
      <c r="EF19" s="6" t="n"/>
      <c r="EG19" s="6" t="n"/>
      <c r="EH19" s="6" t="n"/>
      <c r="EI19" s="6" t="n"/>
      <c r="EJ19" s="6" t="n"/>
      <c r="EK19" s="6" t="n"/>
      <c r="EL19" s="6" t="n"/>
      <c r="EM19" s="6" t="n"/>
      <c r="EN19" s="6" t="n"/>
      <c r="EO19" s="6" t="n"/>
      <c r="EP19" s="6" t="n"/>
      <c r="EQ19" s="6" t="n"/>
      <c r="ER19" s="6" t="n"/>
      <c r="ES19" s="6" t="n"/>
      <c r="ET19" s="6" t="n"/>
      <c r="EU19" s="6" t="n"/>
      <c r="EV19" s="6" t="n"/>
      <c r="EW19" s="6" t="n"/>
      <c r="EX19" s="6" t="n"/>
      <c r="EY19" s="6" t="n"/>
      <c r="EZ19" s="6" t="n"/>
      <c r="FA19" s="6" t="n"/>
      <c r="FB19" s="6" t="n"/>
      <c r="FC19" s="6" t="n"/>
      <c r="FD19" s="6" t="n"/>
      <c r="FE19" s="6" t="n"/>
      <c r="FF19" s="6" t="n"/>
      <c r="FG19" s="6" t="n"/>
      <c r="FH19" s="6" t="n"/>
      <c r="FI19" s="6">
        <f>IF(COUNTA(EE19:FH19)=0, "", SUMPRODUCT(--ISNUMBER(SEARCH("m", EE19:FH19))))</f>
        <v/>
      </c>
      <c r="FJ19" s="6">
        <f>IF(COUNTA(EE19:FH19)=0, "", COUNTA(EE19:FH19) - SUMPRODUCT(--ISNUMBER(SEARCH("m", EE19:FH19))))</f>
        <v/>
      </c>
      <c r="FK19" s="6" t="n"/>
      <c r="FL19" s="6" t="n"/>
      <c r="FM19" s="6" t="n"/>
      <c r="FN19" s="6" t="n"/>
      <c r="FO19" s="6" t="n"/>
      <c r="FP19" s="6" t="n"/>
      <c r="FQ19" s="6" t="n"/>
      <c r="FR19" s="6" t="n"/>
      <c r="FS19" s="6" t="n"/>
      <c r="FT19" s="6" t="n"/>
      <c r="FU19" s="6" t="n"/>
      <c r="FV19" s="6" t="n"/>
      <c r="FW19" s="6" t="n"/>
      <c r="FX19" s="6" t="n"/>
      <c r="FY19" s="6" t="n"/>
      <c r="FZ19" s="6" t="n"/>
      <c r="GA19" s="6" t="n"/>
      <c r="GB19" s="6" t="n"/>
      <c r="GC19" s="6" t="n"/>
      <c r="GD19" s="6" t="n"/>
      <c r="GE19" s="20">
        <f>IFERROR(ROUND(AVERAGE(FK19,FM19,FO19,FQ19,FS19,FU19,FW19,FY19,GA19,GC19), 2), "")</f>
        <v/>
      </c>
      <c r="GF19" s="6" t="n"/>
      <c r="GG19" s="6" t="n"/>
      <c r="GH19" s="6" t="n"/>
      <c r="GI19" s="6" t="n"/>
      <c r="GJ19" s="6" t="n"/>
      <c r="GK19" s="6" t="n"/>
      <c r="GL19" s="6" t="n"/>
      <c r="GM19" s="6" t="n"/>
      <c r="GN19" s="6" t="n"/>
      <c r="GO19" s="6" t="n"/>
      <c r="GP19" s="6" t="n"/>
      <c r="GQ19" s="6" t="n"/>
      <c r="GR19" s="6" t="n"/>
      <c r="GS19" s="6" t="n"/>
      <c r="GT19" s="6" t="n"/>
      <c r="GU19" s="6" t="n"/>
      <c r="GV19" s="6" t="n"/>
      <c r="GW19" s="6" t="n"/>
      <c r="GX19" s="6" t="n"/>
      <c r="GY19" s="6" t="n"/>
      <c r="GZ19" s="6" t="n"/>
      <c r="HA19" s="6" t="n"/>
      <c r="HB19" s="6" t="n"/>
      <c r="HC19" s="6" t="n"/>
      <c r="HD19" s="6" t="n"/>
      <c r="HE19" s="6" t="n"/>
      <c r="HF19" s="6" t="n"/>
      <c r="HG19" s="6" t="n"/>
      <c r="HH19" s="6" t="n"/>
      <c r="HI19" s="6" t="n"/>
      <c r="HJ19" s="6">
        <f>IF(COUNTA(GF19:HI19)=0, "", SUMPRODUCT(--ISNUMBER(SEARCH("m", GF19:HI19))))</f>
        <v/>
      </c>
      <c r="HK19" s="6">
        <f>IF(COUNTA(GF19:HI19)=0, "", COUNTA(GF19:HI19) - SUMPRODUCT(--ISNUMBER(SEARCH("m", GF19:HI19))))</f>
        <v/>
      </c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20">
        <f>IFERROR(ROUND(AVERAGE(HL19,HN19,HP19,HR19,HT19,HV19,HX19,HZ19,IB19,ID19), 2), "")</f>
        <v/>
      </c>
      <c r="IG19" s="6" t="n"/>
      <c r="IH19" s="6" t="n"/>
      <c r="II19" s="6" t="n"/>
      <c r="IJ19" s="6" t="n"/>
      <c r="IK19" s="6" t="n"/>
      <c r="IL19" s="6" t="n"/>
      <c r="IM19" s="6" t="n"/>
      <c r="IN19" s="6" t="n"/>
      <c r="IO19" s="6" t="n"/>
      <c r="IP19" s="6" t="n"/>
      <c r="IQ19" s="6" t="n"/>
      <c r="IR19" s="6" t="n"/>
      <c r="IS19" s="6" t="n"/>
      <c r="IT19" s="6" t="n"/>
      <c r="IU19" s="6" t="n"/>
      <c r="IV19" s="6" t="n"/>
      <c r="IW19" s="6" t="n"/>
      <c r="IX19" s="6" t="n"/>
      <c r="IY19" s="6" t="n"/>
      <c r="IZ19" s="6" t="n"/>
      <c r="JA19" s="6" t="n"/>
      <c r="JB19" s="6" t="n"/>
      <c r="JC19" s="6" t="n"/>
      <c r="JD19" s="6" t="n"/>
      <c r="JE19" s="6" t="n"/>
      <c r="JF19" s="6" t="n"/>
      <c r="JG19" s="6" t="n"/>
      <c r="JH19" s="6" t="n"/>
      <c r="JI19" s="6" t="n"/>
      <c r="JJ19" s="6" t="n"/>
      <c r="JK19" s="6">
        <f>IF(COUNTA(IG19:JJ19)=0, "", SUMPRODUCT(--ISNUMBER(SEARCH("m", IG19:JJ19))))</f>
        <v/>
      </c>
      <c r="JL19" s="6">
        <f>IF(COUNTA(IG19:JJ19)=0, "", COUNTA(IG19:JJ19) - SUMPRODUCT(--ISNUMBER(SEARCH("m", IG19:JJ19))))</f>
        <v/>
      </c>
      <c r="JM19" s="6" t="n"/>
      <c r="JN19" s="6" t="n"/>
      <c r="JO19" s="6" t="n"/>
      <c r="JP19" s="6" t="n"/>
      <c r="JQ19" s="6" t="n"/>
      <c r="JR19" s="6" t="n"/>
      <c r="JS19" s="6" t="n"/>
      <c r="JT19" s="6" t="n"/>
      <c r="JU19" s="6" t="n"/>
      <c r="JV19" s="6" t="n"/>
      <c r="JW19" s="6" t="n"/>
      <c r="JX19" s="6" t="n"/>
      <c r="JY19" s="6" t="n"/>
      <c r="JZ19" s="6" t="n"/>
      <c r="KA19" s="6" t="n"/>
      <c r="KB19" s="6" t="n"/>
      <c r="KC19" s="6" t="n"/>
      <c r="KD19" s="6" t="n"/>
      <c r="KE19" s="6" t="n"/>
      <c r="KF19" s="6" t="n"/>
      <c r="KG19" s="20">
        <f>IFERROR(ROUND(AVERAGE(JM19,JO19,JQ19,JS19,JU19,JW19,JY19,KA19,KC19,KE19), 2), "")</f>
        <v/>
      </c>
      <c r="KH19" s="6" t="n"/>
      <c r="KI19" s="6" t="n"/>
      <c r="KJ19" s="6" t="n"/>
      <c r="KK19" s="6" t="n"/>
      <c r="KL19" s="6" t="n"/>
      <c r="KM19" s="6" t="n"/>
      <c r="KN19" s="6" t="n"/>
      <c r="KO19" s="6" t="n"/>
      <c r="KP19" s="6" t="n"/>
      <c r="KQ19" s="6" t="n"/>
      <c r="KR19" s="6" t="n"/>
      <c r="KS19" s="6" t="n"/>
      <c r="KT19" s="6" t="n"/>
      <c r="KU19" s="6" t="n"/>
      <c r="KV19" s="6" t="n"/>
      <c r="KW19" s="6" t="n"/>
      <c r="KX19" s="6" t="n"/>
      <c r="KY19" s="6" t="n"/>
      <c r="KZ19" s="6" t="n"/>
      <c r="LA19" s="6" t="n"/>
      <c r="LB19" s="6" t="n"/>
      <c r="LC19" s="6" t="n"/>
      <c r="LD19" s="6" t="n"/>
      <c r="LE19" s="6" t="n"/>
      <c r="LF19" s="6" t="n"/>
      <c r="LG19" s="6" t="n"/>
      <c r="LH19" s="6" t="n"/>
      <c r="LI19" s="6" t="n"/>
      <c r="LJ19" s="6" t="n"/>
      <c r="LK19" s="6" t="n"/>
      <c r="LL19" s="6">
        <f>IF(COUNTA(KH19:LK19)=0, "", SUMPRODUCT(--ISNUMBER(SEARCH("m", KH19:LK19))))</f>
        <v/>
      </c>
      <c r="LM19" s="6">
        <f>IF(COUNTA(KH19:LK19)=0, "", COUNTA(KH19:LK19) - SUMPRODUCT(--ISNUMBER(SEARCH("m", KH19:LK19))))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8">
        <f>IFERROR(ROUND(AVERAGE(AB20,CC20,ED20,GE20,IF20,KG20), 2), "")</f>
        <v/>
      </c>
      <c r="F20" s="14">
        <f>IF(SUM(BH20,DI20,FJ20,HK20,JL20,LM20)=0, "", SUM(BH20,DI20,FJ20,HK20,JL20,LM20))</f>
        <v/>
      </c>
      <c r="G20" s="8">
        <f>IF(SUM(BG20,DH20,FI20,HJ20,JK20,LL20)=0, "", SUM(BG20,DH20,FI20,HJ20,JK20,LL20))</f>
        <v/>
      </c>
      <c r="H20" s="6" t="n"/>
      <c r="I20" s="79" t="n"/>
      <c r="J20" s="6" t="n"/>
      <c r="K20" s="79" t="n"/>
      <c r="L20" s="6" t="n"/>
      <c r="M20" s="79" t="n"/>
      <c r="N20" s="6" t="n"/>
      <c r="O20" s="79" t="n"/>
      <c r="P20" s="6" t="n"/>
      <c r="Q20" s="79" t="n"/>
      <c r="R20" s="18" t="n"/>
      <c r="S20" s="79" t="n"/>
      <c r="T20" s="79" t="n"/>
      <c r="U20" s="79" t="n"/>
      <c r="V20" s="79" t="n"/>
      <c r="W20" s="79" t="n"/>
      <c r="X20" s="79" t="n"/>
      <c r="Y20" s="79" t="n"/>
      <c r="Z20" s="79" t="n"/>
      <c r="AA20" s="18" t="n"/>
      <c r="AB20" s="14">
        <f>IFERROR(ROUND(AVERAGE(H20,J20,L20,N20,P20,R20,T20,V20,X20,Z20), 2), "")</f>
        <v/>
      </c>
      <c r="AC20" s="6" t="n"/>
      <c r="AD20" s="79" t="n"/>
      <c r="AE20" s="6" t="n"/>
      <c r="AF20" s="79" t="n"/>
      <c r="AG20" s="6" t="n"/>
      <c r="AH20" s="79" t="n"/>
      <c r="AI20" s="6" t="n"/>
      <c r="AJ20" s="79" t="n"/>
      <c r="AK20" s="6" t="n"/>
      <c r="AL20" s="79" t="n"/>
      <c r="AM20" s="18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18" t="n"/>
      <c r="AW20" s="19" t="n"/>
      <c r="AX20" s="6" t="n"/>
      <c r="AY20" s="79" t="n"/>
      <c r="AZ20" s="6" t="n"/>
      <c r="BA20" s="79" t="n"/>
      <c r="BB20" s="6" t="n"/>
      <c r="BC20" s="79" t="n"/>
      <c r="BD20" s="6" t="n"/>
      <c r="BE20" s="79" t="n"/>
      <c r="BF20" s="6" t="n"/>
      <c r="BG20" s="79">
        <f>IF(COUNTA(AC20:BF20)=0, "", SUMPRODUCT(--ISNUMBER(SEARCH("m", AC20:BF20))))</f>
        <v/>
      </c>
      <c r="BH20" s="18">
        <f>IF(COUNTA(AC20:BF20)=0, "", COUNTA(AC20:BF20) - SUMPRODUCT(--ISNUMBER(SEARCH("m", AC20:BF20))))</f>
        <v/>
      </c>
      <c r="BI20" s="79" t="n"/>
      <c r="BJ20" s="79" t="n"/>
      <c r="BK20" s="79" t="n"/>
      <c r="BL20" s="79" t="n"/>
      <c r="BM20" s="79" t="n"/>
      <c r="BN20" s="79" t="n"/>
      <c r="BO20" s="79" t="n"/>
      <c r="BP20" s="79" t="n"/>
      <c r="BQ20" s="18" t="n"/>
      <c r="BR20" s="19" t="n"/>
      <c r="BS20" s="6" t="n"/>
      <c r="BT20" s="79" t="n"/>
      <c r="BU20" s="6" t="n"/>
      <c r="BV20" s="79" t="n"/>
      <c r="BW20" s="6" t="n"/>
      <c r="BX20" s="79" t="n"/>
      <c r="BY20" s="6" t="n"/>
      <c r="BZ20" s="79" t="n"/>
      <c r="CA20" s="6" t="n"/>
      <c r="CB20" s="79" t="n"/>
      <c r="CC20" s="8">
        <f>IFERROR(ROUND(AVERAGE(BI20,BK20,BM20,BO20,BQ20,BS20,BU20,BW20,BY20,CA20), 2), "")</f>
        <v/>
      </c>
      <c r="CD20" s="79" t="n"/>
      <c r="CE20" s="79" t="n"/>
      <c r="CF20" s="79" t="n"/>
      <c r="CG20" s="79" t="n"/>
      <c r="CH20" s="79" t="n"/>
      <c r="CI20" s="79" t="n"/>
      <c r="CJ20" s="79" t="n"/>
      <c r="CK20" s="79" t="n"/>
      <c r="CL20" s="18" t="n"/>
      <c r="CM20" s="19" t="n"/>
      <c r="CN20" s="6" t="n"/>
      <c r="CO20" s="79" t="n"/>
      <c r="CP20" s="6" t="n"/>
      <c r="CQ20" s="79" t="n"/>
      <c r="CR20" s="6" t="n"/>
      <c r="CS20" s="79" t="n"/>
      <c r="CT20" s="6" t="n"/>
      <c r="CU20" s="79" t="n"/>
      <c r="CV20" s="6" t="n"/>
      <c r="CW20" s="79" t="n"/>
      <c r="CX20" s="18" t="n"/>
      <c r="CY20" s="79" t="n"/>
      <c r="CZ20" s="79" t="n"/>
      <c r="DA20" s="79" t="n"/>
      <c r="DB20" s="79" t="n"/>
      <c r="DC20" s="79" t="n"/>
      <c r="DD20" s="79" t="n"/>
      <c r="DE20" s="79" t="n"/>
      <c r="DF20" s="79" t="n"/>
      <c r="DG20" s="18" t="n"/>
      <c r="DH20" s="19">
        <f>IF(COUNTA(CD20:DG20)=0, "", SUMPRODUCT(--ISNUMBER(SEARCH("m", CD20:DG20))))</f>
        <v/>
      </c>
      <c r="DI20" s="6">
        <f>IF(COUNTA(CD20:DG20)=0, "", COUNTA(CD20:DG20) - SUMPRODUCT(--ISNUMBER(SEARCH("m", CD20:DG20))))</f>
        <v/>
      </c>
      <c r="DJ20" s="79" t="n"/>
      <c r="DK20" s="6" t="n"/>
      <c r="DL20" s="79" t="n"/>
      <c r="DM20" s="6" t="n"/>
      <c r="DN20" s="79" t="n"/>
      <c r="DO20" s="6" t="n"/>
      <c r="DP20" s="79" t="n"/>
      <c r="DQ20" s="6" t="n"/>
      <c r="DR20" s="79" t="n"/>
      <c r="DS20" s="18" t="n"/>
      <c r="DT20" s="79" t="n"/>
      <c r="DU20" s="79" t="n"/>
      <c r="DV20" s="79" t="n"/>
      <c r="DW20" s="79" t="n"/>
      <c r="DX20" s="79" t="n"/>
      <c r="DY20" s="79" t="n"/>
      <c r="DZ20" s="79" t="n"/>
      <c r="EA20" s="79" t="n"/>
      <c r="EB20" s="18" t="n"/>
      <c r="EC20" s="19" t="n"/>
      <c r="ED20" s="20">
        <f>IFERROR(ROUND(AVERAGE(DJ20,DL20,DN20,DP20,DR20,DT20,DV20,DX20,DZ20,EB20), 2), "")</f>
        <v/>
      </c>
      <c r="EE20" s="6" t="n"/>
      <c r="EF20" s="6" t="n"/>
      <c r="EG20" s="6" t="n"/>
      <c r="EH20" s="6" t="n"/>
      <c r="EI20" s="6" t="n"/>
      <c r="EJ20" s="6" t="n"/>
      <c r="EK20" s="6" t="n"/>
      <c r="EL20" s="6" t="n"/>
      <c r="EM20" s="6" t="n"/>
      <c r="EN20" s="6" t="n"/>
      <c r="EO20" s="6" t="n"/>
      <c r="EP20" s="6" t="n"/>
      <c r="EQ20" s="6" t="n"/>
      <c r="ER20" s="6" t="n"/>
      <c r="ES20" s="6" t="n"/>
      <c r="ET20" s="6" t="n"/>
      <c r="EU20" s="6" t="n"/>
      <c r="EV20" s="6" t="n"/>
      <c r="EW20" s="6" t="n"/>
      <c r="EX20" s="6" t="n"/>
      <c r="EY20" s="6" t="n"/>
      <c r="EZ20" s="6" t="n"/>
      <c r="FA20" s="6" t="n"/>
      <c r="FB20" s="6" t="n"/>
      <c r="FC20" s="6" t="n"/>
      <c r="FD20" s="6" t="n"/>
      <c r="FE20" s="6" t="n"/>
      <c r="FF20" s="6" t="n"/>
      <c r="FG20" s="6" t="n"/>
      <c r="FH20" s="6" t="n"/>
      <c r="FI20" s="6">
        <f>IF(COUNTA(EE20:FH20)=0, "", SUMPRODUCT(--ISNUMBER(SEARCH("m", EE20:FH20))))</f>
        <v/>
      </c>
      <c r="FJ20" s="6">
        <f>IF(COUNTA(EE20:FH20)=0, "", COUNTA(EE20:FH20) - SUMPRODUCT(--ISNUMBER(SEARCH("m", EE20:FH20))))</f>
        <v/>
      </c>
      <c r="FK20" s="6" t="n"/>
      <c r="FL20" s="6" t="n"/>
      <c r="FM20" s="6" t="n"/>
      <c r="FN20" s="6" t="n"/>
      <c r="FO20" s="6" t="n"/>
      <c r="FP20" s="6" t="n"/>
      <c r="FQ20" s="6" t="n"/>
      <c r="FR20" s="6" t="n"/>
      <c r="FS20" s="6" t="n"/>
      <c r="FT20" s="6" t="n"/>
      <c r="FU20" s="6" t="n"/>
      <c r="FV20" s="6" t="n"/>
      <c r="FW20" s="6" t="n"/>
      <c r="FX20" s="6" t="n"/>
      <c r="FY20" s="6" t="n"/>
      <c r="FZ20" s="6" t="n"/>
      <c r="GA20" s="6" t="n"/>
      <c r="GB20" s="6" t="n"/>
      <c r="GC20" s="6" t="n"/>
      <c r="GD20" s="6" t="n"/>
      <c r="GE20" s="20">
        <f>IFERROR(ROUND(AVERAGE(FK20,FM20,FO20,FQ20,FS20,FU20,FW20,FY20,GA20,GC20), 2), "")</f>
        <v/>
      </c>
      <c r="GF20" s="6" t="n"/>
      <c r="GG20" s="6" t="n"/>
      <c r="GH20" s="6" t="n"/>
      <c r="GI20" s="6" t="n"/>
      <c r="GJ20" s="6" t="n"/>
      <c r="GK20" s="6" t="n"/>
      <c r="GL20" s="6" t="n"/>
      <c r="GM20" s="6" t="n"/>
      <c r="GN20" s="6" t="n"/>
      <c r="GO20" s="6" t="n"/>
      <c r="GP20" s="6" t="n"/>
      <c r="GQ20" s="6" t="n"/>
      <c r="GR20" s="6" t="n"/>
      <c r="GS20" s="6" t="n"/>
      <c r="GT20" s="6" t="n"/>
      <c r="GU20" s="6" t="n"/>
      <c r="GV20" s="6" t="n"/>
      <c r="GW20" s="6" t="n"/>
      <c r="GX20" s="6" t="n"/>
      <c r="GY20" s="6" t="n"/>
      <c r="GZ20" s="6" t="n"/>
      <c r="HA20" s="6" t="n"/>
      <c r="HB20" s="6" t="n"/>
      <c r="HC20" s="6" t="n"/>
      <c r="HD20" s="6" t="n"/>
      <c r="HE20" s="6" t="n"/>
      <c r="HF20" s="6" t="n"/>
      <c r="HG20" s="6" t="n"/>
      <c r="HH20" s="6" t="n"/>
      <c r="HI20" s="6" t="n"/>
      <c r="HJ20" s="6">
        <f>IF(COUNTA(GF20:HI20)=0, "", SUMPRODUCT(--ISNUMBER(SEARCH("m", GF20:HI20))))</f>
        <v/>
      </c>
      <c r="HK20" s="6">
        <f>IF(COUNTA(GF20:HI20)=0, "", COUNTA(GF20:HI20) - SUMPRODUCT(--ISNUMBER(SEARCH("m", GF20:HI20))))</f>
        <v/>
      </c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20">
        <f>IFERROR(ROUND(AVERAGE(HL20,HN20,HP20,HR20,HT20,HV20,HX20,HZ20,IB20,ID20), 2), "")</f>
        <v/>
      </c>
      <c r="IG20" s="6" t="n"/>
      <c r="IH20" s="6" t="n"/>
      <c r="II20" s="6" t="n"/>
      <c r="IJ20" s="6" t="n"/>
      <c r="IK20" s="6" t="n"/>
      <c r="IL20" s="6" t="n"/>
      <c r="IM20" s="6" t="n"/>
      <c r="IN20" s="6" t="n"/>
      <c r="IO20" s="6" t="n"/>
      <c r="IP20" s="6" t="n"/>
      <c r="IQ20" s="6" t="n"/>
      <c r="IR20" s="6" t="n"/>
      <c r="IS20" s="6" t="n"/>
      <c r="IT20" s="6" t="n"/>
      <c r="IU20" s="6" t="n"/>
      <c r="IV20" s="6" t="n"/>
      <c r="IW20" s="6" t="n"/>
      <c r="IX20" s="6" t="n"/>
      <c r="IY20" s="6" t="n"/>
      <c r="IZ20" s="6" t="n"/>
      <c r="JA20" s="6" t="n"/>
      <c r="JB20" s="6" t="n"/>
      <c r="JC20" s="6" t="n"/>
      <c r="JD20" s="6" t="n"/>
      <c r="JE20" s="6" t="n"/>
      <c r="JF20" s="6" t="n"/>
      <c r="JG20" s="6" t="n"/>
      <c r="JH20" s="6" t="n"/>
      <c r="JI20" s="6" t="n"/>
      <c r="JJ20" s="6" t="n"/>
      <c r="JK20" s="6">
        <f>IF(COUNTA(IG20:JJ20)=0, "", SUMPRODUCT(--ISNUMBER(SEARCH("m", IG20:JJ20))))</f>
        <v/>
      </c>
      <c r="JL20" s="6">
        <f>IF(COUNTA(IG20:JJ20)=0, "", COUNTA(IG20:JJ20) - SUMPRODUCT(--ISNUMBER(SEARCH("m", IG20:JJ20))))</f>
        <v/>
      </c>
      <c r="JM20" s="6" t="n"/>
      <c r="JN20" s="6" t="n"/>
      <c r="JO20" s="6" t="n"/>
      <c r="JP20" s="6" t="n"/>
      <c r="JQ20" s="6" t="n"/>
      <c r="JR20" s="6" t="n"/>
      <c r="JS20" s="6" t="n"/>
      <c r="JT20" s="6" t="n"/>
      <c r="JU20" s="6" t="n"/>
      <c r="JV20" s="6" t="n"/>
      <c r="JW20" s="6" t="n"/>
      <c r="JX20" s="6" t="n"/>
      <c r="JY20" s="6" t="n"/>
      <c r="JZ20" s="6" t="n"/>
      <c r="KA20" s="6" t="n"/>
      <c r="KB20" s="6" t="n"/>
      <c r="KC20" s="6" t="n"/>
      <c r="KD20" s="6" t="n"/>
      <c r="KE20" s="6" t="n"/>
      <c r="KF20" s="6" t="n"/>
      <c r="KG20" s="20">
        <f>IFERROR(ROUND(AVERAGE(JM20,JO20,JQ20,JS20,JU20,JW20,JY20,KA20,KC20,KE20), 2), "")</f>
        <v/>
      </c>
      <c r="KH20" s="6" t="n"/>
      <c r="KI20" s="6" t="n"/>
      <c r="KJ20" s="6" t="n"/>
      <c r="KK20" s="6" t="n"/>
      <c r="KL20" s="6" t="n"/>
      <c r="KM20" s="6" t="n"/>
      <c r="KN20" s="6" t="n"/>
      <c r="KO20" s="6" t="n"/>
      <c r="KP20" s="6" t="n"/>
      <c r="KQ20" s="6" t="n"/>
      <c r="KR20" s="6" t="n"/>
      <c r="KS20" s="6" t="n"/>
      <c r="KT20" s="6" t="n"/>
      <c r="KU20" s="6" t="n"/>
      <c r="KV20" s="6" t="n"/>
      <c r="KW20" s="6" t="n"/>
      <c r="KX20" s="6" t="n"/>
      <c r="KY20" s="6" t="n"/>
      <c r="KZ20" s="6" t="n"/>
      <c r="LA20" s="6" t="n"/>
      <c r="LB20" s="6" t="n"/>
      <c r="LC20" s="6" t="n"/>
      <c r="LD20" s="6" t="n"/>
      <c r="LE20" s="6" t="n"/>
      <c r="LF20" s="6" t="n"/>
      <c r="LG20" s="6" t="n"/>
      <c r="LH20" s="6" t="n"/>
      <c r="LI20" s="6" t="n"/>
      <c r="LJ20" s="6" t="n"/>
      <c r="LK20" s="6" t="n"/>
      <c r="LL20" s="6">
        <f>IF(COUNTA(KH20:LK20)=0, "", SUMPRODUCT(--ISNUMBER(SEARCH("m", KH20:LK20))))</f>
        <v/>
      </c>
      <c r="LM20" s="6">
        <f>IF(COUNTA(KH20:LK20)=0, "", COUNTA(KH20:LK20) - SUMPRODUCT(--ISNUMBER(SEARCH("m", KH20:LK20))))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8">
        <f>IFERROR(ROUND(AVERAGE(AB21,CC21,ED21,GE21,IF21,KG21), 2), "")</f>
        <v/>
      </c>
      <c r="F21" s="14">
        <f>IF(SUM(BH21,DI21,FJ21,HK21,JL21,LM21)=0, "", SUM(BH21,DI21,FJ21,HK21,JL21,LM21))</f>
        <v/>
      </c>
      <c r="G21" s="8">
        <f>IF(SUM(BG21,DH21,FI21,HJ21,JK21,LL21)=0, "", SUM(BG21,DH21,FI21,HJ21,JK21,LL21))</f>
        <v/>
      </c>
      <c r="H21" s="6" t="n"/>
      <c r="I21" s="79" t="n"/>
      <c r="J21" s="6" t="n"/>
      <c r="K21" s="79" t="n"/>
      <c r="L21" s="6" t="n"/>
      <c r="M21" s="79" t="n"/>
      <c r="N21" s="6" t="n"/>
      <c r="O21" s="79" t="n"/>
      <c r="P21" s="6" t="n"/>
      <c r="Q21" s="79" t="n"/>
      <c r="R21" s="18" t="n"/>
      <c r="S21" s="79" t="n"/>
      <c r="T21" s="79" t="n"/>
      <c r="U21" s="79" t="n"/>
      <c r="V21" s="79" t="n"/>
      <c r="W21" s="79" t="n"/>
      <c r="X21" s="79" t="n"/>
      <c r="Y21" s="79" t="n"/>
      <c r="Z21" s="79" t="n"/>
      <c r="AA21" s="18" t="n"/>
      <c r="AB21" s="14">
        <f>IFERROR(ROUND(AVERAGE(H21,J21,L21,N21,P21,R21,T21,V21,X21,Z21), 2), "")</f>
        <v/>
      </c>
      <c r="AC21" s="6" t="n"/>
      <c r="AD21" s="79" t="n"/>
      <c r="AE21" s="6" t="n"/>
      <c r="AF21" s="79" t="n"/>
      <c r="AG21" s="6" t="n"/>
      <c r="AH21" s="79" t="n"/>
      <c r="AI21" s="6" t="n"/>
      <c r="AJ21" s="79" t="n"/>
      <c r="AK21" s="6" t="n"/>
      <c r="AL21" s="79" t="n"/>
      <c r="AM21" s="18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18" t="n"/>
      <c r="AW21" s="19" t="n"/>
      <c r="AX21" s="6" t="n"/>
      <c r="AY21" s="79" t="n"/>
      <c r="AZ21" s="6" t="n"/>
      <c r="BA21" s="79" t="n"/>
      <c r="BB21" s="6" t="n"/>
      <c r="BC21" s="79" t="n"/>
      <c r="BD21" s="6" t="n"/>
      <c r="BE21" s="79" t="n"/>
      <c r="BF21" s="6" t="n"/>
      <c r="BG21" s="79">
        <f>IF(COUNTA(AC21:BF21)=0, "", SUMPRODUCT(--ISNUMBER(SEARCH("m", AC21:BF21))))</f>
        <v/>
      </c>
      <c r="BH21" s="18">
        <f>IF(COUNTA(AC21:BF21)=0, "", COUNTA(AC21:BF21) - SUMPRODUCT(--ISNUMBER(SEARCH("m", AC21:BF21))))</f>
        <v/>
      </c>
      <c r="BI21" s="79" t="n"/>
      <c r="BJ21" s="79" t="n"/>
      <c r="BK21" s="79" t="n"/>
      <c r="BL21" s="79" t="n"/>
      <c r="BM21" s="79" t="n"/>
      <c r="BN21" s="79" t="n"/>
      <c r="BO21" s="79" t="n"/>
      <c r="BP21" s="79" t="n"/>
      <c r="BQ21" s="18" t="n"/>
      <c r="BR21" s="19" t="n"/>
      <c r="BS21" s="6" t="n"/>
      <c r="BT21" s="79" t="n"/>
      <c r="BU21" s="6" t="n"/>
      <c r="BV21" s="79" t="n"/>
      <c r="BW21" s="6" t="n"/>
      <c r="BX21" s="79" t="n"/>
      <c r="BY21" s="6" t="n"/>
      <c r="BZ21" s="79" t="n"/>
      <c r="CA21" s="6" t="n"/>
      <c r="CB21" s="79" t="n"/>
      <c r="CC21" s="8">
        <f>IFERROR(ROUND(AVERAGE(BI21,BK21,BM21,BO21,BQ21,BS21,BU21,BW21,BY21,CA21), 2), "")</f>
        <v/>
      </c>
      <c r="CD21" s="79" t="n"/>
      <c r="CE21" s="79" t="n"/>
      <c r="CF21" s="79" t="n"/>
      <c r="CG21" s="79" t="n"/>
      <c r="CH21" s="79" t="n"/>
      <c r="CI21" s="79" t="n"/>
      <c r="CJ21" s="79" t="n"/>
      <c r="CK21" s="79" t="n"/>
      <c r="CL21" s="18" t="n"/>
      <c r="CM21" s="19" t="n"/>
      <c r="CN21" s="6" t="n"/>
      <c r="CO21" s="79" t="n"/>
      <c r="CP21" s="6" t="n"/>
      <c r="CQ21" s="79" t="n"/>
      <c r="CR21" s="6" t="n"/>
      <c r="CS21" s="79" t="n"/>
      <c r="CT21" s="6" t="n"/>
      <c r="CU21" s="79" t="n"/>
      <c r="CV21" s="6" t="n"/>
      <c r="CW21" s="79" t="n"/>
      <c r="CX21" s="18" t="n"/>
      <c r="CY21" s="79" t="n"/>
      <c r="CZ21" s="79" t="n"/>
      <c r="DA21" s="79" t="n"/>
      <c r="DB21" s="79" t="n"/>
      <c r="DC21" s="79" t="n"/>
      <c r="DD21" s="79" t="n"/>
      <c r="DE21" s="79" t="n"/>
      <c r="DF21" s="79" t="n"/>
      <c r="DG21" s="18" t="n"/>
      <c r="DH21" s="19">
        <f>IF(COUNTA(CD21:DG21)=0, "", SUMPRODUCT(--ISNUMBER(SEARCH("m", CD21:DG21))))</f>
        <v/>
      </c>
      <c r="DI21" s="6">
        <f>IF(COUNTA(CD21:DG21)=0, "", COUNTA(CD21:DG21) - SUMPRODUCT(--ISNUMBER(SEARCH("m", CD21:DG21))))</f>
        <v/>
      </c>
      <c r="DJ21" s="79" t="n"/>
      <c r="DK21" s="6" t="n"/>
      <c r="DL21" s="79" t="n"/>
      <c r="DM21" s="6" t="n"/>
      <c r="DN21" s="79" t="n"/>
      <c r="DO21" s="6" t="n"/>
      <c r="DP21" s="79" t="n"/>
      <c r="DQ21" s="6" t="n"/>
      <c r="DR21" s="79" t="n"/>
      <c r="DS21" s="18" t="n"/>
      <c r="DT21" s="79" t="n"/>
      <c r="DU21" s="79" t="n"/>
      <c r="DV21" s="79" t="n"/>
      <c r="DW21" s="79" t="n"/>
      <c r="DX21" s="79" t="n"/>
      <c r="DY21" s="79" t="n"/>
      <c r="DZ21" s="79" t="n"/>
      <c r="EA21" s="79" t="n"/>
      <c r="EB21" s="18" t="n"/>
      <c r="EC21" s="19" t="n"/>
      <c r="ED21" s="20">
        <f>IFERROR(ROUND(AVERAGE(DJ21,DL21,DN21,DP21,DR21,DT21,DV21,DX21,DZ21,EB21), 2), "")</f>
        <v/>
      </c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>
        <f>IF(COUNTA(EE21:FH21)=0, "", SUMPRODUCT(--ISNUMBER(SEARCH("m", EE21:FH21))))</f>
        <v/>
      </c>
      <c r="FJ21" s="6">
        <f>IF(COUNTA(EE21:FH21)=0, "", COUNTA(EE21:FH21) - SUMPRODUCT(--ISNUMBER(SEARCH("m", EE21:FH21))))</f>
        <v/>
      </c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20">
        <f>IFERROR(ROUND(AVERAGE(FK21,FM21,FO21,FQ21,FS21,FU21,FW21,FY21,GA21,GC21), 2), "")</f>
        <v/>
      </c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>
        <f>IF(COUNTA(GF21:HI21)=0, "", SUMPRODUCT(--ISNUMBER(SEARCH("m", GF21:HI21))))</f>
        <v/>
      </c>
      <c r="HK21" s="6">
        <f>IF(COUNTA(GF21:HI21)=0, "", COUNTA(GF21:HI21) - SUMPRODUCT(--ISNUMBER(SEARCH("m", GF21:HI21))))</f>
        <v/>
      </c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20">
        <f>IFERROR(ROUND(AVERAGE(HL21,HN21,HP21,HR21,HT21,HV21,HX21,HZ21,IB21,ID21), 2), "")</f>
        <v/>
      </c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>
        <f>IF(COUNTA(IG21:JJ21)=0, "", SUMPRODUCT(--ISNUMBER(SEARCH("m", IG21:JJ21))))</f>
        <v/>
      </c>
      <c r="JL21" s="6">
        <f>IF(COUNTA(IG21:JJ21)=0, "", COUNTA(IG21:JJ21) - SUMPRODUCT(--ISNUMBER(SEARCH("m", IG21:JJ21))))</f>
        <v/>
      </c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20">
        <f>IFERROR(ROUND(AVERAGE(JM21,JO21,JQ21,JS21,JU21,JW21,JY21,KA21,KC21,KE21), 2), "")</f>
        <v/>
      </c>
      <c r="KH21" s="6" t="n"/>
      <c r="KI21" s="6" t="n"/>
      <c r="KJ21" s="6" t="n"/>
      <c r="KK21" s="6" t="n"/>
      <c r="KL21" s="6" t="n"/>
      <c r="KM21" s="6" t="n"/>
      <c r="KN21" s="6" t="n"/>
      <c r="KO21" s="6" t="n"/>
      <c r="KP21" s="6" t="n"/>
      <c r="KQ21" s="6" t="n"/>
      <c r="KR21" s="6" t="n"/>
      <c r="KS21" s="6" t="n"/>
      <c r="KT21" s="6" t="n"/>
      <c r="KU21" s="6" t="n"/>
      <c r="KV21" s="6" t="n"/>
      <c r="KW21" s="6" t="n"/>
      <c r="KX21" s="6" t="n"/>
      <c r="KY21" s="6" t="n"/>
      <c r="KZ21" s="6" t="n"/>
      <c r="LA21" s="6" t="n"/>
      <c r="LB21" s="6" t="n"/>
      <c r="LC21" s="6" t="n"/>
      <c r="LD21" s="6" t="n"/>
      <c r="LE21" s="6" t="n"/>
      <c r="LF21" s="6" t="n"/>
      <c r="LG21" s="6" t="n"/>
      <c r="LH21" s="6" t="n"/>
      <c r="LI21" s="6" t="n"/>
      <c r="LJ21" s="6" t="n"/>
      <c r="LK21" s="6" t="n"/>
      <c r="LL21" s="6">
        <f>IF(COUNTA(KH21:LK21)=0, "", SUMPRODUCT(--ISNUMBER(SEARCH("m", KH21:LK21))))</f>
        <v/>
      </c>
      <c r="LM21" s="6">
        <f>IF(COUNTA(KH21:LK21)=0, "", COUNTA(KH21:LK21) - SUMPRODUCT(--ISNUMBER(SEARCH("m", KH21:LK21))))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8">
        <f>IFERROR(ROUND(AVERAGE(AB22,CC22,ED22,GE22,IF22,KG22), 2), "")</f>
        <v/>
      </c>
      <c r="F22" s="14">
        <f>IF(SUM(BH22,DI22,FJ22,HK22,JL22,LM22)=0, "", SUM(BH22,DI22,FJ22,HK22,JL22,LM22))</f>
        <v/>
      </c>
      <c r="G22" s="8">
        <f>IF(SUM(BG22,DH22,FI22,HJ22,JK22,LL22)=0, "", SUM(BG22,DH22,FI22,HJ22,JK22,LL22))</f>
        <v/>
      </c>
      <c r="H22" s="6" t="n"/>
      <c r="I22" s="79" t="n"/>
      <c r="J22" s="6" t="n"/>
      <c r="K22" s="79" t="n"/>
      <c r="L22" s="6" t="n"/>
      <c r="M22" s="79" t="n"/>
      <c r="N22" s="6" t="n"/>
      <c r="O22" s="79" t="n"/>
      <c r="P22" s="6" t="n"/>
      <c r="Q22" s="79" t="n"/>
      <c r="R22" s="18" t="n"/>
      <c r="S22" s="79" t="n"/>
      <c r="T22" s="79" t="n"/>
      <c r="U22" s="79" t="n"/>
      <c r="V22" s="79" t="n"/>
      <c r="W22" s="79" t="n"/>
      <c r="X22" s="79" t="n"/>
      <c r="Y22" s="79" t="n"/>
      <c r="Z22" s="79" t="n"/>
      <c r="AA22" s="18" t="n"/>
      <c r="AB22" s="14">
        <f>IFERROR(ROUND(AVERAGE(H22,J22,L22,N22,P22,R22,T22,V22,X22,Z22), 2), "")</f>
        <v/>
      </c>
      <c r="AC22" s="6" t="n"/>
      <c r="AD22" s="79" t="n"/>
      <c r="AE22" s="6" t="n"/>
      <c r="AF22" s="79" t="n"/>
      <c r="AG22" s="6" t="n"/>
      <c r="AH22" s="79" t="n"/>
      <c r="AI22" s="6" t="n"/>
      <c r="AJ22" s="79" t="n"/>
      <c r="AK22" s="6" t="n"/>
      <c r="AL22" s="79" t="n"/>
      <c r="AM22" s="18" t="n"/>
      <c r="AN22" s="79" t="n"/>
      <c r="AO22" s="79" t="n"/>
      <c r="AP22" s="79" t="n"/>
      <c r="AQ22" s="79" t="n"/>
      <c r="AR22" s="79" t="n"/>
      <c r="AS22" s="79" t="n"/>
      <c r="AT22" s="79" t="n"/>
      <c r="AU22" s="79" t="n"/>
      <c r="AV22" s="18" t="n"/>
      <c r="AW22" s="19" t="n"/>
      <c r="AX22" s="6" t="n"/>
      <c r="AY22" s="79" t="n"/>
      <c r="AZ22" s="6" t="n"/>
      <c r="BA22" s="79" t="n"/>
      <c r="BB22" s="6" t="n"/>
      <c r="BC22" s="79" t="n"/>
      <c r="BD22" s="6" t="n"/>
      <c r="BE22" s="79" t="n"/>
      <c r="BF22" s="6" t="n"/>
      <c r="BG22" s="79">
        <f>IF(COUNTA(AC22:BF22)=0, "", SUMPRODUCT(--ISNUMBER(SEARCH("m", AC22:BF22))))</f>
        <v/>
      </c>
      <c r="BH22" s="18">
        <f>IF(COUNTA(AC22:BF22)=0, "", COUNTA(AC22:BF22) - SUMPRODUCT(--ISNUMBER(SEARCH("m", AC22:BF22))))</f>
        <v/>
      </c>
      <c r="BI22" s="79" t="n"/>
      <c r="BJ22" s="79" t="n"/>
      <c r="BK22" s="79" t="n"/>
      <c r="BL22" s="79" t="n"/>
      <c r="BM22" s="79" t="n"/>
      <c r="BN22" s="79" t="n"/>
      <c r="BO22" s="79" t="n"/>
      <c r="BP22" s="79" t="n"/>
      <c r="BQ22" s="18" t="n"/>
      <c r="BR22" s="19" t="n"/>
      <c r="BS22" s="6" t="n"/>
      <c r="BT22" s="79" t="n"/>
      <c r="BU22" s="6" t="n"/>
      <c r="BV22" s="79" t="n"/>
      <c r="BW22" s="6" t="n"/>
      <c r="BX22" s="79" t="n"/>
      <c r="BY22" s="6" t="n"/>
      <c r="BZ22" s="79" t="n"/>
      <c r="CA22" s="6" t="n"/>
      <c r="CB22" s="79" t="n"/>
      <c r="CC22" s="8">
        <f>IFERROR(ROUND(AVERAGE(BI22,BK22,BM22,BO22,BQ22,BS22,BU22,BW22,BY22,CA22), 2), "")</f>
        <v/>
      </c>
      <c r="CD22" s="79" t="n"/>
      <c r="CE22" s="79" t="n"/>
      <c r="CF22" s="79" t="n"/>
      <c r="CG22" s="79" t="n"/>
      <c r="CH22" s="79" t="n"/>
      <c r="CI22" s="79" t="n"/>
      <c r="CJ22" s="79" t="n"/>
      <c r="CK22" s="79" t="n"/>
      <c r="CL22" s="18" t="n"/>
      <c r="CM22" s="19" t="n"/>
      <c r="CN22" s="6" t="n"/>
      <c r="CO22" s="79" t="n"/>
      <c r="CP22" s="6" t="n"/>
      <c r="CQ22" s="79" t="n"/>
      <c r="CR22" s="6" t="n"/>
      <c r="CS22" s="79" t="n"/>
      <c r="CT22" s="6" t="n"/>
      <c r="CU22" s="79" t="n"/>
      <c r="CV22" s="6" t="n"/>
      <c r="CW22" s="79" t="n"/>
      <c r="CX22" s="18" t="n"/>
      <c r="CY22" s="79" t="n"/>
      <c r="CZ22" s="79" t="n"/>
      <c r="DA22" s="79" t="n"/>
      <c r="DB22" s="79" t="n"/>
      <c r="DC22" s="79" t="n"/>
      <c r="DD22" s="79" t="n"/>
      <c r="DE22" s="79" t="n"/>
      <c r="DF22" s="79" t="n"/>
      <c r="DG22" s="18" t="n"/>
      <c r="DH22" s="19">
        <f>IF(COUNTA(CD22:DG22)=0, "", SUMPRODUCT(--ISNUMBER(SEARCH("m", CD22:DG22))))</f>
        <v/>
      </c>
      <c r="DI22" s="6">
        <f>IF(COUNTA(CD22:DG22)=0, "", COUNTA(CD22:DG22) - SUMPRODUCT(--ISNUMBER(SEARCH("m", CD22:DG22))))</f>
        <v/>
      </c>
      <c r="DJ22" s="79" t="n"/>
      <c r="DK22" s="6" t="n"/>
      <c r="DL22" s="79" t="n"/>
      <c r="DM22" s="6" t="n"/>
      <c r="DN22" s="79" t="n"/>
      <c r="DO22" s="6" t="n"/>
      <c r="DP22" s="79" t="n"/>
      <c r="DQ22" s="6" t="n"/>
      <c r="DR22" s="79" t="n"/>
      <c r="DS22" s="18" t="n"/>
      <c r="DT22" s="79" t="n"/>
      <c r="DU22" s="79" t="n"/>
      <c r="DV22" s="79" t="n"/>
      <c r="DW22" s="79" t="n"/>
      <c r="DX22" s="79" t="n"/>
      <c r="DY22" s="79" t="n"/>
      <c r="DZ22" s="79" t="n"/>
      <c r="EA22" s="79" t="n"/>
      <c r="EB22" s="18" t="n"/>
      <c r="EC22" s="19" t="n"/>
      <c r="ED22" s="20">
        <f>IFERROR(ROUND(AVERAGE(DJ22,DL22,DN22,DP22,DR22,DT22,DV22,DX22,DZ22,EB22), 2), "")</f>
        <v/>
      </c>
      <c r="EE22" s="6" t="n"/>
      <c r="EF22" s="6" t="n"/>
      <c r="EG22" s="6" t="n"/>
      <c r="EH22" s="6" t="n"/>
      <c r="EI22" s="6" t="n"/>
      <c r="EJ22" s="6" t="n"/>
      <c r="EK22" s="6" t="n"/>
      <c r="EL22" s="6" t="n"/>
      <c r="EM22" s="6" t="n"/>
      <c r="EN22" s="6" t="n"/>
      <c r="EO22" s="6" t="n"/>
      <c r="EP22" s="6" t="n"/>
      <c r="EQ22" s="6" t="n"/>
      <c r="ER22" s="6" t="n"/>
      <c r="ES22" s="6" t="n"/>
      <c r="ET22" s="6" t="n"/>
      <c r="EU22" s="6" t="n"/>
      <c r="EV22" s="6" t="n"/>
      <c r="EW22" s="6" t="n"/>
      <c r="EX22" s="6" t="n"/>
      <c r="EY22" s="6" t="n"/>
      <c r="EZ22" s="6" t="n"/>
      <c r="FA22" s="6" t="n"/>
      <c r="FB22" s="6" t="n"/>
      <c r="FC22" s="6" t="n"/>
      <c r="FD22" s="6" t="n"/>
      <c r="FE22" s="6" t="n"/>
      <c r="FF22" s="6" t="n"/>
      <c r="FG22" s="6" t="n"/>
      <c r="FH22" s="6" t="n"/>
      <c r="FI22" s="6">
        <f>IF(COUNTA(EE22:FH22)=0, "", SUMPRODUCT(--ISNUMBER(SEARCH("m", EE22:FH22))))</f>
        <v/>
      </c>
      <c r="FJ22" s="6">
        <f>IF(COUNTA(EE22:FH22)=0, "", COUNTA(EE22:FH22) - SUMPRODUCT(--ISNUMBER(SEARCH("m", EE22:FH22))))</f>
        <v/>
      </c>
      <c r="FK22" s="6" t="n"/>
      <c r="FL22" s="6" t="n"/>
      <c r="FM22" s="6" t="n"/>
      <c r="FN22" s="6" t="n"/>
      <c r="FO22" s="6" t="n"/>
      <c r="FP22" s="6" t="n"/>
      <c r="FQ22" s="6" t="n"/>
      <c r="FR22" s="6" t="n"/>
      <c r="FS22" s="6" t="n"/>
      <c r="FT22" s="6" t="n"/>
      <c r="FU22" s="6" t="n"/>
      <c r="FV22" s="6" t="n"/>
      <c r="FW22" s="6" t="n"/>
      <c r="FX22" s="6" t="n"/>
      <c r="FY22" s="6" t="n"/>
      <c r="FZ22" s="6" t="n"/>
      <c r="GA22" s="6" t="n"/>
      <c r="GB22" s="6" t="n"/>
      <c r="GC22" s="6" t="n"/>
      <c r="GD22" s="6" t="n"/>
      <c r="GE22" s="20">
        <f>IFERROR(ROUND(AVERAGE(FK22,FM22,FO22,FQ22,FS22,FU22,FW22,FY22,GA22,GC22), 2), "")</f>
        <v/>
      </c>
      <c r="GF22" s="6" t="n"/>
      <c r="GG22" s="6" t="n"/>
      <c r="GH22" s="6" t="n"/>
      <c r="GI22" s="6" t="n"/>
      <c r="GJ22" s="6" t="n"/>
      <c r="GK22" s="6" t="n"/>
      <c r="GL22" s="6" t="n"/>
      <c r="GM22" s="6" t="n"/>
      <c r="GN22" s="6" t="n"/>
      <c r="GO22" s="6" t="n"/>
      <c r="GP22" s="6" t="n"/>
      <c r="GQ22" s="6" t="n"/>
      <c r="GR22" s="6" t="n"/>
      <c r="GS22" s="6" t="n"/>
      <c r="GT22" s="6" t="n"/>
      <c r="GU22" s="6" t="n"/>
      <c r="GV22" s="6" t="n"/>
      <c r="GW22" s="6" t="n"/>
      <c r="GX22" s="6" t="n"/>
      <c r="GY22" s="6" t="n"/>
      <c r="GZ22" s="6" t="n"/>
      <c r="HA22" s="6" t="n"/>
      <c r="HB22" s="6" t="n"/>
      <c r="HC22" s="6" t="n"/>
      <c r="HD22" s="6" t="n"/>
      <c r="HE22" s="6" t="n"/>
      <c r="HF22" s="6" t="n"/>
      <c r="HG22" s="6" t="n"/>
      <c r="HH22" s="6" t="n"/>
      <c r="HI22" s="6" t="n"/>
      <c r="HJ22" s="6">
        <f>IF(COUNTA(GF22:HI22)=0, "", SUMPRODUCT(--ISNUMBER(SEARCH("m", GF22:HI22))))</f>
        <v/>
      </c>
      <c r="HK22" s="6">
        <f>IF(COUNTA(GF22:HI22)=0, "", COUNTA(GF22:HI22) - SUMPRODUCT(--ISNUMBER(SEARCH("m", GF22:HI22))))</f>
        <v/>
      </c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20">
        <f>IFERROR(ROUND(AVERAGE(HL22,HN22,HP22,HR22,HT22,HV22,HX22,HZ22,IB22,ID22), 2), "")</f>
        <v/>
      </c>
      <c r="IG22" s="6" t="n"/>
      <c r="IH22" s="6" t="n"/>
      <c r="II22" s="6" t="n"/>
      <c r="IJ22" s="6" t="n"/>
      <c r="IK22" s="6" t="n"/>
      <c r="IL22" s="6" t="n"/>
      <c r="IM22" s="6" t="n"/>
      <c r="IN22" s="6" t="n"/>
      <c r="IO22" s="6" t="n"/>
      <c r="IP22" s="6" t="n"/>
      <c r="IQ22" s="6" t="n"/>
      <c r="IR22" s="6" t="n"/>
      <c r="IS22" s="6" t="n"/>
      <c r="IT22" s="6" t="n"/>
      <c r="IU22" s="6" t="n"/>
      <c r="IV22" s="6" t="n"/>
      <c r="IW22" s="6" t="n"/>
      <c r="IX22" s="6" t="n"/>
      <c r="IY22" s="6" t="n"/>
      <c r="IZ22" s="6" t="n"/>
      <c r="JA22" s="6" t="n"/>
      <c r="JB22" s="6" t="n"/>
      <c r="JC22" s="6" t="n"/>
      <c r="JD22" s="6" t="n"/>
      <c r="JE22" s="6" t="n"/>
      <c r="JF22" s="6" t="n"/>
      <c r="JG22" s="6" t="n"/>
      <c r="JH22" s="6" t="n"/>
      <c r="JI22" s="6" t="n"/>
      <c r="JJ22" s="6" t="n"/>
      <c r="JK22" s="6">
        <f>IF(COUNTA(IG22:JJ22)=0, "", SUMPRODUCT(--ISNUMBER(SEARCH("m", IG22:JJ22))))</f>
        <v/>
      </c>
      <c r="JL22" s="6">
        <f>IF(COUNTA(IG22:JJ22)=0, "", COUNTA(IG22:JJ22) - SUMPRODUCT(--ISNUMBER(SEARCH("m", IG22:JJ22))))</f>
        <v/>
      </c>
      <c r="JM22" s="6" t="n"/>
      <c r="JN22" s="6" t="n"/>
      <c r="JO22" s="6" t="n"/>
      <c r="JP22" s="6" t="n"/>
      <c r="JQ22" s="6" t="n"/>
      <c r="JR22" s="6" t="n"/>
      <c r="JS22" s="6" t="n"/>
      <c r="JT22" s="6" t="n"/>
      <c r="JU22" s="6" t="n"/>
      <c r="JV22" s="6" t="n"/>
      <c r="JW22" s="6" t="n"/>
      <c r="JX22" s="6" t="n"/>
      <c r="JY22" s="6" t="n"/>
      <c r="JZ22" s="6" t="n"/>
      <c r="KA22" s="6" t="n"/>
      <c r="KB22" s="6" t="n"/>
      <c r="KC22" s="6" t="n"/>
      <c r="KD22" s="6" t="n"/>
      <c r="KE22" s="6" t="n"/>
      <c r="KF22" s="6" t="n"/>
      <c r="KG22" s="20">
        <f>IFERROR(ROUND(AVERAGE(JM22,JO22,JQ22,JS22,JU22,JW22,JY22,KA22,KC22,KE22), 2), "")</f>
        <v/>
      </c>
      <c r="KH22" s="6" t="n"/>
      <c r="KI22" s="6" t="n"/>
      <c r="KJ22" s="6" t="n"/>
      <c r="KK22" s="6" t="n"/>
      <c r="KL22" s="6" t="n"/>
      <c r="KM22" s="6" t="n"/>
      <c r="KN22" s="6" t="n"/>
      <c r="KO22" s="6" t="n"/>
      <c r="KP22" s="6" t="n"/>
      <c r="KQ22" s="6" t="n"/>
      <c r="KR22" s="6" t="n"/>
      <c r="KS22" s="6" t="n"/>
      <c r="KT22" s="6" t="n"/>
      <c r="KU22" s="6" t="n"/>
      <c r="KV22" s="6" t="n"/>
      <c r="KW22" s="6" t="n"/>
      <c r="KX22" s="6" t="n"/>
      <c r="KY22" s="6" t="n"/>
      <c r="KZ22" s="6" t="n"/>
      <c r="LA22" s="6" t="n"/>
      <c r="LB22" s="6" t="n"/>
      <c r="LC22" s="6" t="n"/>
      <c r="LD22" s="6" t="n"/>
      <c r="LE22" s="6" t="n"/>
      <c r="LF22" s="6" t="n"/>
      <c r="LG22" s="6" t="n"/>
      <c r="LH22" s="6" t="n"/>
      <c r="LI22" s="6" t="n"/>
      <c r="LJ22" s="6" t="n"/>
      <c r="LK22" s="6" t="n"/>
      <c r="LL22" s="6">
        <f>IF(COUNTA(KH22:LK22)=0, "", SUMPRODUCT(--ISNUMBER(SEARCH("m", KH22:LK22))))</f>
        <v/>
      </c>
      <c r="LM22" s="6">
        <f>IF(COUNTA(KH22:LK22)=0, "", COUNTA(KH22:LK22) - SUMPRODUCT(--ISNUMBER(SEARCH("m", KH22:LK22))))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8">
        <f>IFERROR(ROUND(AVERAGE(AB23,CC23,ED23,GE23,IF23,KG23), 2), "")</f>
        <v/>
      </c>
      <c r="F23" s="14">
        <f>IF(SUM(BH23,DI23,FJ23,HK23,JL23,LM23)=0, "", SUM(BH23,DI23,FJ23,HK23,JL23,LM23))</f>
        <v/>
      </c>
      <c r="G23" s="8">
        <f>IF(SUM(BG23,DH23,FI23,HJ23,JK23,LL23)=0, "", SUM(BG23,DH23,FI23,HJ23,JK23,LL23))</f>
        <v/>
      </c>
      <c r="H23" s="6" t="n"/>
      <c r="I23" s="79" t="n"/>
      <c r="J23" s="6" t="n"/>
      <c r="K23" s="79" t="n"/>
      <c r="L23" s="6" t="n"/>
      <c r="M23" s="79" t="n"/>
      <c r="N23" s="6" t="n"/>
      <c r="O23" s="79" t="n"/>
      <c r="P23" s="6" t="n"/>
      <c r="Q23" s="79" t="n"/>
      <c r="R23" s="18" t="n"/>
      <c r="S23" s="79" t="n"/>
      <c r="T23" s="79" t="n"/>
      <c r="U23" s="79" t="n"/>
      <c r="V23" s="79" t="n"/>
      <c r="W23" s="79" t="n"/>
      <c r="X23" s="79" t="n"/>
      <c r="Y23" s="79" t="n"/>
      <c r="Z23" s="79" t="n"/>
      <c r="AA23" s="18" t="n"/>
      <c r="AB23" s="14">
        <f>IFERROR(ROUND(AVERAGE(H23,J23,L23,N23,P23,R23,T23,V23,X23,Z23), 2), "")</f>
        <v/>
      </c>
      <c r="AC23" s="6" t="n"/>
      <c r="AD23" s="79" t="n"/>
      <c r="AE23" s="6" t="n"/>
      <c r="AF23" s="79" t="n"/>
      <c r="AG23" s="6" t="n"/>
      <c r="AH23" s="79" t="n"/>
      <c r="AI23" s="6" t="n"/>
      <c r="AJ23" s="79" t="n"/>
      <c r="AK23" s="6" t="n"/>
      <c r="AL23" s="79" t="n"/>
      <c r="AM23" s="18" t="n"/>
      <c r="AN23" s="79" t="n"/>
      <c r="AO23" s="79" t="n"/>
      <c r="AP23" s="79" t="n"/>
      <c r="AQ23" s="79" t="n"/>
      <c r="AR23" s="79" t="n"/>
      <c r="AS23" s="79" t="n"/>
      <c r="AT23" s="79" t="n"/>
      <c r="AU23" s="79" t="n"/>
      <c r="AV23" s="18" t="n"/>
      <c r="AW23" s="19" t="n"/>
      <c r="AX23" s="6" t="n"/>
      <c r="AY23" s="79" t="n"/>
      <c r="AZ23" s="6" t="n"/>
      <c r="BA23" s="79" t="n"/>
      <c r="BB23" s="6" t="n"/>
      <c r="BC23" s="79" t="n"/>
      <c r="BD23" s="6" t="n"/>
      <c r="BE23" s="79" t="n"/>
      <c r="BF23" s="6" t="n"/>
      <c r="BG23" s="79">
        <f>IF(COUNTA(AC23:BF23)=0, "", SUMPRODUCT(--ISNUMBER(SEARCH("m", AC23:BF23))))</f>
        <v/>
      </c>
      <c r="BH23" s="18">
        <f>IF(COUNTA(AC23:BF23)=0, "", COUNTA(AC23:BF23) - SUMPRODUCT(--ISNUMBER(SEARCH("m", AC23:BF23))))</f>
        <v/>
      </c>
      <c r="BI23" s="79" t="n"/>
      <c r="BJ23" s="79" t="n"/>
      <c r="BK23" s="79" t="n"/>
      <c r="BL23" s="79" t="n"/>
      <c r="BM23" s="79" t="n"/>
      <c r="BN23" s="79" t="n"/>
      <c r="BO23" s="79" t="n"/>
      <c r="BP23" s="79" t="n"/>
      <c r="BQ23" s="18" t="n"/>
      <c r="BR23" s="19" t="n"/>
      <c r="BS23" s="6" t="n"/>
      <c r="BT23" s="79" t="n"/>
      <c r="BU23" s="6" t="n"/>
      <c r="BV23" s="79" t="n"/>
      <c r="BW23" s="6" t="n"/>
      <c r="BX23" s="79" t="n"/>
      <c r="BY23" s="6" t="n"/>
      <c r="BZ23" s="79" t="n"/>
      <c r="CA23" s="6" t="n"/>
      <c r="CB23" s="79" t="n"/>
      <c r="CC23" s="8">
        <f>IFERROR(ROUND(AVERAGE(BI23,BK23,BM23,BO23,BQ23,BS23,BU23,BW23,BY23,CA23), 2), "")</f>
        <v/>
      </c>
      <c r="CD23" s="79" t="n"/>
      <c r="CE23" s="79" t="n"/>
      <c r="CF23" s="79" t="n"/>
      <c r="CG23" s="79" t="n"/>
      <c r="CH23" s="79" t="n"/>
      <c r="CI23" s="79" t="n"/>
      <c r="CJ23" s="79" t="n"/>
      <c r="CK23" s="79" t="n"/>
      <c r="CL23" s="18" t="n"/>
      <c r="CM23" s="19" t="n"/>
      <c r="CN23" s="6" t="n"/>
      <c r="CO23" s="79" t="n"/>
      <c r="CP23" s="6" t="n"/>
      <c r="CQ23" s="79" t="n"/>
      <c r="CR23" s="6" t="n"/>
      <c r="CS23" s="79" t="n"/>
      <c r="CT23" s="6" t="n"/>
      <c r="CU23" s="79" t="n"/>
      <c r="CV23" s="6" t="n"/>
      <c r="CW23" s="79" t="n"/>
      <c r="CX23" s="18" t="n"/>
      <c r="CY23" s="79" t="n"/>
      <c r="CZ23" s="79" t="n"/>
      <c r="DA23" s="79" t="n"/>
      <c r="DB23" s="79" t="n"/>
      <c r="DC23" s="79" t="n"/>
      <c r="DD23" s="79" t="n"/>
      <c r="DE23" s="79" t="n"/>
      <c r="DF23" s="79" t="n"/>
      <c r="DG23" s="18" t="n"/>
      <c r="DH23" s="19">
        <f>IF(COUNTA(CD23:DG23)=0, "", SUMPRODUCT(--ISNUMBER(SEARCH("m", CD23:DG23))))</f>
        <v/>
      </c>
      <c r="DI23" s="6">
        <f>IF(COUNTA(CD23:DG23)=0, "", COUNTA(CD23:DG23) - SUMPRODUCT(--ISNUMBER(SEARCH("m", CD23:DG23))))</f>
        <v/>
      </c>
      <c r="DJ23" s="79" t="n"/>
      <c r="DK23" s="6" t="n"/>
      <c r="DL23" s="79" t="n"/>
      <c r="DM23" s="6" t="n"/>
      <c r="DN23" s="79" t="n"/>
      <c r="DO23" s="6" t="n"/>
      <c r="DP23" s="79" t="n"/>
      <c r="DQ23" s="6" t="n"/>
      <c r="DR23" s="79" t="n"/>
      <c r="DS23" s="18" t="n"/>
      <c r="DT23" s="79" t="n"/>
      <c r="DU23" s="79" t="n"/>
      <c r="DV23" s="79" t="n"/>
      <c r="DW23" s="79" t="n"/>
      <c r="DX23" s="79" t="n"/>
      <c r="DY23" s="79" t="n"/>
      <c r="DZ23" s="79" t="n"/>
      <c r="EA23" s="79" t="n"/>
      <c r="EB23" s="18" t="n"/>
      <c r="EC23" s="19" t="n"/>
      <c r="ED23" s="20">
        <f>IFERROR(ROUND(AVERAGE(DJ23,DL23,DN23,DP23,DR23,DT23,DV23,DX23,DZ23,EB23), 2), "")</f>
        <v/>
      </c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>
        <f>IF(COUNTA(EE23:FH23)=0, "", SUMPRODUCT(--ISNUMBER(SEARCH("m", EE23:FH23))))</f>
        <v/>
      </c>
      <c r="FJ23" s="6">
        <f>IF(COUNTA(EE23:FH23)=0, "", COUNTA(EE23:FH23) - SUMPRODUCT(--ISNUMBER(SEARCH("m", EE23:FH23))))</f>
        <v/>
      </c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/>
      <c r="FV23" s="6" t="n"/>
      <c r="FW23" s="6" t="n"/>
      <c r="FX23" s="6" t="n"/>
      <c r="FY23" s="6" t="n"/>
      <c r="FZ23" s="6" t="n"/>
      <c r="GA23" s="6" t="n"/>
      <c r="GB23" s="6" t="n"/>
      <c r="GC23" s="6" t="n"/>
      <c r="GD23" s="6" t="n"/>
      <c r="GE23" s="20">
        <f>IFERROR(ROUND(AVERAGE(FK23,FM23,FO23,FQ23,FS23,FU23,FW23,FY23,GA23,GC23), 2), "")</f>
        <v/>
      </c>
      <c r="GF23" s="6" t="n"/>
      <c r="GG23" s="6" t="n"/>
      <c r="GH23" s="6" t="n"/>
      <c r="GI23" s="6" t="n"/>
      <c r="GJ23" s="6" t="n"/>
      <c r="GK23" s="6" t="n"/>
      <c r="GL23" s="6" t="n"/>
      <c r="GM23" s="6" t="n"/>
      <c r="GN23" s="6" t="n"/>
      <c r="GO23" s="6" t="n"/>
      <c r="GP23" s="6" t="n"/>
      <c r="GQ23" s="6" t="n"/>
      <c r="GR23" s="6" t="n"/>
      <c r="GS23" s="6" t="n"/>
      <c r="GT23" s="6" t="n"/>
      <c r="GU23" s="6" t="n"/>
      <c r="GV23" s="6" t="n"/>
      <c r="GW23" s="6" t="n"/>
      <c r="GX23" s="6" t="n"/>
      <c r="GY23" s="6" t="n"/>
      <c r="GZ23" s="6" t="n"/>
      <c r="HA23" s="6" t="n"/>
      <c r="HB23" s="6" t="n"/>
      <c r="HC23" s="6" t="n"/>
      <c r="HD23" s="6" t="n"/>
      <c r="HE23" s="6" t="n"/>
      <c r="HF23" s="6" t="n"/>
      <c r="HG23" s="6" t="n"/>
      <c r="HH23" s="6" t="n"/>
      <c r="HI23" s="6" t="n"/>
      <c r="HJ23" s="6">
        <f>IF(COUNTA(GF23:HI23)=0, "", SUMPRODUCT(--ISNUMBER(SEARCH("m", GF23:HI23))))</f>
        <v/>
      </c>
      <c r="HK23" s="6">
        <f>IF(COUNTA(GF23:HI23)=0, "", COUNTA(GF23:HI23) - SUMPRODUCT(--ISNUMBER(SEARCH("m", GF23:HI23))))</f>
        <v/>
      </c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20">
        <f>IFERROR(ROUND(AVERAGE(HL23,HN23,HP23,HR23,HT23,HV23,HX23,HZ23,IB23,ID23), 2), "")</f>
        <v/>
      </c>
      <c r="IG23" s="6" t="n"/>
      <c r="IH23" s="6" t="n"/>
      <c r="II23" s="6" t="n"/>
      <c r="IJ23" s="6" t="n"/>
      <c r="IK23" s="6" t="n"/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>
        <f>IF(COUNTA(IG23:JJ23)=0, "", SUMPRODUCT(--ISNUMBER(SEARCH("m", IG23:JJ23))))</f>
        <v/>
      </c>
      <c r="JL23" s="6">
        <f>IF(COUNTA(IG23:JJ23)=0, "", COUNTA(IG23:JJ23) - SUMPRODUCT(--ISNUMBER(SEARCH("m", IG23:JJ23))))</f>
        <v/>
      </c>
      <c r="JM23" s="6" t="n"/>
      <c r="JN23" s="6" t="n"/>
      <c r="JO23" s="6" t="n"/>
      <c r="JP23" s="6" t="n"/>
      <c r="JQ23" s="6" t="n"/>
      <c r="JR23" s="6" t="n"/>
      <c r="JS23" s="6" t="n"/>
      <c r="JT23" s="6" t="n"/>
      <c r="JU23" s="6" t="n"/>
      <c r="JV23" s="6" t="n"/>
      <c r="JW23" s="6" t="n"/>
      <c r="JX23" s="6" t="n"/>
      <c r="JY23" s="6" t="n"/>
      <c r="JZ23" s="6" t="n"/>
      <c r="KA23" s="6" t="n"/>
      <c r="KB23" s="6" t="n"/>
      <c r="KC23" s="6" t="n"/>
      <c r="KD23" s="6" t="n"/>
      <c r="KE23" s="6" t="n"/>
      <c r="KF23" s="6" t="n"/>
      <c r="KG23" s="20">
        <f>IFERROR(ROUND(AVERAGE(JM23,JO23,JQ23,JS23,JU23,JW23,JY23,KA23,KC23,KE23), 2), "")</f>
        <v/>
      </c>
      <c r="KH23" s="6" t="n"/>
      <c r="KI23" s="6" t="n"/>
      <c r="KJ23" s="6" t="n"/>
      <c r="KK23" s="6" t="n"/>
      <c r="KL23" s="6" t="n"/>
      <c r="KM23" s="6" t="n"/>
      <c r="KN23" s="6" t="n"/>
      <c r="KO23" s="6" t="n"/>
      <c r="KP23" s="6" t="n"/>
      <c r="KQ23" s="6" t="n"/>
      <c r="KR23" s="6" t="n"/>
      <c r="KS23" s="6" t="n"/>
      <c r="KT23" s="6" t="n"/>
      <c r="KU23" s="6" t="n"/>
      <c r="KV23" s="6" t="n"/>
      <c r="KW23" s="6" t="n"/>
      <c r="KX23" s="6" t="n"/>
      <c r="KY23" s="6" t="n"/>
      <c r="KZ23" s="6" t="n"/>
      <c r="LA23" s="6" t="n"/>
      <c r="LB23" s="6" t="n"/>
      <c r="LC23" s="6" t="n"/>
      <c r="LD23" s="6" t="n"/>
      <c r="LE23" s="6" t="n"/>
      <c r="LF23" s="6" t="n"/>
      <c r="LG23" s="6" t="n"/>
      <c r="LH23" s="6" t="n"/>
      <c r="LI23" s="6" t="n"/>
      <c r="LJ23" s="6" t="n"/>
      <c r="LK23" s="6" t="n"/>
      <c r="LL23" s="6">
        <f>IF(COUNTA(KH23:LK23)=0, "", SUMPRODUCT(--ISNUMBER(SEARCH("m", KH23:LK23))))</f>
        <v/>
      </c>
      <c r="LM23" s="6">
        <f>IF(COUNTA(KH23:LK23)=0, "", COUNTA(KH23:LK23) - SUMPRODUCT(--ISNUMBER(SEARCH("m", KH23:LK23))))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8">
        <f>IFERROR(ROUND(AVERAGE(AB24,CC24,ED24,GE24,IF24,KG24), 2), "")</f>
        <v/>
      </c>
      <c r="F24" s="14">
        <f>IF(SUM(BH24,DI24,FJ24,HK24,JL24,LM24)=0, "", SUM(BH24,DI24,FJ24,HK24,JL24,LM24))</f>
        <v/>
      </c>
      <c r="G24" s="8">
        <f>IF(SUM(BG24,DH24,FI24,HJ24,JK24,LL24)=0, "", SUM(BG24,DH24,FI24,HJ24,JK24,LL24))</f>
        <v/>
      </c>
      <c r="H24" s="6" t="n"/>
      <c r="I24" s="79" t="n"/>
      <c r="J24" s="6" t="n"/>
      <c r="K24" s="79" t="n"/>
      <c r="L24" s="6" t="n"/>
      <c r="M24" s="79" t="n"/>
      <c r="N24" s="6" t="n"/>
      <c r="O24" s="79" t="n"/>
      <c r="P24" s="6" t="n"/>
      <c r="Q24" s="79" t="n"/>
      <c r="R24" s="18" t="n"/>
      <c r="S24" s="79" t="n"/>
      <c r="T24" s="79" t="n"/>
      <c r="U24" s="79" t="n"/>
      <c r="V24" s="79" t="n"/>
      <c r="W24" s="79" t="n"/>
      <c r="X24" s="79" t="n"/>
      <c r="Y24" s="79" t="n"/>
      <c r="Z24" s="79" t="n"/>
      <c r="AA24" s="18" t="n"/>
      <c r="AB24" s="14">
        <f>IFERROR(ROUND(AVERAGE(H24,J24,L24,N24,P24,R24,T24,V24,X24,Z24), 2), "")</f>
        <v/>
      </c>
      <c r="AC24" s="6" t="n"/>
      <c r="AD24" s="79" t="n"/>
      <c r="AE24" s="6" t="n"/>
      <c r="AF24" s="79" t="n"/>
      <c r="AG24" s="6" t="n"/>
      <c r="AH24" s="79" t="n"/>
      <c r="AI24" s="6" t="n"/>
      <c r="AJ24" s="79" t="n"/>
      <c r="AK24" s="6" t="n"/>
      <c r="AL24" s="79" t="n"/>
      <c r="AM24" s="18" t="n"/>
      <c r="AN24" s="79" t="n"/>
      <c r="AO24" s="79" t="n"/>
      <c r="AP24" s="79" t="n"/>
      <c r="AQ24" s="79" t="n"/>
      <c r="AR24" s="79" t="n"/>
      <c r="AS24" s="79" t="n"/>
      <c r="AT24" s="79" t="n"/>
      <c r="AU24" s="79" t="n"/>
      <c r="AV24" s="18" t="n"/>
      <c r="AW24" s="19" t="n"/>
      <c r="AX24" s="6" t="n"/>
      <c r="AY24" s="79" t="n"/>
      <c r="AZ24" s="6" t="n"/>
      <c r="BA24" s="79" t="n"/>
      <c r="BB24" s="6" t="n"/>
      <c r="BC24" s="79" t="n"/>
      <c r="BD24" s="6" t="n"/>
      <c r="BE24" s="79" t="n"/>
      <c r="BF24" s="6" t="n"/>
      <c r="BG24" s="79">
        <f>IF(COUNTA(AC24:BF24)=0, "", SUMPRODUCT(--ISNUMBER(SEARCH("m", AC24:BF24))))</f>
        <v/>
      </c>
      <c r="BH24" s="18">
        <f>IF(COUNTA(AC24:BF24)=0, "", COUNTA(AC24:BF24) - SUMPRODUCT(--ISNUMBER(SEARCH("m", AC24:BF24))))</f>
        <v/>
      </c>
      <c r="BI24" s="79" t="n"/>
      <c r="BJ24" s="79" t="n"/>
      <c r="BK24" s="79" t="n"/>
      <c r="BL24" s="79" t="n"/>
      <c r="BM24" s="79" t="n"/>
      <c r="BN24" s="79" t="n"/>
      <c r="BO24" s="79" t="n"/>
      <c r="BP24" s="79" t="n"/>
      <c r="BQ24" s="18" t="n"/>
      <c r="BR24" s="19" t="n"/>
      <c r="BS24" s="6" t="n"/>
      <c r="BT24" s="79" t="n"/>
      <c r="BU24" s="6" t="n"/>
      <c r="BV24" s="79" t="n"/>
      <c r="BW24" s="6" t="n"/>
      <c r="BX24" s="79" t="n"/>
      <c r="BY24" s="6" t="n"/>
      <c r="BZ24" s="79" t="n"/>
      <c r="CA24" s="6" t="n"/>
      <c r="CB24" s="79" t="n"/>
      <c r="CC24" s="8">
        <f>IFERROR(ROUND(AVERAGE(BI24,BK24,BM24,BO24,BQ24,BS24,BU24,BW24,BY24,CA24), 2), "")</f>
        <v/>
      </c>
      <c r="CD24" s="79" t="n"/>
      <c r="CE24" s="79" t="n"/>
      <c r="CF24" s="79" t="n"/>
      <c r="CG24" s="79" t="n"/>
      <c r="CH24" s="79" t="n"/>
      <c r="CI24" s="79" t="n"/>
      <c r="CJ24" s="79" t="n"/>
      <c r="CK24" s="79" t="n"/>
      <c r="CL24" s="18" t="n"/>
      <c r="CM24" s="19" t="n"/>
      <c r="CN24" s="6" t="n"/>
      <c r="CO24" s="79" t="n"/>
      <c r="CP24" s="6" t="n"/>
      <c r="CQ24" s="79" t="n"/>
      <c r="CR24" s="6" t="n"/>
      <c r="CS24" s="79" t="n"/>
      <c r="CT24" s="6" t="n"/>
      <c r="CU24" s="79" t="n"/>
      <c r="CV24" s="6" t="n"/>
      <c r="CW24" s="79" t="n"/>
      <c r="CX24" s="18" t="n"/>
      <c r="CY24" s="79" t="n"/>
      <c r="CZ24" s="79" t="n"/>
      <c r="DA24" s="79" t="n"/>
      <c r="DB24" s="79" t="n"/>
      <c r="DC24" s="79" t="n"/>
      <c r="DD24" s="79" t="n"/>
      <c r="DE24" s="79" t="n"/>
      <c r="DF24" s="79" t="n"/>
      <c r="DG24" s="18" t="n"/>
      <c r="DH24" s="19">
        <f>IF(COUNTA(CD24:DG24)=0, "", SUMPRODUCT(--ISNUMBER(SEARCH("m", CD24:DG24))))</f>
        <v/>
      </c>
      <c r="DI24" s="6">
        <f>IF(COUNTA(CD24:DG24)=0, "", COUNTA(CD24:DG24) - SUMPRODUCT(--ISNUMBER(SEARCH("m", CD24:DG24))))</f>
        <v/>
      </c>
      <c r="DJ24" s="79" t="n"/>
      <c r="DK24" s="6" t="n"/>
      <c r="DL24" s="79" t="n"/>
      <c r="DM24" s="6" t="n"/>
      <c r="DN24" s="79" t="n"/>
      <c r="DO24" s="6" t="n"/>
      <c r="DP24" s="79" t="n"/>
      <c r="DQ24" s="6" t="n"/>
      <c r="DR24" s="79" t="n"/>
      <c r="DS24" s="18" t="n"/>
      <c r="DT24" s="79" t="n"/>
      <c r="DU24" s="79" t="n"/>
      <c r="DV24" s="79" t="n"/>
      <c r="DW24" s="79" t="n"/>
      <c r="DX24" s="79" t="n"/>
      <c r="DY24" s="79" t="n"/>
      <c r="DZ24" s="79" t="n"/>
      <c r="EA24" s="79" t="n"/>
      <c r="EB24" s="18" t="n"/>
      <c r="EC24" s="19" t="n"/>
      <c r="ED24" s="20">
        <f>IFERROR(ROUND(AVERAGE(DJ24,DL24,DN24,DP24,DR24,DT24,DV24,DX24,DZ24,EB24), 2), "")</f>
        <v/>
      </c>
      <c r="EE24" s="6" t="n"/>
      <c r="EF24" s="6" t="n"/>
      <c r="EG24" s="6" t="n"/>
      <c r="EH24" s="6" t="n"/>
      <c r="EI24" s="6" t="n"/>
      <c r="EJ24" s="6" t="n"/>
      <c r="EK24" s="6" t="n"/>
      <c r="EL24" s="6" t="n"/>
      <c r="EM24" s="6" t="n"/>
      <c r="EN24" s="6" t="n"/>
      <c r="EO24" s="6" t="n"/>
      <c r="EP24" s="6" t="n"/>
      <c r="EQ24" s="6" t="n"/>
      <c r="ER24" s="6" t="n"/>
      <c r="ES24" s="6" t="n"/>
      <c r="ET24" s="6" t="n"/>
      <c r="EU24" s="6" t="n"/>
      <c r="EV24" s="6" t="n"/>
      <c r="EW24" s="6" t="n"/>
      <c r="EX24" s="6" t="n"/>
      <c r="EY24" s="6" t="n"/>
      <c r="EZ24" s="6" t="n"/>
      <c r="FA24" s="6" t="n"/>
      <c r="FB24" s="6" t="n"/>
      <c r="FC24" s="6" t="n"/>
      <c r="FD24" s="6" t="n"/>
      <c r="FE24" s="6" t="n"/>
      <c r="FF24" s="6" t="n"/>
      <c r="FG24" s="6" t="n"/>
      <c r="FH24" s="6" t="n"/>
      <c r="FI24" s="6">
        <f>IF(COUNTA(EE24:FH24)=0, "", SUMPRODUCT(--ISNUMBER(SEARCH("m", EE24:FH24))))</f>
        <v/>
      </c>
      <c r="FJ24" s="6">
        <f>IF(COUNTA(EE24:FH24)=0, "", COUNTA(EE24:FH24) - SUMPRODUCT(--ISNUMBER(SEARCH("m", EE24:FH24))))</f>
        <v/>
      </c>
      <c r="FK24" s="6" t="n"/>
      <c r="FL24" s="6" t="n"/>
      <c r="FM24" s="6" t="n"/>
      <c r="FN24" s="6" t="n"/>
      <c r="FO24" s="6" t="n"/>
      <c r="FP24" s="6" t="n"/>
      <c r="FQ24" s="6" t="n"/>
      <c r="FR24" s="6" t="n"/>
      <c r="FS24" s="6" t="n"/>
      <c r="FT24" s="6" t="n"/>
      <c r="FU24" s="6" t="n"/>
      <c r="FV24" s="6" t="n"/>
      <c r="FW24" s="6" t="n"/>
      <c r="FX24" s="6" t="n"/>
      <c r="FY24" s="6" t="n"/>
      <c r="FZ24" s="6" t="n"/>
      <c r="GA24" s="6" t="n"/>
      <c r="GB24" s="6" t="n"/>
      <c r="GC24" s="6" t="n"/>
      <c r="GD24" s="6" t="n"/>
      <c r="GE24" s="20">
        <f>IFERROR(ROUND(AVERAGE(FK24,FM24,FO24,FQ24,FS24,FU24,FW24,FY24,GA24,GC24), 2), "")</f>
        <v/>
      </c>
      <c r="GF24" s="6" t="n"/>
      <c r="GG24" s="6" t="n"/>
      <c r="GH24" s="6" t="n"/>
      <c r="GI24" s="6" t="n"/>
      <c r="GJ24" s="6" t="n"/>
      <c r="GK24" s="6" t="n"/>
      <c r="GL24" s="6" t="n"/>
      <c r="GM24" s="6" t="n"/>
      <c r="GN24" s="6" t="n"/>
      <c r="GO24" s="6" t="n"/>
      <c r="GP24" s="6" t="n"/>
      <c r="GQ24" s="6" t="n"/>
      <c r="GR24" s="6" t="n"/>
      <c r="GS24" s="6" t="n"/>
      <c r="GT24" s="6" t="n"/>
      <c r="GU24" s="6" t="n"/>
      <c r="GV24" s="6" t="n"/>
      <c r="GW24" s="6" t="n"/>
      <c r="GX24" s="6" t="n"/>
      <c r="GY24" s="6" t="n"/>
      <c r="GZ24" s="6" t="n"/>
      <c r="HA24" s="6" t="n"/>
      <c r="HB24" s="6" t="n"/>
      <c r="HC24" s="6" t="n"/>
      <c r="HD24" s="6" t="n"/>
      <c r="HE24" s="6" t="n"/>
      <c r="HF24" s="6" t="n"/>
      <c r="HG24" s="6" t="n"/>
      <c r="HH24" s="6" t="n"/>
      <c r="HI24" s="6" t="n"/>
      <c r="HJ24" s="6">
        <f>IF(COUNTA(GF24:HI24)=0, "", SUMPRODUCT(--ISNUMBER(SEARCH("m", GF24:HI24))))</f>
        <v/>
      </c>
      <c r="HK24" s="6">
        <f>IF(COUNTA(GF24:HI24)=0, "", COUNTA(GF24:HI24) - SUMPRODUCT(--ISNUMBER(SEARCH("m", GF24:HI24))))</f>
        <v/>
      </c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20">
        <f>IFERROR(ROUND(AVERAGE(HL24,HN24,HP24,HR24,HT24,HV24,HX24,HZ24,IB24,ID24), 2), "")</f>
        <v/>
      </c>
      <c r="IG24" s="6" t="n"/>
      <c r="IH24" s="6" t="n"/>
      <c r="II24" s="6" t="n"/>
      <c r="IJ24" s="6" t="n"/>
      <c r="IK24" s="6" t="n"/>
      <c r="IL24" s="6" t="n"/>
      <c r="IM24" s="6" t="n"/>
      <c r="IN24" s="6" t="n"/>
      <c r="IO24" s="6" t="n"/>
      <c r="IP24" s="6" t="n"/>
      <c r="IQ24" s="6" t="n"/>
      <c r="IR24" s="6" t="n"/>
      <c r="IS24" s="6" t="n"/>
      <c r="IT24" s="6" t="n"/>
      <c r="IU24" s="6" t="n"/>
      <c r="IV24" s="6" t="n"/>
      <c r="IW24" s="6" t="n"/>
      <c r="IX24" s="6" t="n"/>
      <c r="IY24" s="6" t="n"/>
      <c r="IZ24" s="6" t="n"/>
      <c r="JA24" s="6" t="n"/>
      <c r="JB24" s="6" t="n"/>
      <c r="JC24" s="6" t="n"/>
      <c r="JD24" s="6" t="n"/>
      <c r="JE24" s="6" t="n"/>
      <c r="JF24" s="6" t="n"/>
      <c r="JG24" s="6" t="n"/>
      <c r="JH24" s="6" t="n"/>
      <c r="JI24" s="6" t="n"/>
      <c r="JJ24" s="6" t="n"/>
      <c r="JK24" s="6">
        <f>IF(COUNTA(IG24:JJ24)=0, "", SUMPRODUCT(--ISNUMBER(SEARCH("m", IG24:JJ24))))</f>
        <v/>
      </c>
      <c r="JL24" s="6">
        <f>IF(COUNTA(IG24:JJ24)=0, "", COUNTA(IG24:JJ24) - SUMPRODUCT(--ISNUMBER(SEARCH("m", IG24:JJ24))))</f>
        <v/>
      </c>
      <c r="JM24" s="6" t="n"/>
      <c r="JN24" s="6" t="n"/>
      <c r="JO24" s="6" t="n"/>
      <c r="JP24" s="6" t="n"/>
      <c r="JQ24" s="6" t="n"/>
      <c r="JR24" s="6" t="n"/>
      <c r="JS24" s="6" t="n"/>
      <c r="JT24" s="6" t="n"/>
      <c r="JU24" s="6" t="n"/>
      <c r="JV24" s="6" t="n"/>
      <c r="JW24" s="6" t="n"/>
      <c r="JX24" s="6" t="n"/>
      <c r="JY24" s="6" t="n"/>
      <c r="JZ24" s="6" t="n"/>
      <c r="KA24" s="6" t="n"/>
      <c r="KB24" s="6" t="n"/>
      <c r="KC24" s="6" t="n"/>
      <c r="KD24" s="6" t="n"/>
      <c r="KE24" s="6" t="n"/>
      <c r="KF24" s="6" t="n"/>
      <c r="KG24" s="20">
        <f>IFERROR(ROUND(AVERAGE(JM24,JO24,JQ24,JS24,JU24,JW24,JY24,KA24,KC24,KE24), 2), "")</f>
        <v/>
      </c>
      <c r="KH24" s="6" t="n"/>
      <c r="KI24" s="6" t="n"/>
      <c r="KJ24" s="6" t="n"/>
      <c r="KK24" s="6" t="n"/>
      <c r="KL24" s="6" t="n"/>
      <c r="KM24" s="6" t="n"/>
      <c r="KN24" s="6" t="n"/>
      <c r="KO24" s="6" t="n"/>
      <c r="KP24" s="6" t="n"/>
      <c r="KQ24" s="6" t="n"/>
      <c r="KR24" s="6" t="n"/>
      <c r="KS24" s="6" t="n"/>
      <c r="KT24" s="6" t="n"/>
      <c r="KU24" s="6" t="n"/>
      <c r="KV24" s="6" t="n"/>
      <c r="KW24" s="6" t="n"/>
      <c r="KX24" s="6" t="n"/>
      <c r="KY24" s="6" t="n"/>
      <c r="KZ24" s="6" t="n"/>
      <c r="LA24" s="6" t="n"/>
      <c r="LB24" s="6" t="n"/>
      <c r="LC24" s="6" t="n"/>
      <c r="LD24" s="6" t="n"/>
      <c r="LE24" s="6" t="n"/>
      <c r="LF24" s="6" t="n"/>
      <c r="LG24" s="6" t="n"/>
      <c r="LH24" s="6" t="n"/>
      <c r="LI24" s="6" t="n"/>
      <c r="LJ24" s="6" t="n"/>
      <c r="LK24" s="6" t="n"/>
      <c r="LL24" s="6">
        <f>IF(COUNTA(KH24:LK24)=0, "", SUMPRODUCT(--ISNUMBER(SEARCH("m", KH24:LK24))))</f>
        <v/>
      </c>
      <c r="LM24" s="6">
        <f>IF(COUNTA(KH24:LK24)=0, "", COUNTA(KH24:LK24) - SUMPRODUCT(--ISNUMBER(SEARCH("m", KH24:LK24))))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8">
        <f>IFERROR(ROUND(AVERAGE(AB25,CC25,ED25,GE25,IF25,KG25), 2), "")</f>
        <v/>
      </c>
      <c r="F25" s="14">
        <f>IF(SUM(BH25,DI25,FJ25,HK25,JL25,LM25)=0, "", SUM(BH25,DI25,FJ25,HK25,JL25,LM25))</f>
        <v/>
      </c>
      <c r="G25" s="8">
        <f>IF(SUM(BG25,DH25,FI25,HJ25,JK25,LL25)=0, "", SUM(BG25,DH25,FI25,HJ25,JK25,LL25))</f>
        <v/>
      </c>
      <c r="H25" s="6" t="n"/>
      <c r="I25" s="79" t="n"/>
      <c r="J25" s="6" t="n"/>
      <c r="K25" s="79" t="n"/>
      <c r="L25" s="6" t="n"/>
      <c r="M25" s="79" t="n"/>
      <c r="N25" s="6" t="n"/>
      <c r="O25" s="79" t="n"/>
      <c r="P25" s="6" t="n"/>
      <c r="Q25" s="79" t="n"/>
      <c r="R25" s="18" t="n"/>
      <c r="S25" s="79" t="n"/>
      <c r="T25" s="79" t="n"/>
      <c r="U25" s="79" t="n"/>
      <c r="V25" s="79" t="n"/>
      <c r="W25" s="79" t="n"/>
      <c r="X25" s="79" t="n"/>
      <c r="Y25" s="79" t="n"/>
      <c r="Z25" s="79" t="n"/>
      <c r="AA25" s="18" t="n"/>
      <c r="AB25" s="14">
        <f>IFERROR(ROUND(AVERAGE(H25,J25,L25,N25,P25,R25,T25,V25,X25,Z25), 2), "")</f>
        <v/>
      </c>
      <c r="AC25" s="6" t="n"/>
      <c r="AD25" s="79" t="n"/>
      <c r="AE25" s="6" t="n"/>
      <c r="AF25" s="79" t="n"/>
      <c r="AG25" s="6" t="n"/>
      <c r="AH25" s="79" t="n"/>
      <c r="AI25" s="6" t="n"/>
      <c r="AJ25" s="79" t="n"/>
      <c r="AK25" s="6" t="n"/>
      <c r="AL25" s="79" t="n"/>
      <c r="AM25" s="18" t="n"/>
      <c r="AN25" s="79" t="n"/>
      <c r="AO25" s="79" t="n"/>
      <c r="AP25" s="79" t="n"/>
      <c r="AQ25" s="79" t="n"/>
      <c r="AR25" s="79" t="n"/>
      <c r="AS25" s="79" t="n"/>
      <c r="AT25" s="79" t="n"/>
      <c r="AU25" s="79" t="n"/>
      <c r="AV25" s="18" t="n"/>
      <c r="AW25" s="19" t="n"/>
      <c r="AX25" s="6" t="n"/>
      <c r="AY25" s="79" t="n"/>
      <c r="AZ25" s="6" t="n"/>
      <c r="BA25" s="79" t="n"/>
      <c r="BB25" s="6" t="n"/>
      <c r="BC25" s="79" t="n"/>
      <c r="BD25" s="6" t="n"/>
      <c r="BE25" s="79" t="n"/>
      <c r="BF25" s="6" t="n"/>
      <c r="BG25" s="79">
        <f>IF(COUNTA(AC25:BF25)=0, "", SUMPRODUCT(--ISNUMBER(SEARCH("m", AC25:BF25))))</f>
        <v/>
      </c>
      <c r="BH25" s="18">
        <f>IF(COUNTA(AC25:BF25)=0, "", COUNTA(AC25:BF25) - SUMPRODUCT(--ISNUMBER(SEARCH("m", AC25:BF25))))</f>
        <v/>
      </c>
      <c r="BI25" s="79" t="n"/>
      <c r="BJ25" s="79" t="n"/>
      <c r="BK25" s="79" t="n"/>
      <c r="BL25" s="79" t="n"/>
      <c r="BM25" s="79" t="n"/>
      <c r="BN25" s="79" t="n"/>
      <c r="BO25" s="79" t="n"/>
      <c r="BP25" s="79" t="n"/>
      <c r="BQ25" s="18" t="n"/>
      <c r="BR25" s="19" t="n"/>
      <c r="BS25" s="6" t="n"/>
      <c r="BT25" s="79" t="n"/>
      <c r="BU25" s="6" t="n"/>
      <c r="BV25" s="79" t="n"/>
      <c r="BW25" s="6" t="n"/>
      <c r="BX25" s="79" t="n"/>
      <c r="BY25" s="6" t="n"/>
      <c r="BZ25" s="79" t="n"/>
      <c r="CA25" s="6" t="n"/>
      <c r="CB25" s="79" t="n"/>
      <c r="CC25" s="8">
        <f>IFERROR(ROUND(AVERAGE(BI25,BK25,BM25,BO25,BQ25,BS25,BU25,BW25,BY25,CA25), 2), "")</f>
        <v/>
      </c>
      <c r="CD25" s="79" t="n"/>
      <c r="CE25" s="79" t="n"/>
      <c r="CF25" s="79" t="n"/>
      <c r="CG25" s="79" t="n"/>
      <c r="CH25" s="79" t="n"/>
      <c r="CI25" s="79" t="n"/>
      <c r="CJ25" s="79" t="n"/>
      <c r="CK25" s="79" t="n"/>
      <c r="CL25" s="18" t="n"/>
      <c r="CM25" s="19" t="n"/>
      <c r="CN25" s="6" t="n"/>
      <c r="CO25" s="79" t="n"/>
      <c r="CP25" s="6" t="n"/>
      <c r="CQ25" s="79" t="n"/>
      <c r="CR25" s="6" t="n"/>
      <c r="CS25" s="79" t="n"/>
      <c r="CT25" s="6" t="n"/>
      <c r="CU25" s="79" t="n"/>
      <c r="CV25" s="6" t="n"/>
      <c r="CW25" s="79" t="n"/>
      <c r="CX25" s="18" t="n"/>
      <c r="CY25" s="79" t="n"/>
      <c r="CZ25" s="79" t="n"/>
      <c r="DA25" s="79" t="n"/>
      <c r="DB25" s="79" t="n"/>
      <c r="DC25" s="79" t="n"/>
      <c r="DD25" s="79" t="n"/>
      <c r="DE25" s="79" t="n"/>
      <c r="DF25" s="79" t="n"/>
      <c r="DG25" s="18" t="n"/>
      <c r="DH25" s="19">
        <f>IF(COUNTA(CD25:DG25)=0, "", SUMPRODUCT(--ISNUMBER(SEARCH("m", CD25:DG25))))</f>
        <v/>
      </c>
      <c r="DI25" s="6">
        <f>IF(COUNTA(CD25:DG25)=0, "", COUNTA(CD25:DG25) - SUMPRODUCT(--ISNUMBER(SEARCH("m", CD25:DG25))))</f>
        <v/>
      </c>
      <c r="DJ25" s="79" t="n"/>
      <c r="DK25" s="6" t="n"/>
      <c r="DL25" s="79" t="n"/>
      <c r="DM25" s="6" t="n"/>
      <c r="DN25" s="79" t="n"/>
      <c r="DO25" s="6" t="n"/>
      <c r="DP25" s="79" t="n"/>
      <c r="DQ25" s="6" t="n"/>
      <c r="DR25" s="79" t="n"/>
      <c r="DS25" s="18" t="n"/>
      <c r="DT25" s="79" t="n"/>
      <c r="DU25" s="79" t="n"/>
      <c r="DV25" s="79" t="n"/>
      <c r="DW25" s="79" t="n"/>
      <c r="DX25" s="79" t="n"/>
      <c r="DY25" s="79" t="n"/>
      <c r="DZ25" s="79" t="n"/>
      <c r="EA25" s="79" t="n"/>
      <c r="EB25" s="18" t="n"/>
      <c r="EC25" s="19" t="n"/>
      <c r="ED25" s="20">
        <f>IFERROR(ROUND(AVERAGE(DJ25,DL25,DN25,DP25,DR25,DT25,DV25,DX25,DZ25,EB25), 2), "")</f>
        <v/>
      </c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>
        <f>IF(COUNTA(EE25:FH25)=0, "", SUMPRODUCT(--ISNUMBER(SEARCH("m", EE25:FH25))))</f>
        <v/>
      </c>
      <c r="FJ25" s="6">
        <f>IF(COUNTA(EE25:FH25)=0, "", COUNTA(EE25:FH25) - SUMPRODUCT(--ISNUMBER(SEARCH("m", EE25:FH25))))</f>
        <v/>
      </c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/>
      <c r="FV25" s="6" t="n"/>
      <c r="FW25" s="6" t="n"/>
      <c r="FX25" s="6" t="n"/>
      <c r="FY25" s="6" t="n"/>
      <c r="FZ25" s="6" t="n"/>
      <c r="GA25" s="6" t="n"/>
      <c r="GB25" s="6" t="n"/>
      <c r="GC25" s="6" t="n"/>
      <c r="GD25" s="6" t="n"/>
      <c r="GE25" s="20">
        <f>IFERROR(ROUND(AVERAGE(FK25,FM25,FO25,FQ25,FS25,FU25,FW25,FY25,GA25,GC25), 2), "")</f>
        <v/>
      </c>
      <c r="GF25" s="6" t="n"/>
      <c r="GG25" s="6" t="n"/>
      <c r="GH25" s="6" t="n"/>
      <c r="GI25" s="6" t="n"/>
      <c r="GJ25" s="6" t="n"/>
      <c r="GK25" s="6" t="n"/>
      <c r="GL25" s="6" t="n"/>
      <c r="GM25" s="6" t="n"/>
      <c r="GN25" s="6" t="n"/>
      <c r="GO25" s="6" t="n"/>
      <c r="GP25" s="6" t="n"/>
      <c r="GQ25" s="6" t="n"/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>
        <f>IF(COUNTA(GF25:HI25)=0, "", SUMPRODUCT(--ISNUMBER(SEARCH("m", GF25:HI25))))</f>
        <v/>
      </c>
      <c r="HK25" s="6">
        <f>IF(COUNTA(GF25:HI25)=0, "", COUNTA(GF25:HI25) - SUMPRODUCT(--ISNUMBER(SEARCH("m", GF25:HI25))))</f>
        <v/>
      </c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20">
        <f>IFERROR(ROUND(AVERAGE(HL25,HN25,HP25,HR25,HT25,HV25,HX25,HZ25,IB25,ID25), 2), "")</f>
        <v/>
      </c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>
        <f>IF(COUNTA(IG25:JJ25)=0, "", SUMPRODUCT(--ISNUMBER(SEARCH("m", IG25:JJ25))))</f>
        <v/>
      </c>
      <c r="JL25" s="6">
        <f>IF(COUNTA(IG25:JJ25)=0, "", COUNTA(IG25:JJ25) - SUMPRODUCT(--ISNUMBER(SEARCH("m", IG25:JJ25))))</f>
        <v/>
      </c>
      <c r="JM25" s="6" t="n"/>
      <c r="JN25" s="6" t="n"/>
      <c r="JO25" s="6" t="n"/>
      <c r="JP25" s="6" t="n"/>
      <c r="JQ25" s="6" t="n"/>
      <c r="JR25" s="6" t="n"/>
      <c r="JS25" s="6" t="n"/>
      <c r="JT25" s="6" t="n"/>
      <c r="JU25" s="6" t="n"/>
      <c r="JV25" s="6" t="n"/>
      <c r="JW25" s="6" t="n"/>
      <c r="JX25" s="6" t="n"/>
      <c r="JY25" s="6" t="n"/>
      <c r="JZ25" s="6" t="n"/>
      <c r="KA25" s="6" t="n"/>
      <c r="KB25" s="6" t="n"/>
      <c r="KC25" s="6" t="n"/>
      <c r="KD25" s="6" t="n"/>
      <c r="KE25" s="6" t="n"/>
      <c r="KF25" s="6" t="n"/>
      <c r="KG25" s="20">
        <f>IFERROR(ROUND(AVERAGE(JM25,JO25,JQ25,JS25,JU25,JW25,JY25,KA25,KC25,KE25), 2), "")</f>
        <v/>
      </c>
      <c r="KH25" s="6" t="n"/>
      <c r="KI25" s="6" t="n"/>
      <c r="KJ25" s="6" t="n"/>
      <c r="KK25" s="6" t="n"/>
      <c r="KL25" s="6" t="n"/>
      <c r="KM25" s="6" t="n"/>
      <c r="KN25" s="6" t="n"/>
      <c r="KO25" s="6" t="n"/>
      <c r="KP25" s="6" t="n"/>
      <c r="KQ25" s="6" t="n"/>
      <c r="KR25" s="6" t="n"/>
      <c r="KS25" s="6" t="n"/>
      <c r="KT25" s="6" t="n"/>
      <c r="KU25" s="6" t="n"/>
      <c r="KV25" s="6" t="n"/>
      <c r="KW25" s="6" t="n"/>
      <c r="KX25" s="6" t="n"/>
      <c r="KY25" s="6" t="n"/>
      <c r="KZ25" s="6" t="n"/>
      <c r="LA25" s="6" t="n"/>
      <c r="LB25" s="6" t="n"/>
      <c r="LC25" s="6" t="n"/>
      <c r="LD25" s="6" t="n"/>
      <c r="LE25" s="6" t="n"/>
      <c r="LF25" s="6" t="n"/>
      <c r="LG25" s="6" t="n"/>
      <c r="LH25" s="6" t="n"/>
      <c r="LI25" s="6" t="n"/>
      <c r="LJ25" s="6" t="n"/>
      <c r="LK25" s="6" t="n"/>
      <c r="LL25" s="6">
        <f>IF(COUNTA(KH25:LK25)=0, "", SUMPRODUCT(--ISNUMBER(SEARCH("m", KH25:LK25))))</f>
        <v/>
      </c>
      <c r="LM25" s="6">
        <f>IF(COUNTA(KH25:LK25)=0, "", COUNTA(KH25:LK25) - SUMPRODUCT(--ISNUMBER(SEARCH("m", KH25:LK25))))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8">
        <f>IFERROR(ROUND(AVERAGE(AB26,CC26,ED26,GE26,IF26,KG26), 2), "")</f>
        <v/>
      </c>
      <c r="F26" s="14">
        <f>IF(SUM(BH26,DI26,FJ26,HK26,JL26,LM26)=0, "", SUM(BH26,DI26,FJ26,HK26,JL26,LM26))</f>
        <v/>
      </c>
      <c r="G26" s="8">
        <f>IF(SUM(BG26,DH26,FI26,HJ26,JK26,LL26)=0, "", SUM(BG26,DH26,FI26,HJ26,JK26,LL26))</f>
        <v/>
      </c>
      <c r="H26" s="6" t="n"/>
      <c r="I26" s="79" t="n"/>
      <c r="J26" s="6" t="n"/>
      <c r="K26" s="79" t="n"/>
      <c r="L26" s="6" t="n"/>
      <c r="M26" s="79" t="n"/>
      <c r="N26" s="6" t="n"/>
      <c r="O26" s="79" t="n"/>
      <c r="P26" s="6" t="n"/>
      <c r="Q26" s="79" t="n"/>
      <c r="R26" s="18" t="n"/>
      <c r="S26" s="79" t="n"/>
      <c r="T26" s="79" t="n"/>
      <c r="U26" s="79" t="n"/>
      <c r="V26" s="79" t="n"/>
      <c r="W26" s="79" t="n"/>
      <c r="X26" s="79" t="n"/>
      <c r="Y26" s="79" t="n"/>
      <c r="Z26" s="79" t="n"/>
      <c r="AA26" s="18" t="n"/>
      <c r="AB26" s="14">
        <f>IFERROR(ROUND(AVERAGE(H26,J26,L26,N26,P26,R26,T26,V26,X26,Z26), 2), "")</f>
        <v/>
      </c>
      <c r="AC26" s="6" t="n"/>
      <c r="AD26" s="79" t="n"/>
      <c r="AE26" s="6" t="n"/>
      <c r="AF26" s="79" t="n"/>
      <c r="AG26" s="6" t="n"/>
      <c r="AH26" s="79" t="n"/>
      <c r="AI26" s="6" t="n"/>
      <c r="AJ26" s="79" t="n"/>
      <c r="AK26" s="6" t="n"/>
      <c r="AL26" s="79" t="n"/>
      <c r="AM26" s="18" t="n"/>
      <c r="AN26" s="79" t="n"/>
      <c r="AO26" s="79" t="n"/>
      <c r="AP26" s="79" t="n"/>
      <c r="AQ26" s="79" t="n"/>
      <c r="AR26" s="79" t="n"/>
      <c r="AS26" s="79" t="n"/>
      <c r="AT26" s="79" t="n"/>
      <c r="AU26" s="79" t="n"/>
      <c r="AV26" s="18" t="n"/>
      <c r="AW26" s="19" t="n"/>
      <c r="AX26" s="6" t="n"/>
      <c r="AY26" s="79" t="n"/>
      <c r="AZ26" s="6" t="n"/>
      <c r="BA26" s="79" t="n"/>
      <c r="BB26" s="6" t="n"/>
      <c r="BC26" s="79" t="n"/>
      <c r="BD26" s="6" t="n"/>
      <c r="BE26" s="79" t="n"/>
      <c r="BF26" s="6" t="n"/>
      <c r="BG26" s="79">
        <f>IF(COUNTA(AC26:BF26)=0, "", SUMPRODUCT(--ISNUMBER(SEARCH("m", AC26:BF26))))</f>
        <v/>
      </c>
      <c r="BH26" s="18">
        <f>IF(COUNTA(AC26:BF26)=0, "", COUNTA(AC26:BF26) - SUMPRODUCT(--ISNUMBER(SEARCH("m", AC26:BF26))))</f>
        <v/>
      </c>
      <c r="BI26" s="79" t="n"/>
      <c r="BJ26" s="79" t="n"/>
      <c r="BK26" s="79" t="n"/>
      <c r="BL26" s="79" t="n"/>
      <c r="BM26" s="79" t="n"/>
      <c r="BN26" s="79" t="n"/>
      <c r="BO26" s="79" t="n"/>
      <c r="BP26" s="79" t="n"/>
      <c r="BQ26" s="18" t="n"/>
      <c r="BR26" s="19" t="n"/>
      <c r="BS26" s="6" t="n"/>
      <c r="BT26" s="79" t="n"/>
      <c r="BU26" s="6" t="n"/>
      <c r="BV26" s="79" t="n"/>
      <c r="BW26" s="6" t="n"/>
      <c r="BX26" s="79" t="n"/>
      <c r="BY26" s="6" t="n"/>
      <c r="BZ26" s="79" t="n"/>
      <c r="CA26" s="6" t="n"/>
      <c r="CB26" s="79" t="n"/>
      <c r="CC26" s="8">
        <f>IFERROR(ROUND(AVERAGE(BI26,BK26,BM26,BO26,BQ26,BS26,BU26,BW26,BY26,CA26), 2), "")</f>
        <v/>
      </c>
      <c r="CD26" s="79" t="n"/>
      <c r="CE26" s="79" t="n"/>
      <c r="CF26" s="79" t="n"/>
      <c r="CG26" s="79" t="n"/>
      <c r="CH26" s="79" t="n"/>
      <c r="CI26" s="79" t="n"/>
      <c r="CJ26" s="79" t="n"/>
      <c r="CK26" s="79" t="n"/>
      <c r="CL26" s="18" t="n"/>
      <c r="CM26" s="19" t="n"/>
      <c r="CN26" s="6" t="n"/>
      <c r="CO26" s="79" t="n"/>
      <c r="CP26" s="6" t="n"/>
      <c r="CQ26" s="79" t="n"/>
      <c r="CR26" s="6" t="n"/>
      <c r="CS26" s="79" t="n"/>
      <c r="CT26" s="6" t="n"/>
      <c r="CU26" s="79" t="n"/>
      <c r="CV26" s="6" t="n"/>
      <c r="CW26" s="79" t="n"/>
      <c r="CX26" s="18" t="n"/>
      <c r="CY26" s="79" t="n"/>
      <c r="CZ26" s="79" t="n"/>
      <c r="DA26" s="79" t="n"/>
      <c r="DB26" s="79" t="n"/>
      <c r="DC26" s="79" t="n"/>
      <c r="DD26" s="79" t="n"/>
      <c r="DE26" s="79" t="n"/>
      <c r="DF26" s="79" t="n"/>
      <c r="DG26" s="18" t="n"/>
      <c r="DH26" s="19">
        <f>IF(COUNTA(CD26:DG26)=0, "", SUMPRODUCT(--ISNUMBER(SEARCH("m", CD26:DG26))))</f>
        <v/>
      </c>
      <c r="DI26" s="6">
        <f>IF(COUNTA(CD26:DG26)=0, "", COUNTA(CD26:DG26) - SUMPRODUCT(--ISNUMBER(SEARCH("m", CD26:DG26))))</f>
        <v/>
      </c>
      <c r="DJ26" s="79" t="n"/>
      <c r="DK26" s="6" t="n"/>
      <c r="DL26" s="79" t="n"/>
      <c r="DM26" s="6" t="n"/>
      <c r="DN26" s="79" t="n"/>
      <c r="DO26" s="6" t="n"/>
      <c r="DP26" s="79" t="n"/>
      <c r="DQ26" s="6" t="n"/>
      <c r="DR26" s="79" t="n"/>
      <c r="DS26" s="18" t="n"/>
      <c r="DT26" s="79" t="n"/>
      <c r="DU26" s="79" t="n"/>
      <c r="DV26" s="79" t="n"/>
      <c r="DW26" s="79" t="n"/>
      <c r="DX26" s="79" t="n"/>
      <c r="DY26" s="79" t="n"/>
      <c r="DZ26" s="79" t="n"/>
      <c r="EA26" s="79" t="n"/>
      <c r="EB26" s="18" t="n"/>
      <c r="EC26" s="19" t="n"/>
      <c r="ED26" s="20">
        <f>IFERROR(ROUND(AVERAGE(DJ26,DL26,DN26,DP26,DR26,DT26,DV26,DX26,DZ26,EB26), 2), "")</f>
        <v/>
      </c>
      <c r="EE26" s="6" t="n"/>
      <c r="EF26" s="6" t="n"/>
      <c r="EG26" s="6" t="n"/>
      <c r="EH26" s="6" t="n"/>
      <c r="EI26" s="6" t="n"/>
      <c r="EJ26" s="6" t="n"/>
      <c r="EK26" s="6" t="n"/>
      <c r="EL26" s="6" t="n"/>
      <c r="EM26" s="6" t="n"/>
      <c r="EN26" s="6" t="n"/>
      <c r="EO26" s="6" t="n"/>
      <c r="EP26" s="6" t="n"/>
      <c r="EQ26" s="6" t="n"/>
      <c r="ER26" s="6" t="n"/>
      <c r="ES26" s="6" t="n"/>
      <c r="ET26" s="6" t="n"/>
      <c r="EU26" s="6" t="n"/>
      <c r="EV26" s="6" t="n"/>
      <c r="EW26" s="6" t="n"/>
      <c r="EX26" s="6" t="n"/>
      <c r="EY26" s="6" t="n"/>
      <c r="EZ26" s="6" t="n"/>
      <c r="FA26" s="6" t="n"/>
      <c r="FB26" s="6" t="n"/>
      <c r="FC26" s="6" t="n"/>
      <c r="FD26" s="6" t="n"/>
      <c r="FE26" s="6" t="n"/>
      <c r="FF26" s="6" t="n"/>
      <c r="FG26" s="6" t="n"/>
      <c r="FH26" s="6" t="n"/>
      <c r="FI26" s="6">
        <f>IF(COUNTA(EE26:FH26)=0, "", SUMPRODUCT(--ISNUMBER(SEARCH("m", EE26:FH26))))</f>
        <v/>
      </c>
      <c r="FJ26" s="6">
        <f>IF(COUNTA(EE26:FH26)=0, "", COUNTA(EE26:FH26) - SUMPRODUCT(--ISNUMBER(SEARCH("m", EE26:FH26))))</f>
        <v/>
      </c>
      <c r="FK26" s="6" t="n"/>
      <c r="FL26" s="6" t="n"/>
      <c r="FM26" s="6" t="n"/>
      <c r="FN26" s="6" t="n"/>
      <c r="FO26" s="6" t="n"/>
      <c r="FP26" s="6" t="n"/>
      <c r="FQ26" s="6" t="n"/>
      <c r="FR26" s="6" t="n"/>
      <c r="FS26" s="6" t="n"/>
      <c r="FT26" s="6" t="n"/>
      <c r="FU26" s="6" t="n"/>
      <c r="FV26" s="6" t="n"/>
      <c r="FW26" s="6" t="n"/>
      <c r="FX26" s="6" t="n"/>
      <c r="FY26" s="6" t="n"/>
      <c r="FZ26" s="6" t="n"/>
      <c r="GA26" s="6" t="n"/>
      <c r="GB26" s="6" t="n"/>
      <c r="GC26" s="6" t="n"/>
      <c r="GD26" s="6" t="n"/>
      <c r="GE26" s="20">
        <f>IFERROR(ROUND(AVERAGE(FK26,FM26,FO26,FQ26,FS26,FU26,FW26,FY26,GA26,GC26), 2), "")</f>
        <v/>
      </c>
      <c r="GF26" s="6" t="n"/>
      <c r="GG26" s="6" t="n"/>
      <c r="GH26" s="6" t="n"/>
      <c r="GI26" s="6" t="n"/>
      <c r="GJ26" s="6" t="n"/>
      <c r="GK26" s="6" t="n"/>
      <c r="GL26" s="6" t="n"/>
      <c r="GM26" s="6" t="n"/>
      <c r="GN26" s="6" t="n"/>
      <c r="GO26" s="6" t="n"/>
      <c r="GP26" s="6" t="n"/>
      <c r="GQ26" s="6" t="n"/>
      <c r="GR26" s="6" t="n"/>
      <c r="GS26" s="6" t="n"/>
      <c r="GT26" s="6" t="n"/>
      <c r="GU26" s="6" t="n"/>
      <c r="GV26" s="6" t="n"/>
      <c r="GW26" s="6" t="n"/>
      <c r="GX26" s="6" t="n"/>
      <c r="GY26" s="6" t="n"/>
      <c r="GZ26" s="6" t="n"/>
      <c r="HA26" s="6" t="n"/>
      <c r="HB26" s="6" t="n"/>
      <c r="HC26" s="6" t="n"/>
      <c r="HD26" s="6" t="n"/>
      <c r="HE26" s="6" t="n"/>
      <c r="HF26" s="6" t="n"/>
      <c r="HG26" s="6" t="n"/>
      <c r="HH26" s="6" t="n"/>
      <c r="HI26" s="6" t="n"/>
      <c r="HJ26" s="6">
        <f>IF(COUNTA(GF26:HI26)=0, "", SUMPRODUCT(--ISNUMBER(SEARCH("m", GF26:HI26))))</f>
        <v/>
      </c>
      <c r="HK26" s="6">
        <f>IF(COUNTA(GF26:HI26)=0, "", COUNTA(GF26:HI26) - SUMPRODUCT(--ISNUMBER(SEARCH("m", GF26:HI26))))</f>
        <v/>
      </c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20">
        <f>IFERROR(ROUND(AVERAGE(HL26,HN26,HP26,HR26,HT26,HV26,HX26,HZ26,IB26,ID26), 2), "")</f>
        <v/>
      </c>
      <c r="IG26" s="6" t="n"/>
      <c r="IH26" s="6" t="n"/>
      <c r="II26" s="6" t="n"/>
      <c r="IJ26" s="6" t="n"/>
      <c r="IK26" s="6" t="n"/>
      <c r="IL26" s="6" t="n"/>
      <c r="IM26" s="6" t="n"/>
      <c r="IN26" s="6" t="n"/>
      <c r="IO26" s="6" t="n"/>
      <c r="IP26" s="6" t="n"/>
      <c r="IQ26" s="6" t="n"/>
      <c r="IR26" s="6" t="n"/>
      <c r="IS26" s="6" t="n"/>
      <c r="IT26" s="6" t="n"/>
      <c r="IU26" s="6" t="n"/>
      <c r="IV26" s="6" t="n"/>
      <c r="IW26" s="6" t="n"/>
      <c r="IX26" s="6" t="n"/>
      <c r="IY26" s="6" t="n"/>
      <c r="IZ26" s="6" t="n"/>
      <c r="JA26" s="6" t="n"/>
      <c r="JB26" s="6" t="n"/>
      <c r="JC26" s="6" t="n"/>
      <c r="JD26" s="6" t="n"/>
      <c r="JE26" s="6" t="n"/>
      <c r="JF26" s="6" t="n"/>
      <c r="JG26" s="6" t="n"/>
      <c r="JH26" s="6" t="n"/>
      <c r="JI26" s="6" t="n"/>
      <c r="JJ26" s="6" t="n"/>
      <c r="JK26" s="6">
        <f>IF(COUNTA(IG26:JJ26)=0, "", SUMPRODUCT(--ISNUMBER(SEARCH("m", IG26:JJ26))))</f>
        <v/>
      </c>
      <c r="JL26" s="6">
        <f>IF(COUNTA(IG26:JJ26)=0, "", COUNTA(IG26:JJ26) - SUMPRODUCT(--ISNUMBER(SEARCH("m", IG26:JJ26))))</f>
        <v/>
      </c>
      <c r="JM26" s="6" t="n"/>
      <c r="JN26" s="6" t="n"/>
      <c r="JO26" s="6" t="n"/>
      <c r="JP26" s="6" t="n"/>
      <c r="JQ26" s="6" t="n"/>
      <c r="JR26" s="6" t="n"/>
      <c r="JS26" s="6" t="n"/>
      <c r="JT26" s="6" t="n"/>
      <c r="JU26" s="6" t="n"/>
      <c r="JV26" s="6" t="n"/>
      <c r="JW26" s="6" t="n"/>
      <c r="JX26" s="6" t="n"/>
      <c r="JY26" s="6" t="n"/>
      <c r="JZ26" s="6" t="n"/>
      <c r="KA26" s="6" t="n"/>
      <c r="KB26" s="6" t="n"/>
      <c r="KC26" s="6" t="n"/>
      <c r="KD26" s="6" t="n"/>
      <c r="KE26" s="6" t="n"/>
      <c r="KF26" s="6" t="n"/>
      <c r="KG26" s="20">
        <f>IFERROR(ROUND(AVERAGE(JM26,JO26,JQ26,JS26,JU26,JW26,JY26,KA26,KC26,KE26), 2), "")</f>
        <v/>
      </c>
      <c r="KH26" s="6" t="n"/>
      <c r="KI26" s="6" t="n"/>
      <c r="KJ26" s="6" t="n"/>
      <c r="KK26" s="6" t="n"/>
      <c r="KL26" s="6" t="n"/>
      <c r="KM26" s="6" t="n"/>
      <c r="KN26" s="6" t="n"/>
      <c r="KO26" s="6" t="n"/>
      <c r="KP26" s="6" t="n"/>
      <c r="KQ26" s="6" t="n"/>
      <c r="KR26" s="6" t="n"/>
      <c r="KS26" s="6" t="n"/>
      <c r="KT26" s="6" t="n"/>
      <c r="KU26" s="6" t="n"/>
      <c r="KV26" s="6" t="n"/>
      <c r="KW26" s="6" t="n"/>
      <c r="KX26" s="6" t="n"/>
      <c r="KY26" s="6" t="n"/>
      <c r="KZ26" s="6" t="n"/>
      <c r="LA26" s="6" t="n"/>
      <c r="LB26" s="6" t="n"/>
      <c r="LC26" s="6" t="n"/>
      <c r="LD26" s="6" t="n"/>
      <c r="LE26" s="6" t="n"/>
      <c r="LF26" s="6" t="n"/>
      <c r="LG26" s="6" t="n"/>
      <c r="LH26" s="6" t="n"/>
      <c r="LI26" s="6" t="n"/>
      <c r="LJ26" s="6" t="n"/>
      <c r="LK26" s="6" t="n"/>
      <c r="LL26" s="6">
        <f>IF(COUNTA(KH26:LK26)=0, "", SUMPRODUCT(--ISNUMBER(SEARCH("m", KH26:LK26))))</f>
        <v/>
      </c>
      <c r="LM26" s="6">
        <f>IF(COUNTA(KH26:LK26)=0, "", COUNTA(KH26:LK26) - SUMPRODUCT(--ISNUMBER(SEARCH("m", KH26:LK26))))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8">
        <f>IFERROR(ROUND(AVERAGE(AB27,CC27,ED27,GE27,IF27,KG27), 2), "")</f>
        <v/>
      </c>
      <c r="F27" s="14">
        <f>IF(SUM(BH27,DI27,FJ27,HK27,JL27,LM27)=0, "", SUM(BH27,DI27,FJ27,HK27,JL27,LM27))</f>
        <v/>
      </c>
      <c r="G27" s="8">
        <f>IF(SUM(BG27,DH27,FI27,HJ27,JK27,LL27)=0, "", SUM(BG27,DH27,FI27,HJ27,JK27,LL27))</f>
        <v/>
      </c>
      <c r="H27" s="6" t="n"/>
      <c r="I27" s="79" t="n"/>
      <c r="J27" s="6" t="n"/>
      <c r="K27" s="79" t="n"/>
      <c r="L27" s="6" t="n"/>
      <c r="M27" s="79" t="n"/>
      <c r="N27" s="6" t="n"/>
      <c r="O27" s="79" t="n"/>
      <c r="P27" s="6" t="n"/>
      <c r="Q27" s="79" t="n"/>
      <c r="R27" s="18" t="n"/>
      <c r="S27" s="79" t="n"/>
      <c r="T27" s="79" t="n"/>
      <c r="U27" s="79" t="n"/>
      <c r="V27" s="79" t="n"/>
      <c r="W27" s="79" t="n"/>
      <c r="X27" s="79" t="n"/>
      <c r="Y27" s="79" t="n"/>
      <c r="Z27" s="79" t="n"/>
      <c r="AA27" s="18" t="n"/>
      <c r="AB27" s="14">
        <f>IFERROR(ROUND(AVERAGE(H27,J27,L27,N27,P27,R27,T27,V27,X27,Z27), 2), "")</f>
        <v/>
      </c>
      <c r="AC27" s="6" t="n"/>
      <c r="AD27" s="79" t="n"/>
      <c r="AE27" s="6" t="n"/>
      <c r="AF27" s="79" t="n"/>
      <c r="AG27" s="6" t="n"/>
      <c r="AH27" s="79" t="n"/>
      <c r="AI27" s="6" t="n"/>
      <c r="AJ27" s="79" t="n"/>
      <c r="AK27" s="6" t="n"/>
      <c r="AL27" s="79" t="n"/>
      <c r="AM27" s="18" t="n"/>
      <c r="AN27" s="79" t="n"/>
      <c r="AO27" s="79" t="n"/>
      <c r="AP27" s="79" t="n"/>
      <c r="AQ27" s="79" t="n"/>
      <c r="AR27" s="79" t="n"/>
      <c r="AS27" s="79" t="n"/>
      <c r="AT27" s="79" t="n"/>
      <c r="AU27" s="79" t="n"/>
      <c r="AV27" s="18" t="n"/>
      <c r="AW27" s="19" t="n"/>
      <c r="AX27" s="6" t="n"/>
      <c r="AY27" s="79" t="n"/>
      <c r="AZ27" s="6" t="n"/>
      <c r="BA27" s="79" t="n"/>
      <c r="BB27" s="6" t="n"/>
      <c r="BC27" s="79" t="n"/>
      <c r="BD27" s="6" t="n"/>
      <c r="BE27" s="79" t="n"/>
      <c r="BF27" s="6" t="n"/>
      <c r="BG27" s="79">
        <f>IF(COUNTA(AC27:BF27)=0, "", SUMPRODUCT(--ISNUMBER(SEARCH("m", AC27:BF27))))</f>
        <v/>
      </c>
      <c r="BH27" s="18">
        <f>IF(COUNTA(AC27:BF27)=0, "", COUNTA(AC27:BF27) - SUMPRODUCT(--ISNUMBER(SEARCH("m", AC27:BF27))))</f>
        <v/>
      </c>
      <c r="BI27" s="79" t="n"/>
      <c r="BJ27" s="79" t="n"/>
      <c r="BK27" s="79" t="n"/>
      <c r="BL27" s="79" t="n"/>
      <c r="BM27" s="79" t="n"/>
      <c r="BN27" s="79" t="n"/>
      <c r="BO27" s="79" t="n"/>
      <c r="BP27" s="79" t="n"/>
      <c r="BQ27" s="18" t="n"/>
      <c r="BR27" s="19" t="n"/>
      <c r="BS27" s="6" t="n"/>
      <c r="BT27" s="79" t="n"/>
      <c r="BU27" s="6" t="n"/>
      <c r="BV27" s="79" t="n"/>
      <c r="BW27" s="6" t="n"/>
      <c r="BX27" s="79" t="n"/>
      <c r="BY27" s="6" t="n"/>
      <c r="BZ27" s="79" t="n"/>
      <c r="CA27" s="6" t="n"/>
      <c r="CB27" s="79" t="n"/>
      <c r="CC27" s="8">
        <f>IFERROR(ROUND(AVERAGE(BI27,BK27,BM27,BO27,BQ27,BS27,BU27,BW27,BY27,CA27), 2), "")</f>
        <v/>
      </c>
      <c r="CD27" s="79" t="n"/>
      <c r="CE27" s="79" t="n"/>
      <c r="CF27" s="79" t="n"/>
      <c r="CG27" s="79" t="n"/>
      <c r="CH27" s="79" t="n"/>
      <c r="CI27" s="79" t="n"/>
      <c r="CJ27" s="79" t="n"/>
      <c r="CK27" s="79" t="n"/>
      <c r="CL27" s="18" t="n"/>
      <c r="CM27" s="19" t="n"/>
      <c r="CN27" s="6" t="n"/>
      <c r="CO27" s="79" t="n"/>
      <c r="CP27" s="6" t="n"/>
      <c r="CQ27" s="79" t="n"/>
      <c r="CR27" s="6" t="n"/>
      <c r="CS27" s="79" t="n"/>
      <c r="CT27" s="6" t="n"/>
      <c r="CU27" s="79" t="n"/>
      <c r="CV27" s="6" t="n"/>
      <c r="CW27" s="79" t="n"/>
      <c r="CX27" s="18" t="n"/>
      <c r="CY27" s="79" t="n"/>
      <c r="CZ27" s="79" t="n"/>
      <c r="DA27" s="79" t="n"/>
      <c r="DB27" s="79" t="n"/>
      <c r="DC27" s="79" t="n"/>
      <c r="DD27" s="79" t="n"/>
      <c r="DE27" s="79" t="n"/>
      <c r="DF27" s="79" t="n"/>
      <c r="DG27" s="18" t="n"/>
      <c r="DH27" s="19">
        <f>IF(COUNTA(CD27:DG27)=0, "", SUMPRODUCT(--ISNUMBER(SEARCH("m", CD27:DG27))))</f>
        <v/>
      </c>
      <c r="DI27" s="6">
        <f>IF(COUNTA(CD27:DG27)=0, "", COUNTA(CD27:DG27) - SUMPRODUCT(--ISNUMBER(SEARCH("m", CD27:DG27))))</f>
        <v/>
      </c>
      <c r="DJ27" s="79" t="n"/>
      <c r="DK27" s="6" t="n"/>
      <c r="DL27" s="79" t="n"/>
      <c r="DM27" s="6" t="n"/>
      <c r="DN27" s="79" t="n"/>
      <c r="DO27" s="6" t="n"/>
      <c r="DP27" s="79" t="n"/>
      <c r="DQ27" s="6" t="n"/>
      <c r="DR27" s="79" t="n"/>
      <c r="DS27" s="18" t="n"/>
      <c r="DT27" s="79" t="n"/>
      <c r="DU27" s="79" t="n"/>
      <c r="DV27" s="79" t="n"/>
      <c r="DW27" s="79" t="n"/>
      <c r="DX27" s="79" t="n"/>
      <c r="DY27" s="79" t="n"/>
      <c r="DZ27" s="79" t="n"/>
      <c r="EA27" s="79" t="n"/>
      <c r="EB27" s="18" t="n"/>
      <c r="EC27" s="19" t="n"/>
      <c r="ED27" s="20">
        <f>IFERROR(ROUND(AVERAGE(DJ27,DL27,DN27,DP27,DR27,DT27,DV27,DX27,DZ27,EB27), 2), "")</f>
        <v/>
      </c>
      <c r="EE27" s="6" t="n"/>
      <c r="EF27" s="6" t="n"/>
      <c r="EG27" s="6" t="n"/>
      <c r="EH27" s="6" t="n"/>
      <c r="EI27" s="6" t="n"/>
      <c r="EJ27" s="6" t="n"/>
      <c r="EK27" s="6" t="n"/>
      <c r="EL27" s="6" t="n"/>
      <c r="EM27" s="6" t="n"/>
      <c r="EN27" s="6" t="n"/>
      <c r="EO27" s="6" t="n"/>
      <c r="EP27" s="6" t="n"/>
      <c r="EQ27" s="6" t="n"/>
      <c r="ER27" s="6" t="n"/>
      <c r="ES27" s="6" t="n"/>
      <c r="ET27" s="6" t="n"/>
      <c r="EU27" s="6" t="n"/>
      <c r="EV27" s="6" t="n"/>
      <c r="EW27" s="6" t="n"/>
      <c r="EX27" s="6" t="n"/>
      <c r="EY27" s="6" t="n"/>
      <c r="EZ27" s="6" t="n"/>
      <c r="FA27" s="6" t="n"/>
      <c r="FB27" s="6" t="n"/>
      <c r="FC27" s="6" t="n"/>
      <c r="FD27" s="6" t="n"/>
      <c r="FE27" s="6" t="n"/>
      <c r="FF27" s="6" t="n"/>
      <c r="FG27" s="6" t="n"/>
      <c r="FH27" s="6" t="n"/>
      <c r="FI27" s="6">
        <f>IF(COUNTA(EE27:FH27)=0, "", SUMPRODUCT(--ISNUMBER(SEARCH("m", EE27:FH27))))</f>
        <v/>
      </c>
      <c r="FJ27" s="6">
        <f>IF(COUNTA(EE27:FH27)=0, "", COUNTA(EE27:FH27) - SUMPRODUCT(--ISNUMBER(SEARCH("m", EE27:FH27))))</f>
        <v/>
      </c>
      <c r="FK27" s="6" t="n"/>
      <c r="FL27" s="6" t="n"/>
      <c r="FM27" s="6" t="n"/>
      <c r="FN27" s="6" t="n"/>
      <c r="FO27" s="6" t="n"/>
      <c r="FP27" s="6" t="n"/>
      <c r="FQ27" s="6" t="n"/>
      <c r="FR27" s="6" t="n"/>
      <c r="FS27" s="6" t="n"/>
      <c r="FT27" s="6" t="n"/>
      <c r="FU27" s="6" t="n"/>
      <c r="FV27" s="6" t="n"/>
      <c r="FW27" s="6" t="n"/>
      <c r="FX27" s="6" t="n"/>
      <c r="FY27" s="6" t="n"/>
      <c r="FZ27" s="6" t="n"/>
      <c r="GA27" s="6" t="n"/>
      <c r="GB27" s="6" t="n"/>
      <c r="GC27" s="6" t="n"/>
      <c r="GD27" s="6" t="n"/>
      <c r="GE27" s="20">
        <f>IFERROR(ROUND(AVERAGE(FK27,FM27,FO27,FQ27,FS27,FU27,FW27,FY27,GA27,GC27), 2), "")</f>
        <v/>
      </c>
      <c r="GF27" s="6" t="n"/>
      <c r="GG27" s="6" t="n"/>
      <c r="GH27" s="6" t="n"/>
      <c r="GI27" s="6" t="n"/>
      <c r="GJ27" s="6" t="n"/>
      <c r="GK27" s="6" t="n"/>
      <c r="GL27" s="6" t="n"/>
      <c r="GM27" s="6" t="n"/>
      <c r="GN27" s="6" t="n"/>
      <c r="GO27" s="6" t="n"/>
      <c r="GP27" s="6" t="n"/>
      <c r="GQ27" s="6" t="n"/>
      <c r="GR27" s="6" t="n"/>
      <c r="GS27" s="6" t="n"/>
      <c r="GT27" s="6" t="n"/>
      <c r="GU27" s="6" t="n"/>
      <c r="GV27" s="6" t="n"/>
      <c r="GW27" s="6" t="n"/>
      <c r="GX27" s="6" t="n"/>
      <c r="GY27" s="6" t="n"/>
      <c r="GZ27" s="6" t="n"/>
      <c r="HA27" s="6" t="n"/>
      <c r="HB27" s="6" t="n"/>
      <c r="HC27" s="6" t="n"/>
      <c r="HD27" s="6" t="n"/>
      <c r="HE27" s="6" t="n"/>
      <c r="HF27" s="6" t="n"/>
      <c r="HG27" s="6" t="n"/>
      <c r="HH27" s="6" t="n"/>
      <c r="HI27" s="6" t="n"/>
      <c r="HJ27" s="6">
        <f>IF(COUNTA(GF27:HI27)=0, "", SUMPRODUCT(--ISNUMBER(SEARCH("m", GF27:HI27))))</f>
        <v/>
      </c>
      <c r="HK27" s="6">
        <f>IF(COUNTA(GF27:HI27)=0, "", COUNTA(GF27:HI27) - SUMPRODUCT(--ISNUMBER(SEARCH("m", GF27:HI27))))</f>
        <v/>
      </c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20">
        <f>IFERROR(ROUND(AVERAGE(HL27,HN27,HP27,HR27,HT27,HV27,HX27,HZ27,IB27,ID27), 2), "")</f>
        <v/>
      </c>
      <c r="IG27" s="6" t="n"/>
      <c r="IH27" s="6" t="n"/>
      <c r="II27" s="6" t="n"/>
      <c r="IJ27" s="6" t="n"/>
      <c r="IK27" s="6" t="n"/>
      <c r="IL27" s="6" t="n"/>
      <c r="IM27" s="6" t="n"/>
      <c r="IN27" s="6" t="n"/>
      <c r="IO27" s="6" t="n"/>
      <c r="IP27" s="6" t="n"/>
      <c r="IQ27" s="6" t="n"/>
      <c r="IR27" s="6" t="n"/>
      <c r="IS27" s="6" t="n"/>
      <c r="IT27" s="6" t="n"/>
      <c r="IU27" s="6" t="n"/>
      <c r="IV27" s="6" t="n"/>
      <c r="IW27" s="6" t="n"/>
      <c r="IX27" s="6" t="n"/>
      <c r="IY27" s="6" t="n"/>
      <c r="IZ27" s="6" t="n"/>
      <c r="JA27" s="6" t="n"/>
      <c r="JB27" s="6" t="n"/>
      <c r="JC27" s="6" t="n"/>
      <c r="JD27" s="6" t="n"/>
      <c r="JE27" s="6" t="n"/>
      <c r="JF27" s="6" t="n"/>
      <c r="JG27" s="6" t="n"/>
      <c r="JH27" s="6" t="n"/>
      <c r="JI27" s="6" t="n"/>
      <c r="JJ27" s="6" t="n"/>
      <c r="JK27" s="6">
        <f>IF(COUNTA(IG27:JJ27)=0, "", SUMPRODUCT(--ISNUMBER(SEARCH("m", IG27:JJ27))))</f>
        <v/>
      </c>
      <c r="JL27" s="6">
        <f>IF(COUNTA(IG27:JJ27)=0, "", COUNTA(IG27:JJ27) - SUMPRODUCT(--ISNUMBER(SEARCH("m", IG27:JJ27))))</f>
        <v/>
      </c>
      <c r="JM27" s="6" t="n"/>
      <c r="JN27" s="6" t="n"/>
      <c r="JO27" s="6" t="n"/>
      <c r="JP27" s="6" t="n"/>
      <c r="JQ27" s="6" t="n"/>
      <c r="JR27" s="6" t="n"/>
      <c r="JS27" s="6" t="n"/>
      <c r="JT27" s="6" t="n"/>
      <c r="JU27" s="6" t="n"/>
      <c r="JV27" s="6" t="n"/>
      <c r="JW27" s="6" t="n"/>
      <c r="JX27" s="6" t="n"/>
      <c r="JY27" s="6" t="n"/>
      <c r="JZ27" s="6" t="n"/>
      <c r="KA27" s="6" t="n"/>
      <c r="KB27" s="6" t="n"/>
      <c r="KC27" s="6" t="n"/>
      <c r="KD27" s="6" t="n"/>
      <c r="KE27" s="6" t="n"/>
      <c r="KF27" s="6" t="n"/>
      <c r="KG27" s="20">
        <f>IFERROR(ROUND(AVERAGE(JM27,JO27,JQ27,JS27,JU27,JW27,JY27,KA27,KC27,KE27), 2), "")</f>
        <v/>
      </c>
      <c r="KH27" s="6" t="n"/>
      <c r="KI27" s="6" t="n"/>
      <c r="KJ27" s="6" t="n"/>
      <c r="KK27" s="6" t="n"/>
      <c r="KL27" s="6" t="n"/>
      <c r="KM27" s="6" t="n"/>
      <c r="KN27" s="6" t="n"/>
      <c r="KO27" s="6" t="n"/>
      <c r="KP27" s="6" t="n"/>
      <c r="KQ27" s="6" t="n"/>
      <c r="KR27" s="6" t="n"/>
      <c r="KS27" s="6" t="n"/>
      <c r="KT27" s="6" t="n"/>
      <c r="KU27" s="6" t="n"/>
      <c r="KV27" s="6" t="n"/>
      <c r="KW27" s="6" t="n"/>
      <c r="KX27" s="6" t="n"/>
      <c r="KY27" s="6" t="n"/>
      <c r="KZ27" s="6" t="n"/>
      <c r="LA27" s="6" t="n"/>
      <c r="LB27" s="6" t="n"/>
      <c r="LC27" s="6" t="n"/>
      <c r="LD27" s="6" t="n"/>
      <c r="LE27" s="6" t="n"/>
      <c r="LF27" s="6" t="n"/>
      <c r="LG27" s="6" t="n"/>
      <c r="LH27" s="6" t="n"/>
      <c r="LI27" s="6" t="n"/>
      <c r="LJ27" s="6" t="n"/>
      <c r="LK27" s="6" t="n"/>
      <c r="LL27" s="6">
        <f>IF(COUNTA(KH27:LK27)=0, "", SUMPRODUCT(--ISNUMBER(SEARCH("m", KH27:LK27))))</f>
        <v/>
      </c>
      <c r="LM27" s="6">
        <f>IF(COUNTA(KH27:LK27)=0, "", COUNTA(KH27:LK27) - SUMPRODUCT(--ISNUMBER(SEARCH("m", KH27:LK27))))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8">
        <f>IFERROR(ROUND(AVERAGE(AB28,CC28,ED28,GE28,IF28,KG28), 2), "")</f>
        <v/>
      </c>
      <c r="F28" s="14">
        <f>IF(SUM(BH28,DI28,FJ28,HK28,JL28,LM28)=0, "", SUM(BH28,DI28,FJ28,HK28,JL28,LM28))</f>
        <v/>
      </c>
      <c r="G28" s="8">
        <f>IF(SUM(BG28,DH28,FI28,HJ28,JK28,LL28)=0, "", SUM(BG28,DH28,FI28,HJ28,JK28,LL28))</f>
        <v/>
      </c>
      <c r="H28" s="6" t="n"/>
      <c r="I28" s="79" t="n"/>
      <c r="J28" s="6" t="n"/>
      <c r="K28" s="79" t="n"/>
      <c r="L28" s="6" t="n"/>
      <c r="M28" s="79" t="n"/>
      <c r="N28" s="6" t="n"/>
      <c r="O28" s="79" t="n"/>
      <c r="P28" s="6" t="n"/>
      <c r="Q28" s="79" t="n"/>
      <c r="R28" s="18" t="n"/>
      <c r="S28" s="79" t="n"/>
      <c r="T28" s="79" t="n"/>
      <c r="U28" s="79" t="n"/>
      <c r="V28" s="79" t="n"/>
      <c r="W28" s="79" t="n"/>
      <c r="X28" s="79" t="n"/>
      <c r="Y28" s="79" t="n"/>
      <c r="Z28" s="79" t="n"/>
      <c r="AA28" s="18" t="n"/>
      <c r="AB28" s="14">
        <f>IFERROR(ROUND(AVERAGE(H28,J28,L28,N28,P28,R28,T28,V28,X28,Z28), 2), "")</f>
        <v/>
      </c>
      <c r="AC28" s="6" t="n"/>
      <c r="AD28" s="79" t="n"/>
      <c r="AE28" s="6" t="n"/>
      <c r="AF28" s="79" t="n"/>
      <c r="AG28" s="6" t="n"/>
      <c r="AH28" s="79" t="n"/>
      <c r="AI28" s="6" t="n"/>
      <c r="AJ28" s="79" t="n"/>
      <c r="AK28" s="6" t="n"/>
      <c r="AL28" s="79" t="n"/>
      <c r="AM28" s="18" t="n"/>
      <c r="AN28" s="79" t="n"/>
      <c r="AO28" s="79" t="n"/>
      <c r="AP28" s="79" t="n"/>
      <c r="AQ28" s="79" t="n"/>
      <c r="AR28" s="79" t="n"/>
      <c r="AS28" s="79" t="n"/>
      <c r="AT28" s="79" t="n"/>
      <c r="AU28" s="79" t="n"/>
      <c r="AV28" s="18" t="n"/>
      <c r="AW28" s="19" t="n"/>
      <c r="AX28" s="6" t="n"/>
      <c r="AY28" s="79" t="n"/>
      <c r="AZ28" s="6" t="n"/>
      <c r="BA28" s="79" t="n"/>
      <c r="BB28" s="6" t="n"/>
      <c r="BC28" s="79" t="n"/>
      <c r="BD28" s="6" t="n"/>
      <c r="BE28" s="79" t="n"/>
      <c r="BF28" s="6" t="n"/>
      <c r="BG28" s="79">
        <f>IF(COUNTA(AC28:BF28)=0, "", SUMPRODUCT(--ISNUMBER(SEARCH("m", AC28:BF28))))</f>
        <v/>
      </c>
      <c r="BH28" s="18">
        <f>IF(COUNTA(AC28:BF28)=0, "", COUNTA(AC28:BF28) - SUMPRODUCT(--ISNUMBER(SEARCH("m", AC28:BF28))))</f>
        <v/>
      </c>
      <c r="BI28" s="79" t="n"/>
      <c r="BJ28" s="79" t="n"/>
      <c r="BK28" s="79" t="n"/>
      <c r="BL28" s="79" t="n"/>
      <c r="BM28" s="79" t="n"/>
      <c r="BN28" s="79" t="n"/>
      <c r="BO28" s="79" t="n"/>
      <c r="BP28" s="79" t="n"/>
      <c r="BQ28" s="18" t="n"/>
      <c r="BR28" s="19" t="n"/>
      <c r="BS28" s="6" t="n"/>
      <c r="BT28" s="79" t="n"/>
      <c r="BU28" s="6" t="n"/>
      <c r="BV28" s="79" t="n"/>
      <c r="BW28" s="6" t="n"/>
      <c r="BX28" s="79" t="n"/>
      <c r="BY28" s="6" t="n"/>
      <c r="BZ28" s="79" t="n"/>
      <c r="CA28" s="6" t="n"/>
      <c r="CB28" s="79" t="n"/>
      <c r="CC28" s="8">
        <f>IFERROR(ROUND(AVERAGE(BI28,BK28,BM28,BO28,BQ28,BS28,BU28,BW28,BY28,CA28), 2), "")</f>
        <v/>
      </c>
      <c r="CD28" s="79" t="n"/>
      <c r="CE28" s="79" t="n"/>
      <c r="CF28" s="79" t="n"/>
      <c r="CG28" s="79" t="n"/>
      <c r="CH28" s="79" t="n"/>
      <c r="CI28" s="79" t="n"/>
      <c r="CJ28" s="79" t="n"/>
      <c r="CK28" s="79" t="n"/>
      <c r="CL28" s="18" t="n"/>
      <c r="CM28" s="19" t="n"/>
      <c r="CN28" s="6" t="n"/>
      <c r="CO28" s="79" t="n"/>
      <c r="CP28" s="6" t="n"/>
      <c r="CQ28" s="79" t="n"/>
      <c r="CR28" s="6" t="n"/>
      <c r="CS28" s="79" t="n"/>
      <c r="CT28" s="6" t="n"/>
      <c r="CU28" s="79" t="n"/>
      <c r="CV28" s="6" t="n"/>
      <c r="CW28" s="79" t="n"/>
      <c r="CX28" s="18" t="n"/>
      <c r="CY28" s="79" t="n"/>
      <c r="CZ28" s="79" t="n"/>
      <c r="DA28" s="79" t="n"/>
      <c r="DB28" s="79" t="n"/>
      <c r="DC28" s="79" t="n"/>
      <c r="DD28" s="79" t="n"/>
      <c r="DE28" s="79" t="n"/>
      <c r="DF28" s="79" t="n"/>
      <c r="DG28" s="18" t="n"/>
      <c r="DH28" s="19">
        <f>IF(COUNTA(CD28:DG28)=0, "", SUMPRODUCT(--ISNUMBER(SEARCH("m", CD28:DG28))))</f>
        <v/>
      </c>
      <c r="DI28" s="6">
        <f>IF(COUNTA(CD28:DG28)=0, "", COUNTA(CD28:DG28) - SUMPRODUCT(--ISNUMBER(SEARCH("m", CD28:DG28))))</f>
        <v/>
      </c>
      <c r="DJ28" s="79" t="n"/>
      <c r="DK28" s="6" t="n"/>
      <c r="DL28" s="79" t="n"/>
      <c r="DM28" s="6" t="n"/>
      <c r="DN28" s="79" t="n"/>
      <c r="DO28" s="6" t="n"/>
      <c r="DP28" s="79" t="n"/>
      <c r="DQ28" s="6" t="n"/>
      <c r="DR28" s="79" t="n"/>
      <c r="DS28" s="18" t="n"/>
      <c r="DT28" s="79" t="n"/>
      <c r="DU28" s="79" t="n"/>
      <c r="DV28" s="79" t="n"/>
      <c r="DW28" s="79" t="n"/>
      <c r="DX28" s="79" t="n"/>
      <c r="DY28" s="79" t="n"/>
      <c r="DZ28" s="79" t="n"/>
      <c r="EA28" s="79" t="n"/>
      <c r="EB28" s="18" t="n"/>
      <c r="EC28" s="19" t="n"/>
      <c r="ED28" s="20">
        <f>IFERROR(ROUND(AVERAGE(DJ28,DL28,DN28,DP28,DR28,DT28,DV28,DX28,DZ28,EB28), 2), "")</f>
        <v/>
      </c>
      <c r="EE28" s="6" t="n"/>
      <c r="EF28" s="6" t="n"/>
      <c r="EG28" s="6" t="n"/>
      <c r="EH28" s="6" t="n"/>
      <c r="EI28" s="6" t="n"/>
      <c r="EJ28" s="6" t="n"/>
      <c r="EK28" s="6" t="n"/>
      <c r="EL28" s="6" t="n"/>
      <c r="EM28" s="6" t="n"/>
      <c r="EN28" s="6" t="n"/>
      <c r="EO28" s="6" t="n"/>
      <c r="EP28" s="6" t="n"/>
      <c r="EQ28" s="6" t="n"/>
      <c r="ER28" s="6" t="n"/>
      <c r="ES28" s="6" t="n"/>
      <c r="ET28" s="6" t="n"/>
      <c r="EU28" s="6" t="n"/>
      <c r="EV28" s="6" t="n"/>
      <c r="EW28" s="6" t="n"/>
      <c r="EX28" s="6" t="n"/>
      <c r="EY28" s="6" t="n"/>
      <c r="EZ28" s="6" t="n"/>
      <c r="FA28" s="6" t="n"/>
      <c r="FB28" s="6" t="n"/>
      <c r="FC28" s="6" t="n"/>
      <c r="FD28" s="6" t="n"/>
      <c r="FE28" s="6" t="n"/>
      <c r="FF28" s="6" t="n"/>
      <c r="FG28" s="6" t="n"/>
      <c r="FH28" s="6" t="n"/>
      <c r="FI28" s="6">
        <f>IF(COUNTA(EE28:FH28)=0, "", SUMPRODUCT(--ISNUMBER(SEARCH("m", EE28:FH28))))</f>
        <v/>
      </c>
      <c r="FJ28" s="6">
        <f>IF(COUNTA(EE28:FH28)=0, "", COUNTA(EE28:FH28) - SUMPRODUCT(--ISNUMBER(SEARCH("m", EE28:FH28))))</f>
        <v/>
      </c>
      <c r="FK28" s="6" t="n"/>
      <c r="FL28" s="6" t="n"/>
      <c r="FM28" s="6" t="n"/>
      <c r="FN28" s="6" t="n"/>
      <c r="FO28" s="6" t="n"/>
      <c r="FP28" s="6" t="n"/>
      <c r="FQ28" s="6" t="n"/>
      <c r="FR28" s="6" t="n"/>
      <c r="FS28" s="6" t="n"/>
      <c r="FT28" s="6" t="n"/>
      <c r="FU28" s="6" t="n"/>
      <c r="FV28" s="6" t="n"/>
      <c r="FW28" s="6" t="n"/>
      <c r="FX28" s="6" t="n"/>
      <c r="FY28" s="6" t="n"/>
      <c r="FZ28" s="6" t="n"/>
      <c r="GA28" s="6" t="n"/>
      <c r="GB28" s="6" t="n"/>
      <c r="GC28" s="6" t="n"/>
      <c r="GD28" s="6" t="n"/>
      <c r="GE28" s="20">
        <f>IFERROR(ROUND(AVERAGE(FK28,FM28,FO28,FQ28,FS28,FU28,FW28,FY28,GA28,GC28), 2), "")</f>
        <v/>
      </c>
      <c r="GF28" s="6" t="n"/>
      <c r="GG28" s="6" t="n"/>
      <c r="GH28" s="6" t="n"/>
      <c r="GI28" s="6" t="n"/>
      <c r="GJ28" s="6" t="n"/>
      <c r="GK28" s="6" t="n"/>
      <c r="GL28" s="6" t="n"/>
      <c r="GM28" s="6" t="n"/>
      <c r="GN28" s="6" t="n"/>
      <c r="GO28" s="6" t="n"/>
      <c r="GP28" s="6" t="n"/>
      <c r="GQ28" s="6" t="n"/>
      <c r="GR28" s="6" t="n"/>
      <c r="GS28" s="6" t="n"/>
      <c r="GT28" s="6" t="n"/>
      <c r="GU28" s="6" t="n"/>
      <c r="GV28" s="6" t="n"/>
      <c r="GW28" s="6" t="n"/>
      <c r="GX28" s="6" t="n"/>
      <c r="GY28" s="6" t="n"/>
      <c r="GZ28" s="6" t="n"/>
      <c r="HA28" s="6" t="n"/>
      <c r="HB28" s="6" t="n"/>
      <c r="HC28" s="6" t="n"/>
      <c r="HD28" s="6" t="n"/>
      <c r="HE28" s="6" t="n"/>
      <c r="HF28" s="6" t="n"/>
      <c r="HG28" s="6" t="n"/>
      <c r="HH28" s="6" t="n"/>
      <c r="HI28" s="6" t="n"/>
      <c r="HJ28" s="6">
        <f>IF(COUNTA(GF28:HI28)=0, "", SUMPRODUCT(--ISNUMBER(SEARCH("m", GF28:HI28))))</f>
        <v/>
      </c>
      <c r="HK28" s="6">
        <f>IF(COUNTA(GF28:HI28)=0, "", COUNTA(GF28:HI28) - SUMPRODUCT(--ISNUMBER(SEARCH("m", GF28:HI28))))</f>
        <v/>
      </c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20">
        <f>IFERROR(ROUND(AVERAGE(HL28,HN28,HP28,HR28,HT28,HV28,HX28,HZ28,IB28,ID28), 2), "")</f>
        <v/>
      </c>
      <c r="IG28" s="6" t="n"/>
      <c r="IH28" s="6" t="n"/>
      <c r="II28" s="6" t="n"/>
      <c r="IJ28" s="6" t="n"/>
      <c r="IK28" s="6" t="n"/>
      <c r="IL28" s="6" t="n"/>
      <c r="IM28" s="6" t="n"/>
      <c r="IN28" s="6" t="n"/>
      <c r="IO28" s="6" t="n"/>
      <c r="IP28" s="6" t="n"/>
      <c r="IQ28" s="6" t="n"/>
      <c r="IR28" s="6" t="n"/>
      <c r="IS28" s="6" t="n"/>
      <c r="IT28" s="6" t="n"/>
      <c r="IU28" s="6" t="n"/>
      <c r="IV28" s="6" t="n"/>
      <c r="IW28" s="6" t="n"/>
      <c r="IX28" s="6" t="n"/>
      <c r="IY28" s="6" t="n"/>
      <c r="IZ28" s="6" t="n"/>
      <c r="JA28" s="6" t="n"/>
      <c r="JB28" s="6" t="n"/>
      <c r="JC28" s="6" t="n"/>
      <c r="JD28" s="6" t="n"/>
      <c r="JE28" s="6" t="n"/>
      <c r="JF28" s="6" t="n"/>
      <c r="JG28" s="6" t="n"/>
      <c r="JH28" s="6" t="n"/>
      <c r="JI28" s="6" t="n"/>
      <c r="JJ28" s="6" t="n"/>
      <c r="JK28" s="6">
        <f>IF(COUNTA(IG28:JJ28)=0, "", SUMPRODUCT(--ISNUMBER(SEARCH("m", IG28:JJ28))))</f>
        <v/>
      </c>
      <c r="JL28" s="6">
        <f>IF(COUNTA(IG28:JJ28)=0, "", COUNTA(IG28:JJ28) - SUMPRODUCT(--ISNUMBER(SEARCH("m", IG28:JJ28))))</f>
        <v/>
      </c>
      <c r="JM28" s="6" t="n"/>
      <c r="JN28" s="6" t="n"/>
      <c r="JO28" s="6" t="n"/>
      <c r="JP28" s="6" t="n"/>
      <c r="JQ28" s="6" t="n"/>
      <c r="JR28" s="6" t="n"/>
      <c r="JS28" s="6" t="n"/>
      <c r="JT28" s="6" t="n"/>
      <c r="JU28" s="6" t="n"/>
      <c r="JV28" s="6" t="n"/>
      <c r="JW28" s="6" t="n"/>
      <c r="JX28" s="6" t="n"/>
      <c r="JY28" s="6" t="n"/>
      <c r="JZ28" s="6" t="n"/>
      <c r="KA28" s="6" t="n"/>
      <c r="KB28" s="6" t="n"/>
      <c r="KC28" s="6" t="n"/>
      <c r="KD28" s="6" t="n"/>
      <c r="KE28" s="6" t="n"/>
      <c r="KF28" s="6" t="n"/>
      <c r="KG28" s="20">
        <f>IFERROR(ROUND(AVERAGE(JM28,JO28,JQ28,JS28,JU28,JW28,JY28,KA28,KC28,KE28), 2), "")</f>
        <v/>
      </c>
      <c r="KH28" s="6" t="n"/>
      <c r="KI28" s="6" t="n"/>
      <c r="KJ28" s="6" t="n"/>
      <c r="KK28" s="6" t="n"/>
      <c r="KL28" s="6" t="n"/>
      <c r="KM28" s="6" t="n"/>
      <c r="KN28" s="6" t="n"/>
      <c r="KO28" s="6" t="n"/>
      <c r="KP28" s="6" t="n"/>
      <c r="KQ28" s="6" t="n"/>
      <c r="KR28" s="6" t="n"/>
      <c r="KS28" s="6" t="n"/>
      <c r="KT28" s="6" t="n"/>
      <c r="KU28" s="6" t="n"/>
      <c r="KV28" s="6" t="n"/>
      <c r="KW28" s="6" t="n"/>
      <c r="KX28" s="6" t="n"/>
      <c r="KY28" s="6" t="n"/>
      <c r="KZ28" s="6" t="n"/>
      <c r="LA28" s="6" t="n"/>
      <c r="LB28" s="6" t="n"/>
      <c r="LC28" s="6" t="n"/>
      <c r="LD28" s="6" t="n"/>
      <c r="LE28" s="6" t="n"/>
      <c r="LF28" s="6" t="n"/>
      <c r="LG28" s="6" t="n"/>
      <c r="LH28" s="6" t="n"/>
      <c r="LI28" s="6" t="n"/>
      <c r="LJ28" s="6" t="n"/>
      <c r="LK28" s="6" t="n"/>
      <c r="LL28" s="6">
        <f>IF(COUNTA(KH28:LK28)=0, "", SUMPRODUCT(--ISNUMBER(SEARCH("m", KH28:LK28))))</f>
        <v/>
      </c>
      <c r="LM28" s="6">
        <f>IF(COUNTA(KH28:LK28)=0, "", COUNTA(KH28:LK28) - SUMPRODUCT(--ISNUMBER(SEARCH("m", KH28:LK28))))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8">
        <f>IFERROR(ROUND(AVERAGE(AB29,CC29,ED29,GE29,IF29,KG29), 2), "")</f>
        <v/>
      </c>
      <c r="F29" s="14">
        <f>IF(SUM(BH29,DI29,FJ29,HK29,JL29,LM29)=0, "", SUM(BH29,DI29,FJ29,HK29,JL29,LM29))</f>
        <v/>
      </c>
      <c r="G29" s="8">
        <f>IF(SUM(BG29,DH29,FI29,HJ29,JK29,LL29)=0, "", SUM(BG29,DH29,FI29,HJ29,JK29,LL29))</f>
        <v/>
      </c>
      <c r="H29" s="6" t="n"/>
      <c r="I29" s="79" t="n"/>
      <c r="J29" s="6" t="n"/>
      <c r="K29" s="79" t="n"/>
      <c r="L29" s="6" t="n"/>
      <c r="M29" s="79" t="n"/>
      <c r="N29" s="6" t="n"/>
      <c r="O29" s="79" t="n"/>
      <c r="P29" s="6" t="n"/>
      <c r="Q29" s="79" t="n"/>
      <c r="R29" s="18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18" t="n"/>
      <c r="AB29" s="14">
        <f>IFERROR(ROUND(AVERAGE(H29,J29,L29,N29,P29,R29,T29,V29,X29,Z29), 2), "")</f>
        <v/>
      </c>
      <c r="AC29" s="6" t="n"/>
      <c r="AD29" s="79" t="n"/>
      <c r="AE29" s="6" t="n"/>
      <c r="AF29" s="79" t="n"/>
      <c r="AG29" s="6" t="n"/>
      <c r="AH29" s="79" t="n"/>
      <c r="AI29" s="6" t="n"/>
      <c r="AJ29" s="79" t="n"/>
      <c r="AK29" s="6" t="n"/>
      <c r="AL29" s="79" t="n"/>
      <c r="AM29" s="18" t="n"/>
      <c r="AN29" s="79" t="n"/>
      <c r="AO29" s="79" t="n"/>
      <c r="AP29" s="79" t="n"/>
      <c r="AQ29" s="79" t="n"/>
      <c r="AR29" s="79" t="n"/>
      <c r="AS29" s="79" t="n"/>
      <c r="AT29" s="79" t="n"/>
      <c r="AU29" s="79" t="n"/>
      <c r="AV29" s="18" t="n"/>
      <c r="AW29" s="19" t="n"/>
      <c r="AX29" s="6" t="n"/>
      <c r="AY29" s="79" t="n"/>
      <c r="AZ29" s="6" t="n"/>
      <c r="BA29" s="79" t="n"/>
      <c r="BB29" s="6" t="n"/>
      <c r="BC29" s="79" t="n"/>
      <c r="BD29" s="6" t="n"/>
      <c r="BE29" s="79" t="n"/>
      <c r="BF29" s="6" t="n"/>
      <c r="BG29" s="79">
        <f>IF(COUNTA(AC29:BF29)=0, "", SUMPRODUCT(--ISNUMBER(SEARCH("m", AC29:BF29))))</f>
        <v/>
      </c>
      <c r="BH29" s="18">
        <f>IF(COUNTA(AC29:BF29)=0, "", COUNTA(AC29:BF29) - SUMPRODUCT(--ISNUMBER(SEARCH("m", AC29:BF29))))</f>
        <v/>
      </c>
      <c r="BI29" s="79" t="n"/>
      <c r="BJ29" s="79" t="n"/>
      <c r="BK29" s="79" t="n"/>
      <c r="BL29" s="79" t="n"/>
      <c r="BM29" s="79" t="n"/>
      <c r="BN29" s="79" t="n"/>
      <c r="BO29" s="79" t="n"/>
      <c r="BP29" s="79" t="n"/>
      <c r="BQ29" s="18" t="n"/>
      <c r="BR29" s="19" t="n"/>
      <c r="BS29" s="6" t="n"/>
      <c r="BT29" s="79" t="n"/>
      <c r="BU29" s="6" t="n"/>
      <c r="BV29" s="79" t="n"/>
      <c r="BW29" s="6" t="n"/>
      <c r="BX29" s="79" t="n"/>
      <c r="BY29" s="6" t="n"/>
      <c r="BZ29" s="79" t="n"/>
      <c r="CA29" s="6" t="n"/>
      <c r="CB29" s="79" t="n"/>
      <c r="CC29" s="8">
        <f>IFERROR(ROUND(AVERAGE(BI29,BK29,BM29,BO29,BQ29,BS29,BU29,BW29,BY29,CA29), 2), "")</f>
        <v/>
      </c>
      <c r="CD29" s="79" t="n"/>
      <c r="CE29" s="79" t="n"/>
      <c r="CF29" s="79" t="n"/>
      <c r="CG29" s="79" t="n"/>
      <c r="CH29" s="79" t="n"/>
      <c r="CI29" s="79" t="n"/>
      <c r="CJ29" s="79" t="n"/>
      <c r="CK29" s="79" t="n"/>
      <c r="CL29" s="18" t="n"/>
      <c r="CM29" s="19" t="n"/>
      <c r="CN29" s="6" t="n"/>
      <c r="CO29" s="79" t="n"/>
      <c r="CP29" s="6" t="n"/>
      <c r="CQ29" s="79" t="n"/>
      <c r="CR29" s="6" t="n"/>
      <c r="CS29" s="79" t="n"/>
      <c r="CT29" s="6" t="n"/>
      <c r="CU29" s="79" t="n"/>
      <c r="CV29" s="6" t="n"/>
      <c r="CW29" s="79" t="n"/>
      <c r="CX29" s="18" t="n"/>
      <c r="CY29" s="79" t="n"/>
      <c r="CZ29" s="79" t="n"/>
      <c r="DA29" s="79" t="n"/>
      <c r="DB29" s="79" t="n"/>
      <c r="DC29" s="79" t="n"/>
      <c r="DD29" s="79" t="n"/>
      <c r="DE29" s="79" t="n"/>
      <c r="DF29" s="79" t="n"/>
      <c r="DG29" s="18" t="n"/>
      <c r="DH29" s="19">
        <f>IF(COUNTA(CD29:DG29)=0, "", SUMPRODUCT(--ISNUMBER(SEARCH("m", CD29:DG29))))</f>
        <v/>
      </c>
      <c r="DI29" s="6">
        <f>IF(COUNTA(CD29:DG29)=0, "", COUNTA(CD29:DG29) - SUMPRODUCT(--ISNUMBER(SEARCH("m", CD29:DG29))))</f>
        <v/>
      </c>
      <c r="DJ29" s="79" t="n"/>
      <c r="DK29" s="6" t="n"/>
      <c r="DL29" s="79" t="n"/>
      <c r="DM29" s="6" t="n"/>
      <c r="DN29" s="79" t="n"/>
      <c r="DO29" s="6" t="n"/>
      <c r="DP29" s="79" t="n"/>
      <c r="DQ29" s="6" t="n"/>
      <c r="DR29" s="79" t="n"/>
      <c r="DS29" s="18" t="n"/>
      <c r="DT29" s="79" t="n"/>
      <c r="DU29" s="79" t="n"/>
      <c r="DV29" s="79" t="n"/>
      <c r="DW29" s="79" t="n"/>
      <c r="DX29" s="79" t="n"/>
      <c r="DY29" s="79" t="n"/>
      <c r="DZ29" s="79" t="n"/>
      <c r="EA29" s="79" t="n"/>
      <c r="EB29" s="18" t="n"/>
      <c r="EC29" s="19" t="n"/>
      <c r="ED29" s="20">
        <f>IFERROR(ROUND(AVERAGE(DJ29,DL29,DN29,DP29,DR29,DT29,DV29,DX29,DZ29,EB29), 2), "")</f>
        <v/>
      </c>
      <c r="EE29" s="6" t="n"/>
      <c r="EF29" s="6" t="n"/>
      <c r="EG29" s="6" t="n"/>
      <c r="EH29" s="6" t="n"/>
      <c r="EI29" s="6" t="n"/>
      <c r="EJ29" s="6" t="n"/>
      <c r="EK29" s="6" t="n"/>
      <c r="EL29" s="6" t="n"/>
      <c r="EM29" s="6" t="n"/>
      <c r="EN29" s="6" t="n"/>
      <c r="EO29" s="6" t="n"/>
      <c r="EP29" s="6" t="n"/>
      <c r="EQ29" s="6" t="n"/>
      <c r="ER29" s="6" t="n"/>
      <c r="ES29" s="6" t="n"/>
      <c r="ET29" s="6" t="n"/>
      <c r="EU29" s="6" t="n"/>
      <c r="EV29" s="6" t="n"/>
      <c r="EW29" s="6" t="n"/>
      <c r="EX29" s="6" t="n"/>
      <c r="EY29" s="6" t="n"/>
      <c r="EZ29" s="6" t="n"/>
      <c r="FA29" s="6" t="n"/>
      <c r="FB29" s="6" t="n"/>
      <c r="FC29" s="6" t="n"/>
      <c r="FD29" s="6" t="n"/>
      <c r="FE29" s="6" t="n"/>
      <c r="FF29" s="6" t="n"/>
      <c r="FG29" s="6" t="n"/>
      <c r="FH29" s="6" t="n"/>
      <c r="FI29" s="6">
        <f>IF(COUNTA(EE29:FH29)=0, "", SUMPRODUCT(--ISNUMBER(SEARCH("m", EE29:FH29))))</f>
        <v/>
      </c>
      <c r="FJ29" s="6">
        <f>IF(COUNTA(EE29:FH29)=0, "", COUNTA(EE29:FH29) - SUMPRODUCT(--ISNUMBER(SEARCH("m", EE29:FH29))))</f>
        <v/>
      </c>
      <c r="FK29" s="6" t="n"/>
      <c r="FL29" s="6" t="n"/>
      <c r="FM29" s="6" t="n"/>
      <c r="FN29" s="6" t="n"/>
      <c r="FO29" s="6" t="n"/>
      <c r="FP29" s="6" t="n"/>
      <c r="FQ29" s="6" t="n"/>
      <c r="FR29" s="6" t="n"/>
      <c r="FS29" s="6" t="n"/>
      <c r="FT29" s="6" t="n"/>
      <c r="FU29" s="6" t="n"/>
      <c r="FV29" s="6" t="n"/>
      <c r="FW29" s="6" t="n"/>
      <c r="FX29" s="6" t="n"/>
      <c r="FY29" s="6" t="n"/>
      <c r="FZ29" s="6" t="n"/>
      <c r="GA29" s="6" t="n"/>
      <c r="GB29" s="6" t="n"/>
      <c r="GC29" s="6" t="n"/>
      <c r="GD29" s="6" t="n"/>
      <c r="GE29" s="20">
        <f>IFERROR(ROUND(AVERAGE(FK29,FM29,FO29,FQ29,FS29,FU29,FW29,FY29,GA29,GC29), 2), "")</f>
        <v/>
      </c>
      <c r="GF29" s="6" t="n"/>
      <c r="GG29" s="6" t="n"/>
      <c r="GH29" s="6" t="n"/>
      <c r="GI29" s="6" t="n"/>
      <c r="GJ29" s="6" t="n"/>
      <c r="GK29" s="6" t="n"/>
      <c r="GL29" s="6" t="n"/>
      <c r="GM29" s="6" t="n"/>
      <c r="GN29" s="6" t="n"/>
      <c r="GO29" s="6" t="n"/>
      <c r="GP29" s="6" t="n"/>
      <c r="GQ29" s="6" t="n"/>
      <c r="GR29" s="6" t="n"/>
      <c r="GS29" s="6" t="n"/>
      <c r="GT29" s="6" t="n"/>
      <c r="GU29" s="6" t="n"/>
      <c r="GV29" s="6" t="n"/>
      <c r="GW29" s="6" t="n"/>
      <c r="GX29" s="6" t="n"/>
      <c r="GY29" s="6" t="n"/>
      <c r="GZ29" s="6" t="n"/>
      <c r="HA29" s="6" t="n"/>
      <c r="HB29" s="6" t="n"/>
      <c r="HC29" s="6" t="n"/>
      <c r="HD29" s="6" t="n"/>
      <c r="HE29" s="6" t="n"/>
      <c r="HF29" s="6" t="n"/>
      <c r="HG29" s="6" t="n"/>
      <c r="HH29" s="6" t="n"/>
      <c r="HI29" s="6" t="n"/>
      <c r="HJ29" s="6">
        <f>IF(COUNTA(GF29:HI29)=0, "", SUMPRODUCT(--ISNUMBER(SEARCH("m", GF29:HI29))))</f>
        <v/>
      </c>
      <c r="HK29" s="6">
        <f>IF(COUNTA(GF29:HI29)=0, "", COUNTA(GF29:HI29) - SUMPRODUCT(--ISNUMBER(SEARCH("m", GF29:HI29))))</f>
        <v/>
      </c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20">
        <f>IFERROR(ROUND(AVERAGE(HL29,HN29,HP29,HR29,HT29,HV29,HX29,HZ29,IB29,ID29), 2), "")</f>
        <v/>
      </c>
      <c r="IG29" s="6" t="n"/>
      <c r="IH29" s="6" t="n"/>
      <c r="II29" s="6" t="n"/>
      <c r="IJ29" s="6" t="n"/>
      <c r="IK29" s="6" t="n"/>
      <c r="IL29" s="6" t="n"/>
      <c r="IM29" s="6" t="n"/>
      <c r="IN29" s="6" t="n"/>
      <c r="IO29" s="6" t="n"/>
      <c r="IP29" s="6" t="n"/>
      <c r="IQ29" s="6" t="n"/>
      <c r="IR29" s="6" t="n"/>
      <c r="IS29" s="6" t="n"/>
      <c r="IT29" s="6" t="n"/>
      <c r="IU29" s="6" t="n"/>
      <c r="IV29" s="6" t="n"/>
      <c r="IW29" s="6" t="n"/>
      <c r="IX29" s="6" t="n"/>
      <c r="IY29" s="6" t="n"/>
      <c r="IZ29" s="6" t="n"/>
      <c r="JA29" s="6" t="n"/>
      <c r="JB29" s="6" t="n"/>
      <c r="JC29" s="6" t="n"/>
      <c r="JD29" s="6" t="n"/>
      <c r="JE29" s="6" t="n"/>
      <c r="JF29" s="6" t="n"/>
      <c r="JG29" s="6" t="n"/>
      <c r="JH29" s="6" t="n"/>
      <c r="JI29" s="6" t="n"/>
      <c r="JJ29" s="6" t="n"/>
      <c r="JK29" s="6">
        <f>IF(COUNTA(IG29:JJ29)=0, "", SUMPRODUCT(--ISNUMBER(SEARCH("m", IG29:JJ29))))</f>
        <v/>
      </c>
      <c r="JL29" s="6">
        <f>IF(COUNTA(IG29:JJ29)=0, "", COUNTA(IG29:JJ29) - SUMPRODUCT(--ISNUMBER(SEARCH("m", IG29:JJ29))))</f>
        <v/>
      </c>
      <c r="JM29" s="6" t="n"/>
      <c r="JN29" s="6" t="n"/>
      <c r="JO29" s="6" t="n"/>
      <c r="JP29" s="6" t="n"/>
      <c r="JQ29" s="6" t="n"/>
      <c r="JR29" s="6" t="n"/>
      <c r="JS29" s="6" t="n"/>
      <c r="JT29" s="6" t="n"/>
      <c r="JU29" s="6" t="n"/>
      <c r="JV29" s="6" t="n"/>
      <c r="JW29" s="6" t="n"/>
      <c r="JX29" s="6" t="n"/>
      <c r="JY29" s="6" t="n"/>
      <c r="JZ29" s="6" t="n"/>
      <c r="KA29" s="6" t="n"/>
      <c r="KB29" s="6" t="n"/>
      <c r="KC29" s="6" t="n"/>
      <c r="KD29" s="6" t="n"/>
      <c r="KE29" s="6" t="n"/>
      <c r="KF29" s="6" t="n"/>
      <c r="KG29" s="20">
        <f>IFERROR(ROUND(AVERAGE(JM29,JO29,JQ29,JS29,JU29,JW29,JY29,KA29,KC29,KE29), 2), "")</f>
        <v/>
      </c>
      <c r="KH29" s="6" t="n"/>
      <c r="KI29" s="6" t="n"/>
      <c r="KJ29" s="6" t="n"/>
      <c r="KK29" s="6" t="n"/>
      <c r="KL29" s="6" t="n"/>
      <c r="KM29" s="6" t="n"/>
      <c r="KN29" s="6" t="n"/>
      <c r="KO29" s="6" t="n"/>
      <c r="KP29" s="6" t="n"/>
      <c r="KQ29" s="6" t="n"/>
      <c r="KR29" s="6" t="n"/>
      <c r="KS29" s="6" t="n"/>
      <c r="KT29" s="6" t="n"/>
      <c r="KU29" s="6" t="n"/>
      <c r="KV29" s="6" t="n"/>
      <c r="KW29" s="6" t="n"/>
      <c r="KX29" s="6" t="n"/>
      <c r="KY29" s="6" t="n"/>
      <c r="KZ29" s="6" t="n"/>
      <c r="LA29" s="6" t="n"/>
      <c r="LB29" s="6" t="n"/>
      <c r="LC29" s="6" t="n"/>
      <c r="LD29" s="6" t="n"/>
      <c r="LE29" s="6" t="n"/>
      <c r="LF29" s="6" t="n"/>
      <c r="LG29" s="6" t="n"/>
      <c r="LH29" s="6" t="n"/>
      <c r="LI29" s="6" t="n"/>
      <c r="LJ29" s="6" t="n"/>
      <c r="LK29" s="6" t="n"/>
      <c r="LL29" s="6">
        <f>IF(COUNTA(KH29:LK29)=0, "", SUMPRODUCT(--ISNUMBER(SEARCH("m", KH29:LK29))))</f>
        <v/>
      </c>
      <c r="LM29" s="6">
        <f>IF(COUNTA(KH29:LK29)=0, "", COUNTA(KH29:LK29) - SUMPRODUCT(--ISNUMBER(SEARCH("m", KH29:LK29))))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8">
        <f>IFERROR(ROUND(AVERAGE(AB30,CC30,ED30,GE30,IF30,KG30), 2), "")</f>
        <v/>
      </c>
      <c r="F30" s="14">
        <f>IF(SUM(BH30,DI30,FJ30,HK30,JL30,LM30)=0, "", SUM(BH30,DI30,FJ30,HK30,JL30,LM30))</f>
        <v/>
      </c>
      <c r="G30" s="8">
        <f>IF(SUM(BG30,DH30,FI30,HJ30,JK30,LL30)=0, "", SUM(BG30,DH30,FI30,HJ30,JK30,LL30))</f>
        <v/>
      </c>
      <c r="H30" s="6" t="n"/>
      <c r="I30" s="79" t="n"/>
      <c r="J30" s="6" t="n"/>
      <c r="K30" s="79" t="n"/>
      <c r="L30" s="6" t="n"/>
      <c r="M30" s="79" t="n"/>
      <c r="N30" s="6" t="n"/>
      <c r="O30" s="79" t="n"/>
      <c r="P30" s="6" t="n"/>
      <c r="Q30" s="79" t="n"/>
      <c r="R30" s="18" t="n"/>
      <c r="S30" s="79" t="n"/>
      <c r="T30" s="79" t="n"/>
      <c r="U30" s="79" t="n"/>
      <c r="V30" s="79" t="n"/>
      <c r="W30" s="79" t="n"/>
      <c r="X30" s="79" t="n"/>
      <c r="Y30" s="79" t="n"/>
      <c r="Z30" s="79" t="n"/>
      <c r="AA30" s="18" t="n"/>
      <c r="AB30" s="14">
        <f>IFERROR(ROUND(AVERAGE(H30,J30,L30,N30,P30,R30,T30,V30,X30,Z30), 2), "")</f>
        <v/>
      </c>
      <c r="AC30" s="6" t="n"/>
      <c r="AD30" s="79" t="n"/>
      <c r="AE30" s="6" t="n"/>
      <c r="AF30" s="79" t="n"/>
      <c r="AG30" s="6" t="n"/>
      <c r="AH30" s="79" t="n"/>
      <c r="AI30" s="6" t="n"/>
      <c r="AJ30" s="79" t="n"/>
      <c r="AK30" s="6" t="n"/>
      <c r="AL30" s="79" t="n"/>
      <c r="AM30" s="18" t="n"/>
      <c r="AN30" s="79" t="n"/>
      <c r="AO30" s="79" t="n"/>
      <c r="AP30" s="79" t="n"/>
      <c r="AQ30" s="79" t="n"/>
      <c r="AR30" s="79" t="n"/>
      <c r="AS30" s="79" t="n"/>
      <c r="AT30" s="79" t="n"/>
      <c r="AU30" s="79" t="n"/>
      <c r="AV30" s="18" t="n"/>
      <c r="AW30" s="19" t="n"/>
      <c r="AX30" s="6" t="n"/>
      <c r="AY30" s="79" t="n"/>
      <c r="AZ30" s="6" t="n"/>
      <c r="BA30" s="79" t="n"/>
      <c r="BB30" s="6" t="n"/>
      <c r="BC30" s="79" t="n"/>
      <c r="BD30" s="6" t="n"/>
      <c r="BE30" s="79" t="n"/>
      <c r="BF30" s="6" t="n"/>
      <c r="BG30" s="79">
        <f>IF(COUNTA(AC30:BF30)=0, "", SUMPRODUCT(--ISNUMBER(SEARCH("m", AC30:BF30))))</f>
        <v/>
      </c>
      <c r="BH30" s="18">
        <f>IF(COUNTA(AC30:BF30)=0, "", COUNTA(AC30:BF30) - SUMPRODUCT(--ISNUMBER(SEARCH("m", AC30:BF30))))</f>
        <v/>
      </c>
      <c r="BI30" s="79" t="n"/>
      <c r="BJ30" s="79" t="n"/>
      <c r="BK30" s="79" t="n"/>
      <c r="BL30" s="79" t="n"/>
      <c r="BM30" s="79" t="n"/>
      <c r="BN30" s="79" t="n"/>
      <c r="BO30" s="79" t="n"/>
      <c r="BP30" s="79" t="n"/>
      <c r="BQ30" s="18" t="n"/>
      <c r="BR30" s="19" t="n"/>
      <c r="BS30" s="6" t="n"/>
      <c r="BT30" s="79" t="n"/>
      <c r="BU30" s="6" t="n"/>
      <c r="BV30" s="79" t="n"/>
      <c r="BW30" s="6" t="n"/>
      <c r="BX30" s="79" t="n"/>
      <c r="BY30" s="6" t="n"/>
      <c r="BZ30" s="79" t="n"/>
      <c r="CA30" s="6" t="n"/>
      <c r="CB30" s="79" t="n"/>
      <c r="CC30" s="8">
        <f>IFERROR(ROUND(AVERAGE(BI30,BK30,BM30,BO30,BQ30,BS30,BU30,BW30,BY30,CA30), 2), "")</f>
        <v/>
      </c>
      <c r="CD30" s="79" t="n"/>
      <c r="CE30" s="79" t="n"/>
      <c r="CF30" s="79" t="n"/>
      <c r="CG30" s="79" t="n"/>
      <c r="CH30" s="79" t="n"/>
      <c r="CI30" s="79" t="n"/>
      <c r="CJ30" s="79" t="n"/>
      <c r="CK30" s="79" t="n"/>
      <c r="CL30" s="18" t="n"/>
      <c r="CM30" s="19" t="n"/>
      <c r="CN30" s="6" t="n"/>
      <c r="CO30" s="79" t="n"/>
      <c r="CP30" s="6" t="n"/>
      <c r="CQ30" s="79" t="n"/>
      <c r="CR30" s="6" t="n"/>
      <c r="CS30" s="79" t="n"/>
      <c r="CT30" s="6" t="n"/>
      <c r="CU30" s="79" t="n"/>
      <c r="CV30" s="6" t="n"/>
      <c r="CW30" s="79" t="n"/>
      <c r="CX30" s="18" t="n"/>
      <c r="CY30" s="79" t="n"/>
      <c r="CZ30" s="79" t="n"/>
      <c r="DA30" s="79" t="n"/>
      <c r="DB30" s="79" t="n"/>
      <c r="DC30" s="79" t="n"/>
      <c r="DD30" s="79" t="n"/>
      <c r="DE30" s="79" t="n"/>
      <c r="DF30" s="79" t="n"/>
      <c r="DG30" s="18" t="n"/>
      <c r="DH30" s="19">
        <f>IF(COUNTA(CD30:DG30)=0, "", SUMPRODUCT(--ISNUMBER(SEARCH("m", CD30:DG30))))</f>
        <v/>
      </c>
      <c r="DI30" s="6">
        <f>IF(COUNTA(CD30:DG30)=0, "", COUNTA(CD30:DG30) - SUMPRODUCT(--ISNUMBER(SEARCH("m", CD30:DG30))))</f>
        <v/>
      </c>
      <c r="DJ30" s="79" t="n"/>
      <c r="DK30" s="6" t="n"/>
      <c r="DL30" s="79" t="n"/>
      <c r="DM30" s="6" t="n"/>
      <c r="DN30" s="79" t="n"/>
      <c r="DO30" s="6" t="n"/>
      <c r="DP30" s="79" t="n"/>
      <c r="DQ30" s="6" t="n"/>
      <c r="DR30" s="79" t="n"/>
      <c r="DS30" s="18" t="n"/>
      <c r="DT30" s="79" t="n"/>
      <c r="DU30" s="79" t="n"/>
      <c r="DV30" s="79" t="n"/>
      <c r="DW30" s="79" t="n"/>
      <c r="DX30" s="79" t="n"/>
      <c r="DY30" s="79" t="n"/>
      <c r="DZ30" s="79" t="n"/>
      <c r="EA30" s="79" t="n"/>
      <c r="EB30" s="18" t="n"/>
      <c r="EC30" s="19" t="n"/>
      <c r="ED30" s="20">
        <f>IFERROR(ROUND(AVERAGE(DJ30,DL30,DN30,DP30,DR30,DT30,DV30,DX30,DZ30,EB30), 2), "")</f>
        <v/>
      </c>
      <c r="EE30" s="6" t="n"/>
      <c r="EF30" s="6" t="n"/>
      <c r="EG30" s="6" t="n"/>
      <c r="EH30" s="6" t="n"/>
      <c r="EI30" s="6" t="n"/>
      <c r="EJ30" s="6" t="n"/>
      <c r="EK30" s="6" t="n"/>
      <c r="EL30" s="6" t="n"/>
      <c r="EM30" s="6" t="n"/>
      <c r="EN30" s="6" t="n"/>
      <c r="EO30" s="6" t="n"/>
      <c r="EP30" s="6" t="n"/>
      <c r="EQ30" s="6" t="n"/>
      <c r="ER30" s="6" t="n"/>
      <c r="ES30" s="6" t="n"/>
      <c r="ET30" s="6" t="n"/>
      <c r="EU30" s="6" t="n"/>
      <c r="EV30" s="6" t="n"/>
      <c r="EW30" s="6" t="n"/>
      <c r="EX30" s="6" t="n"/>
      <c r="EY30" s="6" t="n"/>
      <c r="EZ30" s="6" t="n"/>
      <c r="FA30" s="6" t="n"/>
      <c r="FB30" s="6" t="n"/>
      <c r="FC30" s="6" t="n"/>
      <c r="FD30" s="6" t="n"/>
      <c r="FE30" s="6" t="n"/>
      <c r="FF30" s="6" t="n"/>
      <c r="FG30" s="6" t="n"/>
      <c r="FH30" s="6" t="n"/>
      <c r="FI30" s="6">
        <f>IF(COUNTA(EE30:FH30)=0, "", SUMPRODUCT(--ISNUMBER(SEARCH("m", EE30:FH30))))</f>
        <v/>
      </c>
      <c r="FJ30" s="6">
        <f>IF(COUNTA(EE30:FH30)=0, "", COUNTA(EE30:FH30) - SUMPRODUCT(--ISNUMBER(SEARCH("m", EE30:FH30))))</f>
        <v/>
      </c>
      <c r="FK30" s="6" t="n"/>
      <c r="FL30" s="6" t="n"/>
      <c r="FM30" s="6" t="n"/>
      <c r="FN30" s="6" t="n"/>
      <c r="FO30" s="6" t="n"/>
      <c r="FP30" s="6" t="n"/>
      <c r="FQ30" s="6" t="n"/>
      <c r="FR30" s="6" t="n"/>
      <c r="FS30" s="6" t="n"/>
      <c r="FT30" s="6" t="n"/>
      <c r="FU30" s="6" t="n"/>
      <c r="FV30" s="6" t="n"/>
      <c r="FW30" s="6" t="n"/>
      <c r="FX30" s="6" t="n"/>
      <c r="FY30" s="6" t="n"/>
      <c r="FZ30" s="6" t="n"/>
      <c r="GA30" s="6" t="n"/>
      <c r="GB30" s="6" t="n"/>
      <c r="GC30" s="6" t="n"/>
      <c r="GD30" s="6" t="n"/>
      <c r="GE30" s="20">
        <f>IFERROR(ROUND(AVERAGE(FK30,FM30,FO30,FQ30,FS30,FU30,FW30,FY30,GA30,GC30), 2), "")</f>
        <v/>
      </c>
      <c r="GF30" s="6" t="n"/>
      <c r="GG30" s="6" t="n"/>
      <c r="GH30" s="6" t="n"/>
      <c r="GI30" s="6" t="n"/>
      <c r="GJ30" s="6" t="n"/>
      <c r="GK30" s="6" t="n"/>
      <c r="GL30" s="6" t="n"/>
      <c r="GM30" s="6" t="n"/>
      <c r="GN30" s="6" t="n"/>
      <c r="GO30" s="6" t="n"/>
      <c r="GP30" s="6" t="n"/>
      <c r="GQ30" s="6" t="n"/>
      <c r="GR30" s="6" t="n"/>
      <c r="GS30" s="6" t="n"/>
      <c r="GT30" s="6" t="n"/>
      <c r="GU30" s="6" t="n"/>
      <c r="GV30" s="6" t="n"/>
      <c r="GW30" s="6" t="n"/>
      <c r="GX30" s="6" t="n"/>
      <c r="GY30" s="6" t="n"/>
      <c r="GZ30" s="6" t="n"/>
      <c r="HA30" s="6" t="n"/>
      <c r="HB30" s="6" t="n"/>
      <c r="HC30" s="6" t="n"/>
      <c r="HD30" s="6" t="n"/>
      <c r="HE30" s="6" t="n"/>
      <c r="HF30" s="6" t="n"/>
      <c r="HG30" s="6" t="n"/>
      <c r="HH30" s="6" t="n"/>
      <c r="HI30" s="6" t="n"/>
      <c r="HJ30" s="6">
        <f>IF(COUNTA(GF30:HI30)=0, "", SUMPRODUCT(--ISNUMBER(SEARCH("m", GF30:HI30))))</f>
        <v/>
      </c>
      <c r="HK30" s="6">
        <f>IF(COUNTA(GF30:HI30)=0, "", COUNTA(GF30:HI30) - SUMPRODUCT(--ISNUMBER(SEARCH("m", GF30:HI30))))</f>
        <v/>
      </c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20">
        <f>IFERROR(ROUND(AVERAGE(HL30,HN30,HP30,HR30,HT30,HV30,HX30,HZ30,IB30,ID30), 2), "")</f>
        <v/>
      </c>
      <c r="IG30" s="6" t="n"/>
      <c r="IH30" s="6" t="n"/>
      <c r="II30" s="6" t="n"/>
      <c r="IJ30" s="6" t="n"/>
      <c r="IK30" s="6" t="n"/>
      <c r="IL30" s="6" t="n"/>
      <c r="IM30" s="6" t="n"/>
      <c r="IN30" s="6" t="n"/>
      <c r="IO30" s="6" t="n"/>
      <c r="IP30" s="6" t="n"/>
      <c r="IQ30" s="6" t="n"/>
      <c r="IR30" s="6" t="n"/>
      <c r="IS30" s="6" t="n"/>
      <c r="IT30" s="6" t="n"/>
      <c r="IU30" s="6" t="n"/>
      <c r="IV30" s="6" t="n"/>
      <c r="IW30" s="6" t="n"/>
      <c r="IX30" s="6" t="n"/>
      <c r="IY30" s="6" t="n"/>
      <c r="IZ30" s="6" t="n"/>
      <c r="JA30" s="6" t="n"/>
      <c r="JB30" s="6" t="n"/>
      <c r="JC30" s="6" t="n"/>
      <c r="JD30" s="6" t="n"/>
      <c r="JE30" s="6" t="n"/>
      <c r="JF30" s="6" t="n"/>
      <c r="JG30" s="6" t="n"/>
      <c r="JH30" s="6" t="n"/>
      <c r="JI30" s="6" t="n"/>
      <c r="JJ30" s="6" t="n"/>
      <c r="JK30" s="6">
        <f>IF(COUNTA(IG30:JJ30)=0, "", SUMPRODUCT(--ISNUMBER(SEARCH("m", IG30:JJ30))))</f>
        <v/>
      </c>
      <c r="JL30" s="6">
        <f>IF(COUNTA(IG30:JJ30)=0, "", COUNTA(IG30:JJ30) - SUMPRODUCT(--ISNUMBER(SEARCH("m", IG30:JJ30))))</f>
        <v/>
      </c>
      <c r="JM30" s="6" t="n"/>
      <c r="JN30" s="6" t="n"/>
      <c r="JO30" s="6" t="n"/>
      <c r="JP30" s="6" t="n"/>
      <c r="JQ30" s="6" t="n"/>
      <c r="JR30" s="6" t="n"/>
      <c r="JS30" s="6" t="n"/>
      <c r="JT30" s="6" t="n"/>
      <c r="JU30" s="6" t="n"/>
      <c r="JV30" s="6" t="n"/>
      <c r="JW30" s="6" t="n"/>
      <c r="JX30" s="6" t="n"/>
      <c r="JY30" s="6" t="n"/>
      <c r="JZ30" s="6" t="n"/>
      <c r="KA30" s="6" t="n"/>
      <c r="KB30" s="6" t="n"/>
      <c r="KC30" s="6" t="n"/>
      <c r="KD30" s="6" t="n"/>
      <c r="KE30" s="6" t="n"/>
      <c r="KF30" s="6" t="n"/>
      <c r="KG30" s="20">
        <f>IFERROR(ROUND(AVERAGE(JM30,JO30,JQ30,JS30,JU30,JW30,JY30,KA30,KC30,KE30), 2), "")</f>
        <v/>
      </c>
      <c r="KH30" s="6" t="n"/>
      <c r="KI30" s="6" t="n"/>
      <c r="KJ30" s="6" t="n"/>
      <c r="KK30" s="6" t="n"/>
      <c r="KL30" s="6" t="n"/>
      <c r="KM30" s="6" t="n"/>
      <c r="KN30" s="6" t="n"/>
      <c r="KO30" s="6" t="n"/>
      <c r="KP30" s="6" t="n"/>
      <c r="KQ30" s="6" t="n"/>
      <c r="KR30" s="6" t="n"/>
      <c r="KS30" s="6" t="n"/>
      <c r="KT30" s="6" t="n"/>
      <c r="KU30" s="6" t="n"/>
      <c r="KV30" s="6" t="n"/>
      <c r="KW30" s="6" t="n"/>
      <c r="KX30" s="6" t="n"/>
      <c r="KY30" s="6" t="n"/>
      <c r="KZ30" s="6" t="n"/>
      <c r="LA30" s="6" t="n"/>
      <c r="LB30" s="6" t="n"/>
      <c r="LC30" s="6" t="n"/>
      <c r="LD30" s="6" t="n"/>
      <c r="LE30" s="6" t="n"/>
      <c r="LF30" s="6" t="n"/>
      <c r="LG30" s="6" t="n"/>
      <c r="LH30" s="6" t="n"/>
      <c r="LI30" s="6" t="n"/>
      <c r="LJ30" s="6" t="n"/>
      <c r="LK30" s="6" t="n"/>
      <c r="LL30" s="6">
        <f>IF(COUNTA(KH30:LK30)=0, "", SUMPRODUCT(--ISNUMBER(SEARCH("m", KH30:LK30))))</f>
        <v/>
      </c>
      <c r="LM30" s="6">
        <f>IF(COUNTA(KH30:LK30)=0, "", COUNTA(KH30:LK30) - SUMPRODUCT(--ISNUMBER(SEARCH("m", KH30:LK30))))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8">
        <f>IFERROR(ROUND(AVERAGE(AB31,CC31,ED31,GE31,IF31,KG31), 2), "")</f>
        <v/>
      </c>
      <c r="F31" s="14">
        <f>IF(SUM(BH31,DI31,FJ31,HK31,JL31,LM31)=0, "", SUM(BH31,DI31,FJ31,HK31,JL31,LM31))</f>
        <v/>
      </c>
      <c r="G31" s="8">
        <f>IF(SUM(BG31,DH31,FI31,HJ31,JK31,LL31)=0, "", SUM(BG31,DH31,FI31,HJ31,JK31,LL31))</f>
        <v/>
      </c>
      <c r="H31" s="6" t="n"/>
      <c r="I31" s="79" t="n"/>
      <c r="J31" s="6" t="n"/>
      <c r="K31" s="79" t="n"/>
      <c r="L31" s="6" t="n"/>
      <c r="M31" s="79" t="n"/>
      <c r="N31" s="6" t="n"/>
      <c r="O31" s="79" t="n"/>
      <c r="P31" s="6" t="n"/>
      <c r="Q31" s="79" t="n"/>
      <c r="R31" s="18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18" t="n"/>
      <c r="AB31" s="14">
        <f>IFERROR(ROUND(AVERAGE(H31,J31,L31,N31,P31,R31,T31,V31,X31,Z31), 2), "")</f>
        <v/>
      </c>
      <c r="AC31" s="6" t="n"/>
      <c r="AD31" s="79" t="n"/>
      <c r="AE31" s="6" t="n"/>
      <c r="AF31" s="79" t="n"/>
      <c r="AG31" s="6" t="n"/>
      <c r="AH31" s="79" t="n"/>
      <c r="AI31" s="6" t="n"/>
      <c r="AJ31" s="79" t="n"/>
      <c r="AK31" s="6" t="n"/>
      <c r="AL31" s="79" t="n"/>
      <c r="AM31" s="18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18" t="n"/>
      <c r="AW31" s="19" t="n"/>
      <c r="AX31" s="6" t="n"/>
      <c r="AY31" s="79" t="n"/>
      <c r="AZ31" s="6" t="n"/>
      <c r="BA31" s="79" t="n"/>
      <c r="BB31" s="6" t="n"/>
      <c r="BC31" s="79" t="n"/>
      <c r="BD31" s="6" t="n"/>
      <c r="BE31" s="79" t="n"/>
      <c r="BF31" s="6" t="n"/>
      <c r="BG31" s="79">
        <f>IF(COUNTA(AC31:BF31)=0, "", SUMPRODUCT(--ISNUMBER(SEARCH("m", AC31:BF31))))</f>
        <v/>
      </c>
      <c r="BH31" s="18">
        <f>IF(COUNTA(AC31:BF31)=0, "", COUNTA(AC31:BF31) - SUMPRODUCT(--ISNUMBER(SEARCH("m", AC31:BF31))))</f>
        <v/>
      </c>
      <c r="BI31" s="79" t="n"/>
      <c r="BJ31" s="79" t="n"/>
      <c r="BK31" s="79" t="n"/>
      <c r="BL31" s="79" t="n"/>
      <c r="BM31" s="79" t="n"/>
      <c r="BN31" s="79" t="n"/>
      <c r="BO31" s="79" t="n"/>
      <c r="BP31" s="79" t="n"/>
      <c r="BQ31" s="18" t="n"/>
      <c r="BR31" s="19" t="n"/>
      <c r="BS31" s="6" t="n"/>
      <c r="BT31" s="79" t="n"/>
      <c r="BU31" s="6" t="n"/>
      <c r="BV31" s="79" t="n"/>
      <c r="BW31" s="6" t="n"/>
      <c r="BX31" s="79" t="n"/>
      <c r="BY31" s="6" t="n"/>
      <c r="BZ31" s="79" t="n"/>
      <c r="CA31" s="6" t="n"/>
      <c r="CB31" s="79" t="n"/>
      <c r="CC31" s="8">
        <f>IFERROR(ROUND(AVERAGE(BI31,BK31,BM31,BO31,BQ31,BS31,BU31,BW31,BY31,CA31), 2), "")</f>
        <v/>
      </c>
      <c r="CD31" s="79" t="n"/>
      <c r="CE31" s="79" t="n"/>
      <c r="CF31" s="79" t="n"/>
      <c r="CG31" s="79" t="n"/>
      <c r="CH31" s="79" t="n"/>
      <c r="CI31" s="79" t="n"/>
      <c r="CJ31" s="79" t="n"/>
      <c r="CK31" s="79" t="n"/>
      <c r="CL31" s="18" t="n"/>
      <c r="CM31" s="19" t="n"/>
      <c r="CN31" s="6" t="n"/>
      <c r="CO31" s="79" t="n"/>
      <c r="CP31" s="6" t="n"/>
      <c r="CQ31" s="79" t="n"/>
      <c r="CR31" s="6" t="n"/>
      <c r="CS31" s="79" t="n"/>
      <c r="CT31" s="6" t="n"/>
      <c r="CU31" s="79" t="n"/>
      <c r="CV31" s="6" t="n"/>
      <c r="CW31" s="79" t="n"/>
      <c r="CX31" s="18" t="n"/>
      <c r="CY31" s="79" t="n"/>
      <c r="CZ31" s="79" t="n"/>
      <c r="DA31" s="79" t="n"/>
      <c r="DB31" s="79" t="n"/>
      <c r="DC31" s="79" t="n"/>
      <c r="DD31" s="79" t="n"/>
      <c r="DE31" s="79" t="n"/>
      <c r="DF31" s="79" t="n"/>
      <c r="DG31" s="18" t="n"/>
      <c r="DH31" s="19">
        <f>IF(COUNTA(CD31:DG31)=0, "", SUMPRODUCT(--ISNUMBER(SEARCH("m", CD31:DG31))))</f>
        <v/>
      </c>
      <c r="DI31" s="6">
        <f>IF(COUNTA(CD31:DG31)=0, "", COUNTA(CD31:DG31) - SUMPRODUCT(--ISNUMBER(SEARCH("m", CD31:DG31))))</f>
        <v/>
      </c>
      <c r="DJ31" s="79" t="n"/>
      <c r="DK31" s="6" t="n"/>
      <c r="DL31" s="79" t="n"/>
      <c r="DM31" s="6" t="n"/>
      <c r="DN31" s="79" t="n"/>
      <c r="DO31" s="6" t="n"/>
      <c r="DP31" s="79" t="n"/>
      <c r="DQ31" s="6" t="n"/>
      <c r="DR31" s="79" t="n"/>
      <c r="DS31" s="18" t="n"/>
      <c r="DT31" s="79" t="n"/>
      <c r="DU31" s="79" t="n"/>
      <c r="DV31" s="79" t="n"/>
      <c r="DW31" s="79" t="n"/>
      <c r="DX31" s="79" t="n"/>
      <c r="DY31" s="79" t="n"/>
      <c r="DZ31" s="79" t="n"/>
      <c r="EA31" s="79" t="n"/>
      <c r="EB31" s="18" t="n"/>
      <c r="EC31" s="19" t="n"/>
      <c r="ED31" s="20">
        <f>IFERROR(ROUND(AVERAGE(DJ31,DL31,DN31,DP31,DR31,DT31,DV31,DX31,DZ31,EB31), 2), "")</f>
        <v/>
      </c>
      <c r="EE31" s="6" t="n"/>
      <c r="EF31" s="6" t="n"/>
      <c r="EG31" s="6" t="n"/>
      <c r="EH31" s="6" t="n"/>
      <c r="EI31" s="6" t="n"/>
      <c r="EJ31" s="6" t="n"/>
      <c r="EK31" s="6" t="n"/>
      <c r="EL31" s="6" t="n"/>
      <c r="EM31" s="6" t="n"/>
      <c r="EN31" s="6" t="n"/>
      <c r="EO31" s="6" t="n"/>
      <c r="EP31" s="6" t="n"/>
      <c r="EQ31" s="6" t="n"/>
      <c r="ER31" s="6" t="n"/>
      <c r="ES31" s="6" t="n"/>
      <c r="ET31" s="6" t="n"/>
      <c r="EU31" s="6" t="n"/>
      <c r="EV31" s="6" t="n"/>
      <c r="EW31" s="6" t="n"/>
      <c r="EX31" s="6" t="n"/>
      <c r="EY31" s="6" t="n"/>
      <c r="EZ31" s="6" t="n"/>
      <c r="FA31" s="6" t="n"/>
      <c r="FB31" s="6" t="n"/>
      <c r="FC31" s="6" t="n"/>
      <c r="FD31" s="6" t="n"/>
      <c r="FE31" s="6" t="n"/>
      <c r="FF31" s="6" t="n"/>
      <c r="FG31" s="6" t="n"/>
      <c r="FH31" s="6" t="n"/>
      <c r="FI31" s="6">
        <f>IF(COUNTA(EE31:FH31)=0, "", SUMPRODUCT(--ISNUMBER(SEARCH("m", EE31:FH31))))</f>
        <v/>
      </c>
      <c r="FJ31" s="6">
        <f>IF(COUNTA(EE31:FH31)=0, "", COUNTA(EE31:FH31) - SUMPRODUCT(--ISNUMBER(SEARCH("m", EE31:FH31))))</f>
        <v/>
      </c>
      <c r="FK31" s="6" t="n"/>
      <c r="FL31" s="6" t="n"/>
      <c r="FM31" s="6" t="n"/>
      <c r="FN31" s="6" t="n"/>
      <c r="FO31" s="6" t="n"/>
      <c r="FP31" s="6" t="n"/>
      <c r="FQ31" s="6" t="n"/>
      <c r="FR31" s="6" t="n"/>
      <c r="FS31" s="6" t="n"/>
      <c r="FT31" s="6" t="n"/>
      <c r="FU31" s="6" t="n"/>
      <c r="FV31" s="6" t="n"/>
      <c r="FW31" s="6" t="n"/>
      <c r="FX31" s="6" t="n"/>
      <c r="FY31" s="6" t="n"/>
      <c r="FZ31" s="6" t="n"/>
      <c r="GA31" s="6" t="n"/>
      <c r="GB31" s="6" t="n"/>
      <c r="GC31" s="6" t="n"/>
      <c r="GD31" s="6" t="n"/>
      <c r="GE31" s="20">
        <f>IFERROR(ROUND(AVERAGE(FK31,FM31,FO31,FQ31,FS31,FU31,FW31,FY31,GA31,GC31), 2), "")</f>
        <v/>
      </c>
      <c r="GF31" s="6" t="n"/>
      <c r="GG31" s="6" t="n"/>
      <c r="GH31" s="6" t="n"/>
      <c r="GI31" s="6" t="n"/>
      <c r="GJ31" s="6" t="n"/>
      <c r="GK31" s="6" t="n"/>
      <c r="GL31" s="6" t="n"/>
      <c r="GM31" s="6" t="n"/>
      <c r="GN31" s="6" t="n"/>
      <c r="GO31" s="6" t="n"/>
      <c r="GP31" s="6" t="n"/>
      <c r="GQ31" s="6" t="n"/>
      <c r="GR31" s="6" t="n"/>
      <c r="GS31" s="6" t="n"/>
      <c r="GT31" s="6" t="n"/>
      <c r="GU31" s="6" t="n"/>
      <c r="GV31" s="6" t="n"/>
      <c r="GW31" s="6" t="n"/>
      <c r="GX31" s="6" t="n"/>
      <c r="GY31" s="6" t="n"/>
      <c r="GZ31" s="6" t="n"/>
      <c r="HA31" s="6" t="n"/>
      <c r="HB31" s="6" t="n"/>
      <c r="HC31" s="6" t="n"/>
      <c r="HD31" s="6" t="n"/>
      <c r="HE31" s="6" t="n"/>
      <c r="HF31" s="6" t="n"/>
      <c r="HG31" s="6" t="n"/>
      <c r="HH31" s="6" t="n"/>
      <c r="HI31" s="6" t="n"/>
      <c r="HJ31" s="6">
        <f>IF(COUNTA(GF31:HI31)=0, "", SUMPRODUCT(--ISNUMBER(SEARCH("m", GF31:HI31))))</f>
        <v/>
      </c>
      <c r="HK31" s="6">
        <f>IF(COUNTA(GF31:HI31)=0, "", COUNTA(GF31:HI31) - SUMPRODUCT(--ISNUMBER(SEARCH("m", GF31:HI31))))</f>
        <v/>
      </c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20">
        <f>IFERROR(ROUND(AVERAGE(HL31,HN31,HP31,HR31,HT31,HV31,HX31,HZ31,IB31,ID31), 2), "")</f>
        <v/>
      </c>
      <c r="IG31" s="6" t="n"/>
      <c r="IH31" s="6" t="n"/>
      <c r="II31" s="6" t="n"/>
      <c r="IJ31" s="6" t="n"/>
      <c r="IK31" s="6" t="n"/>
      <c r="IL31" s="6" t="n"/>
      <c r="IM31" s="6" t="n"/>
      <c r="IN31" s="6" t="n"/>
      <c r="IO31" s="6" t="n"/>
      <c r="IP31" s="6" t="n"/>
      <c r="IQ31" s="6" t="n"/>
      <c r="IR31" s="6" t="n"/>
      <c r="IS31" s="6" t="n"/>
      <c r="IT31" s="6" t="n"/>
      <c r="IU31" s="6" t="n"/>
      <c r="IV31" s="6" t="n"/>
      <c r="IW31" s="6" t="n"/>
      <c r="IX31" s="6" t="n"/>
      <c r="IY31" s="6" t="n"/>
      <c r="IZ31" s="6" t="n"/>
      <c r="JA31" s="6" t="n"/>
      <c r="JB31" s="6" t="n"/>
      <c r="JC31" s="6" t="n"/>
      <c r="JD31" s="6" t="n"/>
      <c r="JE31" s="6" t="n"/>
      <c r="JF31" s="6" t="n"/>
      <c r="JG31" s="6" t="n"/>
      <c r="JH31" s="6" t="n"/>
      <c r="JI31" s="6" t="n"/>
      <c r="JJ31" s="6" t="n"/>
      <c r="JK31" s="6">
        <f>IF(COUNTA(IG31:JJ31)=0, "", SUMPRODUCT(--ISNUMBER(SEARCH("m", IG31:JJ31))))</f>
        <v/>
      </c>
      <c r="JL31" s="6">
        <f>IF(COUNTA(IG31:JJ31)=0, "", COUNTA(IG31:JJ31) - SUMPRODUCT(--ISNUMBER(SEARCH("m", IG31:JJ31))))</f>
        <v/>
      </c>
      <c r="JM31" s="6" t="n"/>
      <c r="JN31" s="6" t="n"/>
      <c r="JO31" s="6" t="n"/>
      <c r="JP31" s="6" t="n"/>
      <c r="JQ31" s="6" t="n"/>
      <c r="JR31" s="6" t="n"/>
      <c r="JS31" s="6" t="n"/>
      <c r="JT31" s="6" t="n"/>
      <c r="JU31" s="6" t="n"/>
      <c r="JV31" s="6" t="n"/>
      <c r="JW31" s="6" t="n"/>
      <c r="JX31" s="6" t="n"/>
      <c r="JY31" s="6" t="n"/>
      <c r="JZ31" s="6" t="n"/>
      <c r="KA31" s="6" t="n"/>
      <c r="KB31" s="6" t="n"/>
      <c r="KC31" s="6" t="n"/>
      <c r="KD31" s="6" t="n"/>
      <c r="KE31" s="6" t="n"/>
      <c r="KF31" s="6" t="n"/>
      <c r="KG31" s="20">
        <f>IFERROR(ROUND(AVERAGE(JM31,JO31,JQ31,JS31,JU31,JW31,JY31,KA31,KC31,KE31), 2), "")</f>
        <v/>
      </c>
      <c r="KH31" s="6" t="n"/>
      <c r="KI31" s="6" t="n"/>
      <c r="KJ31" s="6" t="n"/>
      <c r="KK31" s="6" t="n"/>
      <c r="KL31" s="6" t="n"/>
      <c r="KM31" s="6" t="n"/>
      <c r="KN31" s="6" t="n"/>
      <c r="KO31" s="6" t="n"/>
      <c r="KP31" s="6" t="n"/>
      <c r="KQ31" s="6" t="n"/>
      <c r="KR31" s="6" t="n"/>
      <c r="KS31" s="6" t="n"/>
      <c r="KT31" s="6" t="n"/>
      <c r="KU31" s="6" t="n"/>
      <c r="KV31" s="6" t="n"/>
      <c r="KW31" s="6" t="n"/>
      <c r="KX31" s="6" t="n"/>
      <c r="KY31" s="6" t="n"/>
      <c r="KZ31" s="6" t="n"/>
      <c r="LA31" s="6" t="n"/>
      <c r="LB31" s="6" t="n"/>
      <c r="LC31" s="6" t="n"/>
      <c r="LD31" s="6" t="n"/>
      <c r="LE31" s="6" t="n"/>
      <c r="LF31" s="6" t="n"/>
      <c r="LG31" s="6" t="n"/>
      <c r="LH31" s="6" t="n"/>
      <c r="LI31" s="6" t="n"/>
      <c r="LJ31" s="6" t="n"/>
      <c r="LK31" s="6" t="n"/>
      <c r="LL31" s="6">
        <f>IF(COUNTA(KH31:LK31)=0, "", SUMPRODUCT(--ISNUMBER(SEARCH("m", KH31:LK31))))</f>
        <v/>
      </c>
      <c r="LM31" s="6">
        <f>IF(COUNTA(KH31:LK31)=0, "", COUNTA(KH31:LK31) - SUMPRODUCT(--ISNUMBER(SEARCH("m", KH31:LK31))))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8">
        <f>IFERROR(ROUND(AVERAGE(AB32,CC32,ED32,GE32,IF32,KG32), 2), "")</f>
        <v/>
      </c>
      <c r="F32" s="14">
        <f>IF(SUM(BH32,DI32,FJ32,HK32,JL32,LM32)=0, "", SUM(BH32,DI32,FJ32,HK32,JL32,LM32))</f>
        <v/>
      </c>
      <c r="G32" s="8">
        <f>IF(SUM(BG32,DH32,FI32,HJ32,JK32,LL32)=0, "", SUM(BG32,DH32,FI32,HJ32,JK32,LL32))</f>
        <v/>
      </c>
      <c r="H32" s="6" t="n"/>
      <c r="I32" s="79" t="n"/>
      <c r="J32" s="6" t="n"/>
      <c r="K32" s="79" t="n"/>
      <c r="L32" s="6" t="n"/>
      <c r="M32" s="79" t="n"/>
      <c r="N32" s="6" t="n"/>
      <c r="O32" s="79" t="n"/>
      <c r="P32" s="6" t="n"/>
      <c r="Q32" s="79" t="n"/>
      <c r="R32" s="18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18" t="n"/>
      <c r="AB32" s="14">
        <f>IFERROR(ROUND(AVERAGE(H32,J32,L32,N32,P32,R32,T32,V32,X32,Z32), 2), "")</f>
        <v/>
      </c>
      <c r="AC32" s="6" t="n"/>
      <c r="AD32" s="79" t="n"/>
      <c r="AE32" s="6" t="n"/>
      <c r="AF32" s="79" t="n"/>
      <c r="AG32" s="6" t="n"/>
      <c r="AH32" s="79" t="n"/>
      <c r="AI32" s="6" t="n"/>
      <c r="AJ32" s="79" t="n"/>
      <c r="AK32" s="6" t="n"/>
      <c r="AL32" s="79" t="n"/>
      <c r="AM32" s="18" t="n"/>
      <c r="AN32" s="79" t="n"/>
      <c r="AO32" s="79" t="n"/>
      <c r="AP32" s="79" t="n"/>
      <c r="AQ32" s="79" t="n"/>
      <c r="AR32" s="79" t="n"/>
      <c r="AS32" s="79" t="n"/>
      <c r="AT32" s="79" t="n"/>
      <c r="AU32" s="79" t="n"/>
      <c r="AV32" s="18" t="n"/>
      <c r="AW32" s="19" t="n"/>
      <c r="AX32" s="6" t="n"/>
      <c r="AY32" s="79" t="n"/>
      <c r="AZ32" s="6" t="n"/>
      <c r="BA32" s="79" t="n"/>
      <c r="BB32" s="6" t="n"/>
      <c r="BC32" s="79" t="n"/>
      <c r="BD32" s="6" t="n"/>
      <c r="BE32" s="79" t="n"/>
      <c r="BF32" s="6" t="n"/>
      <c r="BG32" s="79">
        <f>IF(COUNTA(AC32:BF32)=0, "", SUMPRODUCT(--ISNUMBER(SEARCH("m", AC32:BF32))))</f>
        <v/>
      </c>
      <c r="BH32" s="18">
        <f>IF(COUNTA(AC32:BF32)=0, "", COUNTA(AC32:BF32) - SUMPRODUCT(--ISNUMBER(SEARCH("m", AC32:BF32))))</f>
        <v/>
      </c>
      <c r="BI32" s="79" t="n"/>
      <c r="BJ32" s="79" t="n"/>
      <c r="BK32" s="79" t="n"/>
      <c r="BL32" s="79" t="n"/>
      <c r="BM32" s="79" t="n"/>
      <c r="BN32" s="79" t="n"/>
      <c r="BO32" s="79" t="n"/>
      <c r="BP32" s="79" t="n"/>
      <c r="BQ32" s="18" t="n"/>
      <c r="BR32" s="19" t="n"/>
      <c r="BS32" s="6" t="n"/>
      <c r="BT32" s="79" t="n"/>
      <c r="BU32" s="6" t="n"/>
      <c r="BV32" s="79" t="n"/>
      <c r="BW32" s="6" t="n"/>
      <c r="BX32" s="79" t="n"/>
      <c r="BY32" s="6" t="n"/>
      <c r="BZ32" s="79" t="n"/>
      <c r="CA32" s="6" t="n"/>
      <c r="CB32" s="79" t="n"/>
      <c r="CC32" s="8">
        <f>IFERROR(ROUND(AVERAGE(BI32,BK32,BM32,BO32,BQ32,BS32,BU32,BW32,BY32,CA32), 2), "")</f>
        <v/>
      </c>
      <c r="CD32" s="79" t="n"/>
      <c r="CE32" s="79" t="n"/>
      <c r="CF32" s="79" t="n"/>
      <c r="CG32" s="79" t="n"/>
      <c r="CH32" s="79" t="n"/>
      <c r="CI32" s="79" t="n"/>
      <c r="CJ32" s="79" t="n"/>
      <c r="CK32" s="79" t="n"/>
      <c r="CL32" s="18" t="n"/>
      <c r="CM32" s="19" t="n"/>
      <c r="CN32" s="6" t="n"/>
      <c r="CO32" s="79" t="n"/>
      <c r="CP32" s="6" t="n"/>
      <c r="CQ32" s="79" t="n"/>
      <c r="CR32" s="6" t="n"/>
      <c r="CS32" s="79" t="n"/>
      <c r="CT32" s="6" t="n"/>
      <c r="CU32" s="79" t="n"/>
      <c r="CV32" s="6" t="n"/>
      <c r="CW32" s="79" t="n"/>
      <c r="CX32" s="18" t="n"/>
      <c r="CY32" s="79" t="n"/>
      <c r="CZ32" s="79" t="n"/>
      <c r="DA32" s="79" t="n"/>
      <c r="DB32" s="79" t="n"/>
      <c r="DC32" s="79" t="n"/>
      <c r="DD32" s="79" t="n"/>
      <c r="DE32" s="79" t="n"/>
      <c r="DF32" s="79" t="n"/>
      <c r="DG32" s="18" t="n"/>
      <c r="DH32" s="19">
        <f>IF(COUNTA(CD32:DG32)=0, "", SUMPRODUCT(--ISNUMBER(SEARCH("m", CD32:DG32))))</f>
        <v/>
      </c>
      <c r="DI32" s="6">
        <f>IF(COUNTA(CD32:DG32)=0, "", COUNTA(CD32:DG32) - SUMPRODUCT(--ISNUMBER(SEARCH("m", CD32:DG32))))</f>
        <v/>
      </c>
      <c r="DJ32" s="79" t="n"/>
      <c r="DK32" s="6" t="n"/>
      <c r="DL32" s="79" t="n"/>
      <c r="DM32" s="6" t="n"/>
      <c r="DN32" s="79" t="n"/>
      <c r="DO32" s="6" t="n"/>
      <c r="DP32" s="79" t="n"/>
      <c r="DQ32" s="6" t="n"/>
      <c r="DR32" s="79" t="n"/>
      <c r="DS32" s="18" t="n"/>
      <c r="DT32" s="79" t="n"/>
      <c r="DU32" s="79" t="n"/>
      <c r="DV32" s="79" t="n"/>
      <c r="DW32" s="79" t="n"/>
      <c r="DX32" s="79" t="n"/>
      <c r="DY32" s="79" t="n"/>
      <c r="DZ32" s="79" t="n"/>
      <c r="EA32" s="79" t="n"/>
      <c r="EB32" s="18" t="n"/>
      <c r="EC32" s="19" t="n"/>
      <c r="ED32" s="20">
        <f>IFERROR(ROUND(AVERAGE(DJ32,DL32,DN32,DP32,DR32,DT32,DV32,DX32,DZ32,EB32), 2), "")</f>
        <v/>
      </c>
      <c r="EE32" s="6" t="n"/>
      <c r="EF32" s="6" t="n"/>
      <c r="EG32" s="6" t="n"/>
      <c r="EH32" s="6" t="n"/>
      <c r="EI32" s="6" t="n"/>
      <c r="EJ32" s="6" t="n"/>
      <c r="EK32" s="6" t="n"/>
      <c r="EL32" s="6" t="n"/>
      <c r="EM32" s="6" t="n"/>
      <c r="EN32" s="6" t="n"/>
      <c r="EO32" s="6" t="n"/>
      <c r="EP32" s="6" t="n"/>
      <c r="EQ32" s="6" t="n"/>
      <c r="ER32" s="6" t="n"/>
      <c r="ES32" s="6" t="n"/>
      <c r="ET32" s="6" t="n"/>
      <c r="EU32" s="6" t="n"/>
      <c r="EV32" s="6" t="n"/>
      <c r="EW32" s="6" t="n"/>
      <c r="EX32" s="6" t="n"/>
      <c r="EY32" s="6" t="n"/>
      <c r="EZ32" s="6" t="n"/>
      <c r="FA32" s="6" t="n"/>
      <c r="FB32" s="6" t="n"/>
      <c r="FC32" s="6" t="n"/>
      <c r="FD32" s="6" t="n"/>
      <c r="FE32" s="6" t="n"/>
      <c r="FF32" s="6" t="n"/>
      <c r="FG32" s="6" t="n"/>
      <c r="FH32" s="6" t="n"/>
      <c r="FI32" s="6">
        <f>IF(COUNTA(EE32:FH32)=0, "", SUMPRODUCT(--ISNUMBER(SEARCH("m", EE32:FH32))))</f>
        <v/>
      </c>
      <c r="FJ32" s="6">
        <f>IF(COUNTA(EE32:FH32)=0, "", COUNTA(EE32:FH32) - SUMPRODUCT(--ISNUMBER(SEARCH("m", EE32:FH32))))</f>
        <v/>
      </c>
      <c r="FK32" s="6" t="n"/>
      <c r="FL32" s="6" t="n"/>
      <c r="FM32" s="6" t="n"/>
      <c r="FN32" s="6" t="n"/>
      <c r="FO32" s="6" t="n"/>
      <c r="FP32" s="6" t="n"/>
      <c r="FQ32" s="6" t="n"/>
      <c r="FR32" s="6" t="n"/>
      <c r="FS32" s="6" t="n"/>
      <c r="FT32" s="6" t="n"/>
      <c r="FU32" s="6" t="n"/>
      <c r="FV32" s="6" t="n"/>
      <c r="FW32" s="6" t="n"/>
      <c r="FX32" s="6" t="n"/>
      <c r="FY32" s="6" t="n"/>
      <c r="FZ32" s="6" t="n"/>
      <c r="GA32" s="6" t="n"/>
      <c r="GB32" s="6" t="n"/>
      <c r="GC32" s="6" t="n"/>
      <c r="GD32" s="6" t="n"/>
      <c r="GE32" s="20">
        <f>IFERROR(ROUND(AVERAGE(FK32,FM32,FO32,FQ32,FS32,FU32,FW32,FY32,GA32,GC32), 2), "")</f>
        <v/>
      </c>
      <c r="GF32" s="6" t="n"/>
      <c r="GG32" s="6" t="n"/>
      <c r="GH32" s="6" t="n"/>
      <c r="GI32" s="6" t="n"/>
      <c r="GJ32" s="6" t="n"/>
      <c r="GK32" s="6" t="n"/>
      <c r="GL32" s="6" t="n"/>
      <c r="GM32" s="6" t="n"/>
      <c r="GN32" s="6" t="n"/>
      <c r="GO32" s="6" t="n"/>
      <c r="GP32" s="6" t="n"/>
      <c r="GQ32" s="6" t="n"/>
      <c r="GR32" s="6" t="n"/>
      <c r="GS32" s="6" t="n"/>
      <c r="GT32" s="6" t="n"/>
      <c r="GU32" s="6" t="n"/>
      <c r="GV32" s="6" t="n"/>
      <c r="GW32" s="6" t="n"/>
      <c r="GX32" s="6" t="n"/>
      <c r="GY32" s="6" t="n"/>
      <c r="GZ32" s="6" t="n"/>
      <c r="HA32" s="6" t="n"/>
      <c r="HB32" s="6" t="n"/>
      <c r="HC32" s="6" t="n"/>
      <c r="HD32" s="6" t="n"/>
      <c r="HE32" s="6" t="n"/>
      <c r="HF32" s="6" t="n"/>
      <c r="HG32" s="6" t="n"/>
      <c r="HH32" s="6" t="n"/>
      <c r="HI32" s="6" t="n"/>
      <c r="HJ32" s="6">
        <f>IF(COUNTA(GF32:HI32)=0, "", SUMPRODUCT(--ISNUMBER(SEARCH("m", GF32:HI32))))</f>
        <v/>
      </c>
      <c r="HK32" s="6">
        <f>IF(COUNTA(GF32:HI32)=0, "", COUNTA(GF32:HI32) - SUMPRODUCT(--ISNUMBER(SEARCH("m", GF32:HI32))))</f>
        <v/>
      </c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20">
        <f>IFERROR(ROUND(AVERAGE(HL32,HN32,HP32,HR32,HT32,HV32,HX32,HZ32,IB32,ID32), 2), "")</f>
        <v/>
      </c>
      <c r="IG32" s="6" t="n"/>
      <c r="IH32" s="6" t="n"/>
      <c r="II32" s="6" t="n"/>
      <c r="IJ32" s="6" t="n"/>
      <c r="IK32" s="6" t="n"/>
      <c r="IL32" s="6" t="n"/>
      <c r="IM32" s="6" t="n"/>
      <c r="IN32" s="6" t="n"/>
      <c r="IO32" s="6" t="n"/>
      <c r="IP32" s="6" t="n"/>
      <c r="IQ32" s="6" t="n"/>
      <c r="IR32" s="6" t="n"/>
      <c r="IS32" s="6" t="n"/>
      <c r="IT32" s="6" t="n"/>
      <c r="IU32" s="6" t="n"/>
      <c r="IV32" s="6" t="n"/>
      <c r="IW32" s="6" t="n"/>
      <c r="IX32" s="6" t="n"/>
      <c r="IY32" s="6" t="n"/>
      <c r="IZ32" s="6" t="n"/>
      <c r="JA32" s="6" t="n"/>
      <c r="JB32" s="6" t="n"/>
      <c r="JC32" s="6" t="n"/>
      <c r="JD32" s="6" t="n"/>
      <c r="JE32" s="6" t="n"/>
      <c r="JF32" s="6" t="n"/>
      <c r="JG32" s="6" t="n"/>
      <c r="JH32" s="6" t="n"/>
      <c r="JI32" s="6" t="n"/>
      <c r="JJ32" s="6" t="n"/>
      <c r="JK32" s="6">
        <f>IF(COUNTA(IG32:JJ32)=0, "", SUMPRODUCT(--ISNUMBER(SEARCH("m", IG32:JJ32))))</f>
        <v/>
      </c>
      <c r="JL32" s="6">
        <f>IF(COUNTA(IG32:JJ32)=0, "", COUNTA(IG32:JJ32) - SUMPRODUCT(--ISNUMBER(SEARCH("m", IG32:JJ32))))</f>
        <v/>
      </c>
      <c r="JM32" s="6" t="n"/>
      <c r="JN32" s="6" t="n"/>
      <c r="JO32" s="6" t="n"/>
      <c r="JP32" s="6" t="n"/>
      <c r="JQ32" s="6" t="n"/>
      <c r="JR32" s="6" t="n"/>
      <c r="JS32" s="6" t="n"/>
      <c r="JT32" s="6" t="n"/>
      <c r="JU32" s="6" t="n"/>
      <c r="JV32" s="6" t="n"/>
      <c r="JW32" s="6" t="n"/>
      <c r="JX32" s="6" t="n"/>
      <c r="JY32" s="6" t="n"/>
      <c r="JZ32" s="6" t="n"/>
      <c r="KA32" s="6" t="n"/>
      <c r="KB32" s="6" t="n"/>
      <c r="KC32" s="6" t="n"/>
      <c r="KD32" s="6" t="n"/>
      <c r="KE32" s="6" t="n"/>
      <c r="KF32" s="6" t="n"/>
      <c r="KG32" s="20">
        <f>IFERROR(ROUND(AVERAGE(JM32,JO32,JQ32,JS32,JU32,JW32,JY32,KA32,KC32,KE32), 2), "")</f>
        <v/>
      </c>
      <c r="KH32" s="6" t="n"/>
      <c r="KI32" s="6" t="n"/>
      <c r="KJ32" s="6" t="n"/>
      <c r="KK32" s="6" t="n"/>
      <c r="KL32" s="6" t="n"/>
      <c r="KM32" s="6" t="n"/>
      <c r="KN32" s="6" t="n"/>
      <c r="KO32" s="6" t="n"/>
      <c r="KP32" s="6" t="n"/>
      <c r="KQ32" s="6" t="n"/>
      <c r="KR32" s="6" t="n"/>
      <c r="KS32" s="6" t="n"/>
      <c r="KT32" s="6" t="n"/>
      <c r="KU32" s="6" t="n"/>
      <c r="KV32" s="6" t="n"/>
      <c r="KW32" s="6" t="n"/>
      <c r="KX32" s="6" t="n"/>
      <c r="KY32" s="6" t="n"/>
      <c r="KZ32" s="6" t="n"/>
      <c r="LA32" s="6" t="n"/>
      <c r="LB32" s="6" t="n"/>
      <c r="LC32" s="6" t="n"/>
      <c r="LD32" s="6" t="n"/>
      <c r="LE32" s="6" t="n"/>
      <c r="LF32" s="6" t="n"/>
      <c r="LG32" s="6" t="n"/>
      <c r="LH32" s="6" t="n"/>
      <c r="LI32" s="6" t="n"/>
      <c r="LJ32" s="6" t="n"/>
      <c r="LK32" s="6" t="n"/>
      <c r="LL32" s="6">
        <f>IF(COUNTA(KH32:LK32)=0, "", SUMPRODUCT(--ISNUMBER(SEARCH("m", KH32:LK32))))</f>
        <v/>
      </c>
      <c r="LM32" s="6">
        <f>IF(COUNTA(KH32:LK32)=0, "", COUNTA(KH32:LK32) - SUMPRODUCT(--ISNUMBER(SEARCH("m", KH32:LK32))))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8">
        <f>IFERROR(ROUND(AVERAGE(AB33,CC33,ED33,GE33,IF33,KG33), 2), "")</f>
        <v/>
      </c>
      <c r="F33" s="14">
        <f>IF(SUM(BH33,DI33,FJ33,HK33,JL33,LM33)=0, "", SUM(BH33,DI33,FJ33,HK33,JL33,LM33))</f>
        <v/>
      </c>
      <c r="G33" s="8">
        <f>IF(SUM(BG33,DH33,FI33,HJ33,JK33,LL33)=0, "", SUM(BG33,DH33,FI33,HJ33,JK33,LL33))</f>
        <v/>
      </c>
      <c r="H33" s="6" t="n"/>
      <c r="I33" s="79" t="n"/>
      <c r="J33" s="6" t="n"/>
      <c r="K33" s="79" t="n"/>
      <c r="L33" s="6" t="n"/>
      <c r="M33" s="79" t="n"/>
      <c r="N33" s="6" t="n"/>
      <c r="O33" s="79" t="n"/>
      <c r="P33" s="6" t="n"/>
      <c r="Q33" s="79" t="n"/>
      <c r="R33" s="18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18" t="n"/>
      <c r="AB33" s="14">
        <f>IFERROR(ROUND(AVERAGE(H33,J33,L33,N33,P33,R33,T33,V33,X33,Z33), 2), "")</f>
        <v/>
      </c>
      <c r="AC33" s="6" t="n"/>
      <c r="AD33" s="79" t="n"/>
      <c r="AE33" s="6" t="n"/>
      <c r="AF33" s="79" t="n"/>
      <c r="AG33" s="6" t="n"/>
      <c r="AH33" s="79" t="n"/>
      <c r="AI33" s="6" t="n"/>
      <c r="AJ33" s="79" t="n"/>
      <c r="AK33" s="6" t="n"/>
      <c r="AL33" s="79" t="n"/>
      <c r="AM33" s="18" t="n"/>
      <c r="AN33" s="79" t="n"/>
      <c r="AO33" s="79" t="n"/>
      <c r="AP33" s="79" t="n"/>
      <c r="AQ33" s="79" t="n"/>
      <c r="AR33" s="79" t="n"/>
      <c r="AS33" s="79" t="n"/>
      <c r="AT33" s="79" t="n"/>
      <c r="AU33" s="79" t="n"/>
      <c r="AV33" s="18" t="n"/>
      <c r="AW33" s="19" t="n"/>
      <c r="AX33" s="6" t="n"/>
      <c r="AY33" s="79" t="n"/>
      <c r="AZ33" s="6" t="n"/>
      <c r="BA33" s="79" t="n"/>
      <c r="BB33" s="6" t="n"/>
      <c r="BC33" s="79" t="n"/>
      <c r="BD33" s="6" t="n"/>
      <c r="BE33" s="79" t="n"/>
      <c r="BF33" s="6" t="n"/>
      <c r="BG33" s="79">
        <f>IF(COUNTA(AC33:BF33)=0, "", SUMPRODUCT(--ISNUMBER(SEARCH("m", AC33:BF33))))</f>
        <v/>
      </c>
      <c r="BH33" s="18">
        <f>IF(COUNTA(AC33:BF33)=0, "", COUNTA(AC33:BF33) - SUMPRODUCT(--ISNUMBER(SEARCH("m", AC33:BF33))))</f>
        <v/>
      </c>
      <c r="BI33" s="79" t="n"/>
      <c r="BJ33" s="79" t="n"/>
      <c r="BK33" s="79" t="n"/>
      <c r="BL33" s="79" t="n"/>
      <c r="BM33" s="79" t="n"/>
      <c r="BN33" s="79" t="n"/>
      <c r="BO33" s="79" t="n"/>
      <c r="BP33" s="79" t="n"/>
      <c r="BQ33" s="18" t="n"/>
      <c r="BR33" s="19" t="n"/>
      <c r="BS33" s="6" t="n"/>
      <c r="BT33" s="79" t="n"/>
      <c r="BU33" s="6" t="n"/>
      <c r="BV33" s="79" t="n"/>
      <c r="BW33" s="6" t="n"/>
      <c r="BX33" s="79" t="n"/>
      <c r="BY33" s="6" t="n"/>
      <c r="BZ33" s="79" t="n"/>
      <c r="CA33" s="6" t="n"/>
      <c r="CB33" s="79" t="n"/>
      <c r="CC33" s="8">
        <f>IFERROR(ROUND(AVERAGE(BI33,BK33,BM33,BO33,BQ33,BS33,BU33,BW33,BY33,CA33), 2), "")</f>
        <v/>
      </c>
      <c r="CD33" s="79" t="n"/>
      <c r="CE33" s="79" t="n"/>
      <c r="CF33" s="79" t="n"/>
      <c r="CG33" s="79" t="n"/>
      <c r="CH33" s="79" t="n"/>
      <c r="CI33" s="79" t="n"/>
      <c r="CJ33" s="79" t="n"/>
      <c r="CK33" s="79" t="n"/>
      <c r="CL33" s="18" t="n"/>
      <c r="CM33" s="19" t="n"/>
      <c r="CN33" s="6" t="n"/>
      <c r="CO33" s="79" t="n"/>
      <c r="CP33" s="6" t="n"/>
      <c r="CQ33" s="79" t="n"/>
      <c r="CR33" s="6" t="n"/>
      <c r="CS33" s="79" t="n"/>
      <c r="CT33" s="6" t="n"/>
      <c r="CU33" s="79" t="n"/>
      <c r="CV33" s="6" t="n"/>
      <c r="CW33" s="79" t="n"/>
      <c r="CX33" s="18" t="n"/>
      <c r="CY33" s="79" t="n"/>
      <c r="CZ33" s="79" t="n"/>
      <c r="DA33" s="79" t="n"/>
      <c r="DB33" s="79" t="n"/>
      <c r="DC33" s="79" t="n"/>
      <c r="DD33" s="79" t="n"/>
      <c r="DE33" s="79" t="n"/>
      <c r="DF33" s="79" t="n"/>
      <c r="DG33" s="18" t="n"/>
      <c r="DH33" s="19">
        <f>IF(COUNTA(CD33:DG33)=0, "", SUMPRODUCT(--ISNUMBER(SEARCH("m", CD33:DG33))))</f>
        <v/>
      </c>
      <c r="DI33" s="6">
        <f>IF(COUNTA(CD33:DG33)=0, "", COUNTA(CD33:DG33) - SUMPRODUCT(--ISNUMBER(SEARCH("m", CD33:DG33))))</f>
        <v/>
      </c>
      <c r="DJ33" s="79" t="n"/>
      <c r="DK33" s="6" t="n"/>
      <c r="DL33" s="79" t="n"/>
      <c r="DM33" s="6" t="n"/>
      <c r="DN33" s="79" t="n"/>
      <c r="DO33" s="6" t="n"/>
      <c r="DP33" s="79" t="n"/>
      <c r="DQ33" s="6" t="n"/>
      <c r="DR33" s="79" t="n"/>
      <c r="DS33" s="18" t="n"/>
      <c r="DT33" s="79" t="n"/>
      <c r="DU33" s="79" t="n"/>
      <c r="DV33" s="79" t="n"/>
      <c r="DW33" s="79" t="n"/>
      <c r="DX33" s="79" t="n"/>
      <c r="DY33" s="79" t="n"/>
      <c r="DZ33" s="79" t="n"/>
      <c r="EA33" s="79" t="n"/>
      <c r="EB33" s="18" t="n"/>
      <c r="EC33" s="19" t="n"/>
      <c r="ED33" s="20">
        <f>IFERROR(ROUND(AVERAGE(DJ33,DL33,DN33,DP33,DR33,DT33,DV33,DX33,DZ33,EB33), 2), "")</f>
        <v/>
      </c>
      <c r="EE33" s="6" t="n"/>
      <c r="EF33" s="6" t="n"/>
      <c r="EG33" s="6" t="n"/>
      <c r="EH33" s="6" t="n"/>
      <c r="EI33" s="6" t="n"/>
      <c r="EJ33" s="6" t="n"/>
      <c r="EK33" s="6" t="n"/>
      <c r="EL33" s="6" t="n"/>
      <c r="EM33" s="6" t="n"/>
      <c r="EN33" s="6" t="n"/>
      <c r="EO33" s="6" t="n"/>
      <c r="EP33" s="6" t="n"/>
      <c r="EQ33" s="6" t="n"/>
      <c r="ER33" s="6" t="n"/>
      <c r="ES33" s="6" t="n"/>
      <c r="ET33" s="6" t="n"/>
      <c r="EU33" s="6" t="n"/>
      <c r="EV33" s="6" t="n"/>
      <c r="EW33" s="6" t="n"/>
      <c r="EX33" s="6" t="n"/>
      <c r="EY33" s="6" t="n"/>
      <c r="EZ33" s="6" t="n"/>
      <c r="FA33" s="6" t="n"/>
      <c r="FB33" s="6" t="n"/>
      <c r="FC33" s="6" t="n"/>
      <c r="FD33" s="6" t="n"/>
      <c r="FE33" s="6" t="n"/>
      <c r="FF33" s="6" t="n"/>
      <c r="FG33" s="6" t="n"/>
      <c r="FH33" s="6" t="n"/>
      <c r="FI33" s="6">
        <f>IF(COUNTA(EE33:FH33)=0, "", SUMPRODUCT(--ISNUMBER(SEARCH("m", EE33:FH33))))</f>
        <v/>
      </c>
      <c r="FJ33" s="6">
        <f>IF(COUNTA(EE33:FH33)=0, "", COUNTA(EE33:FH33) - SUMPRODUCT(--ISNUMBER(SEARCH("m", EE33:FH33))))</f>
        <v/>
      </c>
      <c r="FK33" s="6" t="n"/>
      <c r="FL33" s="6" t="n"/>
      <c r="FM33" s="6" t="n"/>
      <c r="FN33" s="6" t="n"/>
      <c r="FO33" s="6" t="n"/>
      <c r="FP33" s="6" t="n"/>
      <c r="FQ33" s="6" t="n"/>
      <c r="FR33" s="6" t="n"/>
      <c r="FS33" s="6" t="n"/>
      <c r="FT33" s="6" t="n"/>
      <c r="FU33" s="6" t="n"/>
      <c r="FV33" s="6" t="n"/>
      <c r="FW33" s="6" t="n"/>
      <c r="FX33" s="6" t="n"/>
      <c r="FY33" s="6" t="n"/>
      <c r="FZ33" s="6" t="n"/>
      <c r="GA33" s="6" t="n"/>
      <c r="GB33" s="6" t="n"/>
      <c r="GC33" s="6" t="n"/>
      <c r="GD33" s="6" t="n"/>
      <c r="GE33" s="20">
        <f>IFERROR(ROUND(AVERAGE(FK33,FM33,FO33,FQ33,FS33,FU33,FW33,FY33,GA33,GC33), 2), "")</f>
        <v/>
      </c>
      <c r="GF33" s="6" t="n"/>
      <c r="GG33" s="6" t="n"/>
      <c r="GH33" s="6" t="n"/>
      <c r="GI33" s="6" t="n"/>
      <c r="GJ33" s="6" t="n"/>
      <c r="GK33" s="6" t="n"/>
      <c r="GL33" s="6" t="n"/>
      <c r="GM33" s="6" t="n"/>
      <c r="GN33" s="6" t="n"/>
      <c r="GO33" s="6" t="n"/>
      <c r="GP33" s="6" t="n"/>
      <c r="GQ33" s="6" t="n"/>
      <c r="GR33" s="6" t="n"/>
      <c r="GS33" s="6" t="n"/>
      <c r="GT33" s="6" t="n"/>
      <c r="GU33" s="6" t="n"/>
      <c r="GV33" s="6" t="n"/>
      <c r="GW33" s="6" t="n"/>
      <c r="GX33" s="6" t="n"/>
      <c r="GY33" s="6" t="n"/>
      <c r="GZ33" s="6" t="n"/>
      <c r="HA33" s="6" t="n"/>
      <c r="HB33" s="6" t="n"/>
      <c r="HC33" s="6" t="n"/>
      <c r="HD33" s="6" t="n"/>
      <c r="HE33" s="6" t="n"/>
      <c r="HF33" s="6" t="n"/>
      <c r="HG33" s="6" t="n"/>
      <c r="HH33" s="6" t="n"/>
      <c r="HI33" s="6" t="n"/>
      <c r="HJ33" s="6">
        <f>IF(COUNTA(GF33:HI33)=0, "", SUMPRODUCT(--ISNUMBER(SEARCH("m", GF33:HI33))))</f>
        <v/>
      </c>
      <c r="HK33" s="6">
        <f>IF(COUNTA(GF33:HI33)=0, "", COUNTA(GF33:HI33) - SUMPRODUCT(--ISNUMBER(SEARCH("m", GF33:HI33))))</f>
        <v/>
      </c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20">
        <f>IFERROR(ROUND(AVERAGE(HL33,HN33,HP33,HR33,HT33,HV33,HX33,HZ33,IB33,ID33), 2), "")</f>
        <v/>
      </c>
      <c r="IG33" s="6" t="n"/>
      <c r="IH33" s="6" t="n"/>
      <c r="II33" s="6" t="n"/>
      <c r="IJ33" s="6" t="n"/>
      <c r="IK33" s="6" t="n"/>
      <c r="IL33" s="6" t="n"/>
      <c r="IM33" s="6" t="n"/>
      <c r="IN33" s="6" t="n"/>
      <c r="IO33" s="6" t="n"/>
      <c r="IP33" s="6" t="n"/>
      <c r="IQ33" s="6" t="n"/>
      <c r="IR33" s="6" t="n"/>
      <c r="IS33" s="6" t="n"/>
      <c r="IT33" s="6" t="n"/>
      <c r="IU33" s="6" t="n"/>
      <c r="IV33" s="6" t="n"/>
      <c r="IW33" s="6" t="n"/>
      <c r="IX33" s="6" t="n"/>
      <c r="IY33" s="6" t="n"/>
      <c r="IZ33" s="6" t="n"/>
      <c r="JA33" s="6" t="n"/>
      <c r="JB33" s="6" t="n"/>
      <c r="JC33" s="6" t="n"/>
      <c r="JD33" s="6" t="n"/>
      <c r="JE33" s="6" t="n"/>
      <c r="JF33" s="6" t="n"/>
      <c r="JG33" s="6" t="n"/>
      <c r="JH33" s="6" t="n"/>
      <c r="JI33" s="6" t="n"/>
      <c r="JJ33" s="6" t="n"/>
      <c r="JK33" s="6">
        <f>IF(COUNTA(IG33:JJ33)=0, "", SUMPRODUCT(--ISNUMBER(SEARCH("m", IG33:JJ33))))</f>
        <v/>
      </c>
      <c r="JL33" s="6">
        <f>IF(COUNTA(IG33:JJ33)=0, "", COUNTA(IG33:JJ33) - SUMPRODUCT(--ISNUMBER(SEARCH("m", IG33:JJ33))))</f>
        <v/>
      </c>
      <c r="JM33" s="6" t="n"/>
      <c r="JN33" s="6" t="n"/>
      <c r="JO33" s="6" t="n"/>
      <c r="JP33" s="6" t="n"/>
      <c r="JQ33" s="6" t="n"/>
      <c r="JR33" s="6" t="n"/>
      <c r="JS33" s="6" t="n"/>
      <c r="JT33" s="6" t="n"/>
      <c r="JU33" s="6" t="n"/>
      <c r="JV33" s="6" t="n"/>
      <c r="JW33" s="6" t="n"/>
      <c r="JX33" s="6" t="n"/>
      <c r="JY33" s="6" t="n"/>
      <c r="JZ33" s="6" t="n"/>
      <c r="KA33" s="6" t="n"/>
      <c r="KB33" s="6" t="n"/>
      <c r="KC33" s="6" t="n"/>
      <c r="KD33" s="6" t="n"/>
      <c r="KE33" s="6" t="n"/>
      <c r="KF33" s="6" t="n"/>
      <c r="KG33" s="20">
        <f>IFERROR(ROUND(AVERAGE(JM33,JO33,JQ33,JS33,JU33,JW33,JY33,KA33,KC33,KE33), 2), "")</f>
        <v/>
      </c>
      <c r="KH33" s="6" t="n"/>
      <c r="KI33" s="6" t="n"/>
      <c r="KJ33" s="6" t="n"/>
      <c r="KK33" s="6" t="n"/>
      <c r="KL33" s="6" t="n"/>
      <c r="KM33" s="6" t="n"/>
      <c r="KN33" s="6" t="n"/>
      <c r="KO33" s="6" t="n"/>
      <c r="KP33" s="6" t="n"/>
      <c r="KQ33" s="6" t="n"/>
      <c r="KR33" s="6" t="n"/>
      <c r="KS33" s="6" t="n"/>
      <c r="KT33" s="6" t="n"/>
      <c r="KU33" s="6" t="n"/>
      <c r="KV33" s="6" t="n"/>
      <c r="KW33" s="6" t="n"/>
      <c r="KX33" s="6" t="n"/>
      <c r="KY33" s="6" t="n"/>
      <c r="KZ33" s="6" t="n"/>
      <c r="LA33" s="6" t="n"/>
      <c r="LB33" s="6" t="n"/>
      <c r="LC33" s="6" t="n"/>
      <c r="LD33" s="6" t="n"/>
      <c r="LE33" s="6" t="n"/>
      <c r="LF33" s="6" t="n"/>
      <c r="LG33" s="6" t="n"/>
      <c r="LH33" s="6" t="n"/>
      <c r="LI33" s="6" t="n"/>
      <c r="LJ33" s="6" t="n"/>
      <c r="LK33" s="6" t="n"/>
      <c r="LL33" s="6">
        <f>IF(COUNTA(KH33:LK33)=0, "", SUMPRODUCT(--ISNUMBER(SEARCH("m", KH33:LK33))))</f>
        <v/>
      </c>
      <c r="LM33" s="6">
        <f>IF(COUNTA(KH33:LK33)=0, "", COUNTA(KH33:LK33) - SUMPRODUCT(--ISNUMBER(SEARCH("m", KH33:LK33))))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8">
        <f>IFERROR(ROUND(AVERAGE(AB34,CC34,ED34,GE34,IF34,KG34), 2), "")</f>
        <v/>
      </c>
      <c r="F34" s="14">
        <f>IF(SUM(BH34,DI34,FJ34,HK34,JL34,LM34)=0, "", SUM(BH34,DI34,FJ34,HK34,JL34,LM34))</f>
        <v/>
      </c>
      <c r="G34" s="8">
        <f>IF(SUM(BG34,DH34,FI34,HJ34,JK34,LL34)=0, "", SUM(BG34,DH34,FI34,HJ34,JK34,LL34))</f>
        <v/>
      </c>
      <c r="H34" s="6" t="n"/>
      <c r="I34" s="79" t="n"/>
      <c r="J34" s="6" t="n"/>
      <c r="K34" s="79" t="n"/>
      <c r="L34" s="6" t="n"/>
      <c r="M34" s="79" t="n"/>
      <c r="N34" s="6" t="n"/>
      <c r="O34" s="79" t="n"/>
      <c r="P34" s="6" t="n"/>
      <c r="Q34" s="79" t="n"/>
      <c r="R34" s="18" t="n"/>
      <c r="S34" s="79" t="n"/>
      <c r="T34" s="79" t="n"/>
      <c r="U34" s="79" t="n"/>
      <c r="V34" s="79" t="n"/>
      <c r="W34" s="79" t="n"/>
      <c r="X34" s="79" t="n"/>
      <c r="Y34" s="79" t="n"/>
      <c r="Z34" s="79" t="n"/>
      <c r="AA34" s="18" t="n"/>
      <c r="AB34" s="14">
        <f>IFERROR(ROUND(AVERAGE(H34,J34,L34,N34,P34,R34,T34,V34,X34,Z34), 2), "")</f>
        <v/>
      </c>
      <c r="AC34" s="6" t="n"/>
      <c r="AD34" s="79" t="n"/>
      <c r="AE34" s="6" t="n"/>
      <c r="AF34" s="79" t="n"/>
      <c r="AG34" s="6" t="n"/>
      <c r="AH34" s="79" t="n"/>
      <c r="AI34" s="6" t="n"/>
      <c r="AJ34" s="79" t="n"/>
      <c r="AK34" s="6" t="n"/>
      <c r="AL34" s="79" t="n"/>
      <c r="AM34" s="18" t="n"/>
      <c r="AN34" s="79" t="n"/>
      <c r="AO34" s="79" t="n"/>
      <c r="AP34" s="79" t="n"/>
      <c r="AQ34" s="79" t="n"/>
      <c r="AR34" s="79" t="n"/>
      <c r="AS34" s="79" t="n"/>
      <c r="AT34" s="79" t="n"/>
      <c r="AU34" s="79" t="n"/>
      <c r="AV34" s="18" t="n"/>
      <c r="AW34" s="19" t="n"/>
      <c r="AX34" s="6" t="n"/>
      <c r="AY34" s="79" t="n"/>
      <c r="AZ34" s="6" t="n"/>
      <c r="BA34" s="79" t="n"/>
      <c r="BB34" s="6" t="n"/>
      <c r="BC34" s="79" t="n"/>
      <c r="BD34" s="6" t="n"/>
      <c r="BE34" s="79" t="n"/>
      <c r="BF34" s="6" t="n"/>
      <c r="BG34" s="79">
        <f>IF(COUNTA(AC34:BF34)=0, "", SUMPRODUCT(--ISNUMBER(SEARCH("m", AC34:BF34))))</f>
        <v/>
      </c>
      <c r="BH34" s="18">
        <f>IF(COUNTA(AC34:BF34)=0, "", COUNTA(AC34:BF34) - SUMPRODUCT(--ISNUMBER(SEARCH("m", AC34:BF34))))</f>
        <v/>
      </c>
      <c r="BI34" s="79" t="n"/>
      <c r="BJ34" s="79" t="n"/>
      <c r="BK34" s="79" t="n"/>
      <c r="BL34" s="79" t="n"/>
      <c r="BM34" s="79" t="n"/>
      <c r="BN34" s="79" t="n"/>
      <c r="BO34" s="79" t="n"/>
      <c r="BP34" s="79" t="n"/>
      <c r="BQ34" s="18" t="n"/>
      <c r="BR34" s="19" t="n"/>
      <c r="BS34" s="6" t="n"/>
      <c r="BT34" s="79" t="n"/>
      <c r="BU34" s="6" t="n"/>
      <c r="BV34" s="79" t="n"/>
      <c r="BW34" s="6" t="n"/>
      <c r="BX34" s="79" t="n"/>
      <c r="BY34" s="6" t="n"/>
      <c r="BZ34" s="79" t="n"/>
      <c r="CA34" s="6" t="n"/>
      <c r="CB34" s="79" t="n"/>
      <c r="CC34" s="8">
        <f>IFERROR(ROUND(AVERAGE(BI34,BK34,BM34,BO34,BQ34,BS34,BU34,BW34,BY34,CA34), 2), "")</f>
        <v/>
      </c>
      <c r="CD34" s="79" t="n"/>
      <c r="CE34" s="79" t="n"/>
      <c r="CF34" s="79" t="n"/>
      <c r="CG34" s="79" t="n"/>
      <c r="CH34" s="79" t="n"/>
      <c r="CI34" s="79" t="n"/>
      <c r="CJ34" s="79" t="n"/>
      <c r="CK34" s="79" t="n"/>
      <c r="CL34" s="18" t="n"/>
      <c r="CM34" s="19" t="n"/>
      <c r="CN34" s="6" t="n"/>
      <c r="CO34" s="79" t="n"/>
      <c r="CP34" s="6" t="n"/>
      <c r="CQ34" s="79" t="n"/>
      <c r="CR34" s="6" t="n"/>
      <c r="CS34" s="79" t="n"/>
      <c r="CT34" s="6" t="n"/>
      <c r="CU34" s="79" t="n"/>
      <c r="CV34" s="6" t="n"/>
      <c r="CW34" s="79" t="n"/>
      <c r="CX34" s="18" t="n"/>
      <c r="CY34" s="79" t="n"/>
      <c r="CZ34" s="79" t="n"/>
      <c r="DA34" s="79" t="n"/>
      <c r="DB34" s="79" t="n"/>
      <c r="DC34" s="79" t="n"/>
      <c r="DD34" s="79" t="n"/>
      <c r="DE34" s="79" t="n"/>
      <c r="DF34" s="79" t="n"/>
      <c r="DG34" s="18" t="n"/>
      <c r="DH34" s="19">
        <f>IF(COUNTA(CD34:DG34)=0, "", SUMPRODUCT(--ISNUMBER(SEARCH("m", CD34:DG34))))</f>
        <v/>
      </c>
      <c r="DI34" s="6">
        <f>IF(COUNTA(CD34:DG34)=0, "", COUNTA(CD34:DG34) - SUMPRODUCT(--ISNUMBER(SEARCH("m", CD34:DG34))))</f>
        <v/>
      </c>
      <c r="DJ34" s="79" t="n"/>
      <c r="DK34" s="6" t="n"/>
      <c r="DL34" s="79" t="n"/>
      <c r="DM34" s="6" t="n"/>
      <c r="DN34" s="79" t="n"/>
      <c r="DO34" s="6" t="n"/>
      <c r="DP34" s="79" t="n"/>
      <c r="DQ34" s="6" t="n"/>
      <c r="DR34" s="79" t="n"/>
      <c r="DS34" s="18" t="n"/>
      <c r="DT34" s="79" t="n"/>
      <c r="DU34" s="79" t="n"/>
      <c r="DV34" s="79" t="n"/>
      <c r="DW34" s="79" t="n"/>
      <c r="DX34" s="79" t="n"/>
      <c r="DY34" s="79" t="n"/>
      <c r="DZ34" s="79" t="n"/>
      <c r="EA34" s="79" t="n"/>
      <c r="EB34" s="18" t="n"/>
      <c r="EC34" s="19" t="n"/>
      <c r="ED34" s="20">
        <f>IFERROR(ROUND(AVERAGE(DJ34,DL34,DN34,DP34,DR34,DT34,DV34,DX34,DZ34,EB34), 2), "")</f>
        <v/>
      </c>
      <c r="EE34" s="6" t="n"/>
      <c r="EF34" s="6" t="n"/>
      <c r="EG34" s="6" t="n"/>
      <c r="EH34" s="6" t="n"/>
      <c r="EI34" s="6" t="n"/>
      <c r="EJ34" s="6" t="n"/>
      <c r="EK34" s="6" t="n"/>
      <c r="EL34" s="6" t="n"/>
      <c r="EM34" s="6" t="n"/>
      <c r="EN34" s="6" t="n"/>
      <c r="EO34" s="6" t="n"/>
      <c r="EP34" s="6" t="n"/>
      <c r="EQ34" s="6" t="n"/>
      <c r="ER34" s="6" t="n"/>
      <c r="ES34" s="6" t="n"/>
      <c r="ET34" s="6" t="n"/>
      <c r="EU34" s="6" t="n"/>
      <c r="EV34" s="6" t="n"/>
      <c r="EW34" s="6" t="n"/>
      <c r="EX34" s="6" t="n"/>
      <c r="EY34" s="6" t="n"/>
      <c r="EZ34" s="6" t="n"/>
      <c r="FA34" s="6" t="n"/>
      <c r="FB34" s="6" t="n"/>
      <c r="FC34" s="6" t="n"/>
      <c r="FD34" s="6" t="n"/>
      <c r="FE34" s="6" t="n"/>
      <c r="FF34" s="6" t="n"/>
      <c r="FG34" s="6" t="n"/>
      <c r="FH34" s="6" t="n"/>
      <c r="FI34" s="6">
        <f>IF(COUNTA(EE34:FH34)=0, "", SUMPRODUCT(--ISNUMBER(SEARCH("m", EE34:FH34))))</f>
        <v/>
      </c>
      <c r="FJ34" s="6">
        <f>IF(COUNTA(EE34:FH34)=0, "", COUNTA(EE34:FH34) - SUMPRODUCT(--ISNUMBER(SEARCH("m", EE34:FH34))))</f>
        <v/>
      </c>
      <c r="FK34" s="6" t="n"/>
      <c r="FL34" s="6" t="n"/>
      <c r="FM34" s="6" t="n"/>
      <c r="FN34" s="6" t="n"/>
      <c r="FO34" s="6" t="n"/>
      <c r="FP34" s="6" t="n"/>
      <c r="FQ34" s="6" t="n"/>
      <c r="FR34" s="6" t="n"/>
      <c r="FS34" s="6" t="n"/>
      <c r="FT34" s="6" t="n"/>
      <c r="FU34" s="6" t="n"/>
      <c r="FV34" s="6" t="n"/>
      <c r="FW34" s="6" t="n"/>
      <c r="FX34" s="6" t="n"/>
      <c r="FY34" s="6" t="n"/>
      <c r="FZ34" s="6" t="n"/>
      <c r="GA34" s="6" t="n"/>
      <c r="GB34" s="6" t="n"/>
      <c r="GC34" s="6" t="n"/>
      <c r="GD34" s="6" t="n"/>
      <c r="GE34" s="20">
        <f>IFERROR(ROUND(AVERAGE(FK34,FM34,FO34,FQ34,FS34,FU34,FW34,FY34,GA34,GC34), 2), "")</f>
        <v/>
      </c>
      <c r="GF34" s="6" t="n"/>
      <c r="GG34" s="6" t="n"/>
      <c r="GH34" s="6" t="n"/>
      <c r="GI34" s="6" t="n"/>
      <c r="GJ34" s="6" t="n"/>
      <c r="GK34" s="6" t="n"/>
      <c r="GL34" s="6" t="n"/>
      <c r="GM34" s="6" t="n"/>
      <c r="GN34" s="6" t="n"/>
      <c r="GO34" s="6" t="n"/>
      <c r="GP34" s="6" t="n"/>
      <c r="GQ34" s="6" t="n"/>
      <c r="GR34" s="6" t="n"/>
      <c r="GS34" s="6" t="n"/>
      <c r="GT34" s="6" t="n"/>
      <c r="GU34" s="6" t="n"/>
      <c r="GV34" s="6" t="n"/>
      <c r="GW34" s="6" t="n"/>
      <c r="GX34" s="6" t="n"/>
      <c r="GY34" s="6" t="n"/>
      <c r="GZ34" s="6" t="n"/>
      <c r="HA34" s="6" t="n"/>
      <c r="HB34" s="6" t="n"/>
      <c r="HC34" s="6" t="n"/>
      <c r="HD34" s="6" t="n"/>
      <c r="HE34" s="6" t="n"/>
      <c r="HF34" s="6" t="n"/>
      <c r="HG34" s="6" t="n"/>
      <c r="HH34" s="6" t="n"/>
      <c r="HI34" s="6" t="n"/>
      <c r="HJ34" s="6">
        <f>IF(COUNTA(GF34:HI34)=0, "", SUMPRODUCT(--ISNUMBER(SEARCH("m", GF34:HI34))))</f>
        <v/>
      </c>
      <c r="HK34" s="6">
        <f>IF(COUNTA(GF34:HI34)=0, "", COUNTA(GF34:HI34) - SUMPRODUCT(--ISNUMBER(SEARCH("m", GF34:HI34))))</f>
        <v/>
      </c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20">
        <f>IFERROR(ROUND(AVERAGE(HL34,HN34,HP34,HR34,HT34,HV34,HX34,HZ34,IB34,ID34), 2), "")</f>
        <v/>
      </c>
      <c r="IG34" s="6" t="n"/>
      <c r="IH34" s="6" t="n"/>
      <c r="II34" s="6" t="n"/>
      <c r="IJ34" s="6" t="n"/>
      <c r="IK34" s="6" t="n"/>
      <c r="IL34" s="6" t="n"/>
      <c r="IM34" s="6" t="n"/>
      <c r="IN34" s="6" t="n"/>
      <c r="IO34" s="6" t="n"/>
      <c r="IP34" s="6" t="n"/>
      <c r="IQ34" s="6" t="n"/>
      <c r="IR34" s="6" t="n"/>
      <c r="IS34" s="6" t="n"/>
      <c r="IT34" s="6" t="n"/>
      <c r="IU34" s="6" t="n"/>
      <c r="IV34" s="6" t="n"/>
      <c r="IW34" s="6" t="n"/>
      <c r="IX34" s="6" t="n"/>
      <c r="IY34" s="6" t="n"/>
      <c r="IZ34" s="6" t="n"/>
      <c r="JA34" s="6" t="n"/>
      <c r="JB34" s="6" t="n"/>
      <c r="JC34" s="6" t="n"/>
      <c r="JD34" s="6" t="n"/>
      <c r="JE34" s="6" t="n"/>
      <c r="JF34" s="6" t="n"/>
      <c r="JG34" s="6" t="n"/>
      <c r="JH34" s="6" t="n"/>
      <c r="JI34" s="6" t="n"/>
      <c r="JJ34" s="6" t="n"/>
      <c r="JK34" s="6">
        <f>IF(COUNTA(IG34:JJ34)=0, "", SUMPRODUCT(--ISNUMBER(SEARCH("m", IG34:JJ34))))</f>
        <v/>
      </c>
      <c r="JL34" s="6">
        <f>IF(COUNTA(IG34:JJ34)=0, "", COUNTA(IG34:JJ34) - SUMPRODUCT(--ISNUMBER(SEARCH("m", IG34:JJ34))))</f>
        <v/>
      </c>
      <c r="JM34" s="6" t="n"/>
      <c r="JN34" s="6" t="n"/>
      <c r="JO34" s="6" t="n"/>
      <c r="JP34" s="6" t="n"/>
      <c r="JQ34" s="6" t="n"/>
      <c r="JR34" s="6" t="n"/>
      <c r="JS34" s="6" t="n"/>
      <c r="JT34" s="6" t="n"/>
      <c r="JU34" s="6" t="n"/>
      <c r="JV34" s="6" t="n"/>
      <c r="JW34" s="6" t="n"/>
      <c r="JX34" s="6" t="n"/>
      <c r="JY34" s="6" t="n"/>
      <c r="JZ34" s="6" t="n"/>
      <c r="KA34" s="6" t="n"/>
      <c r="KB34" s="6" t="n"/>
      <c r="KC34" s="6" t="n"/>
      <c r="KD34" s="6" t="n"/>
      <c r="KE34" s="6" t="n"/>
      <c r="KF34" s="6" t="n"/>
      <c r="KG34" s="20">
        <f>IFERROR(ROUND(AVERAGE(JM34,JO34,JQ34,JS34,JU34,JW34,JY34,KA34,KC34,KE34), 2), "")</f>
        <v/>
      </c>
      <c r="KH34" s="6" t="n"/>
      <c r="KI34" s="6" t="n"/>
      <c r="KJ34" s="6" t="n"/>
      <c r="KK34" s="6" t="n"/>
      <c r="KL34" s="6" t="n"/>
      <c r="KM34" s="6" t="n"/>
      <c r="KN34" s="6" t="n"/>
      <c r="KO34" s="6" t="n"/>
      <c r="KP34" s="6" t="n"/>
      <c r="KQ34" s="6" t="n"/>
      <c r="KR34" s="6" t="n"/>
      <c r="KS34" s="6" t="n"/>
      <c r="KT34" s="6" t="n"/>
      <c r="KU34" s="6" t="n"/>
      <c r="KV34" s="6" t="n"/>
      <c r="KW34" s="6" t="n"/>
      <c r="KX34" s="6" t="n"/>
      <c r="KY34" s="6" t="n"/>
      <c r="KZ34" s="6" t="n"/>
      <c r="LA34" s="6" t="n"/>
      <c r="LB34" s="6" t="n"/>
      <c r="LC34" s="6" t="n"/>
      <c r="LD34" s="6" t="n"/>
      <c r="LE34" s="6" t="n"/>
      <c r="LF34" s="6" t="n"/>
      <c r="LG34" s="6" t="n"/>
      <c r="LH34" s="6" t="n"/>
      <c r="LI34" s="6" t="n"/>
      <c r="LJ34" s="6" t="n"/>
      <c r="LK34" s="6" t="n"/>
      <c r="LL34" s="6">
        <f>IF(COUNTA(KH34:LK34)=0, "", SUMPRODUCT(--ISNUMBER(SEARCH("m", KH34:LK34))))</f>
        <v/>
      </c>
      <c r="LM34" s="6">
        <f>IF(COUNTA(KH34:LK34)=0, "", COUNTA(KH34:LK34) - SUMPRODUCT(--ISNUMBER(SEARCH("m", KH34:LK34))))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8">
        <f>IFERROR(ROUND(AVERAGE(AB35,CC35,ED35,GE35,IF35,KG35), 2), "")</f>
        <v/>
      </c>
      <c r="F35" s="14">
        <f>IF(SUM(BH35,DI35,FJ35,HK35,JL35,LM35)=0, "", SUM(BH35,DI35,FJ35,HK35,JL35,LM35))</f>
        <v/>
      </c>
      <c r="G35" s="8">
        <f>IF(SUM(BG35,DH35,FI35,HJ35,JK35,LL35)=0, "", SUM(BG35,DH35,FI35,HJ35,JK35,LL35))</f>
        <v/>
      </c>
      <c r="H35" s="6" t="n"/>
      <c r="I35" s="79" t="n"/>
      <c r="J35" s="6" t="n"/>
      <c r="K35" s="79" t="n"/>
      <c r="L35" s="6" t="n"/>
      <c r="M35" s="79" t="n"/>
      <c r="N35" s="6" t="n"/>
      <c r="O35" s="79" t="n"/>
      <c r="P35" s="6" t="n"/>
      <c r="Q35" s="79" t="n"/>
      <c r="R35" s="18" t="n"/>
      <c r="S35" s="79" t="n"/>
      <c r="T35" s="79" t="n"/>
      <c r="U35" s="79" t="n"/>
      <c r="V35" s="79" t="n"/>
      <c r="W35" s="79" t="n"/>
      <c r="X35" s="79" t="n"/>
      <c r="Y35" s="79" t="n"/>
      <c r="Z35" s="79" t="n"/>
      <c r="AA35" s="18" t="n"/>
      <c r="AB35" s="14">
        <f>IFERROR(ROUND(AVERAGE(H35,J35,L35,N35,P35,R35,T35,V35,X35,Z35), 2), "")</f>
        <v/>
      </c>
      <c r="AC35" s="6" t="n"/>
      <c r="AD35" s="79" t="n"/>
      <c r="AE35" s="6" t="n"/>
      <c r="AF35" s="79" t="n"/>
      <c r="AG35" s="6" t="n"/>
      <c r="AH35" s="79" t="n"/>
      <c r="AI35" s="6" t="n"/>
      <c r="AJ35" s="79" t="n"/>
      <c r="AK35" s="6" t="n"/>
      <c r="AL35" s="79" t="n"/>
      <c r="AM35" s="18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18" t="n"/>
      <c r="AW35" s="19" t="n"/>
      <c r="AX35" s="6" t="n"/>
      <c r="AY35" s="79" t="n"/>
      <c r="AZ35" s="6" t="n"/>
      <c r="BA35" s="79" t="n"/>
      <c r="BB35" s="6" t="n"/>
      <c r="BC35" s="79" t="n"/>
      <c r="BD35" s="6" t="n"/>
      <c r="BE35" s="79" t="n"/>
      <c r="BF35" s="6" t="n"/>
      <c r="BG35" s="79">
        <f>IF(COUNTA(AC35:BF35)=0, "", SUMPRODUCT(--ISNUMBER(SEARCH("m", AC35:BF35))))</f>
        <v/>
      </c>
      <c r="BH35" s="18">
        <f>IF(COUNTA(AC35:BF35)=0, "", COUNTA(AC35:BF35) - SUMPRODUCT(--ISNUMBER(SEARCH("m", AC35:BF35))))</f>
        <v/>
      </c>
      <c r="BI35" s="79" t="n"/>
      <c r="BJ35" s="79" t="n"/>
      <c r="BK35" s="79" t="n"/>
      <c r="BL35" s="79" t="n"/>
      <c r="BM35" s="79" t="n"/>
      <c r="BN35" s="79" t="n"/>
      <c r="BO35" s="79" t="n"/>
      <c r="BP35" s="79" t="n"/>
      <c r="BQ35" s="18" t="n"/>
      <c r="BR35" s="19" t="n"/>
      <c r="BS35" s="6" t="n"/>
      <c r="BT35" s="79" t="n"/>
      <c r="BU35" s="6" t="n"/>
      <c r="BV35" s="79" t="n"/>
      <c r="BW35" s="6" t="n"/>
      <c r="BX35" s="79" t="n"/>
      <c r="BY35" s="6" t="n"/>
      <c r="BZ35" s="79" t="n"/>
      <c r="CA35" s="6" t="n"/>
      <c r="CB35" s="79" t="n"/>
      <c r="CC35" s="8">
        <f>IFERROR(ROUND(AVERAGE(BI35,BK35,BM35,BO35,BQ35,BS35,BU35,BW35,BY35,CA35), 2), "")</f>
        <v/>
      </c>
      <c r="CD35" s="79" t="n"/>
      <c r="CE35" s="79" t="n"/>
      <c r="CF35" s="79" t="n"/>
      <c r="CG35" s="79" t="n"/>
      <c r="CH35" s="79" t="n"/>
      <c r="CI35" s="79" t="n"/>
      <c r="CJ35" s="79" t="n"/>
      <c r="CK35" s="79" t="n"/>
      <c r="CL35" s="18" t="n"/>
      <c r="CM35" s="19" t="n"/>
      <c r="CN35" s="6" t="n"/>
      <c r="CO35" s="79" t="n"/>
      <c r="CP35" s="6" t="n"/>
      <c r="CQ35" s="79" t="n"/>
      <c r="CR35" s="6" t="n"/>
      <c r="CS35" s="79" t="n"/>
      <c r="CT35" s="6" t="n"/>
      <c r="CU35" s="79" t="n"/>
      <c r="CV35" s="6" t="n"/>
      <c r="CW35" s="79" t="n"/>
      <c r="CX35" s="18" t="n"/>
      <c r="CY35" s="79" t="n"/>
      <c r="CZ35" s="79" t="n"/>
      <c r="DA35" s="79" t="n"/>
      <c r="DB35" s="79" t="n"/>
      <c r="DC35" s="79" t="n"/>
      <c r="DD35" s="79" t="n"/>
      <c r="DE35" s="79" t="n"/>
      <c r="DF35" s="79" t="n"/>
      <c r="DG35" s="18" t="n"/>
      <c r="DH35" s="19">
        <f>IF(COUNTA(CD35:DG35)=0, "", SUMPRODUCT(--ISNUMBER(SEARCH("m", CD35:DG35))))</f>
        <v/>
      </c>
      <c r="DI35" s="6">
        <f>IF(COUNTA(CD35:DG35)=0, "", COUNTA(CD35:DG35) - SUMPRODUCT(--ISNUMBER(SEARCH("m", CD35:DG35))))</f>
        <v/>
      </c>
      <c r="DJ35" s="79" t="n"/>
      <c r="DK35" s="6" t="n"/>
      <c r="DL35" s="79" t="n"/>
      <c r="DM35" s="6" t="n"/>
      <c r="DN35" s="79" t="n"/>
      <c r="DO35" s="6" t="n"/>
      <c r="DP35" s="79" t="n"/>
      <c r="DQ35" s="6" t="n"/>
      <c r="DR35" s="79" t="n"/>
      <c r="DS35" s="18" t="n"/>
      <c r="DT35" s="79" t="n"/>
      <c r="DU35" s="79" t="n"/>
      <c r="DV35" s="79" t="n"/>
      <c r="DW35" s="79" t="n"/>
      <c r="DX35" s="79" t="n"/>
      <c r="DY35" s="79" t="n"/>
      <c r="DZ35" s="79" t="n"/>
      <c r="EA35" s="79" t="n"/>
      <c r="EB35" s="18" t="n"/>
      <c r="EC35" s="19" t="n"/>
      <c r="ED35" s="20">
        <f>IFERROR(ROUND(AVERAGE(DJ35,DL35,DN35,DP35,DR35,DT35,DV35,DX35,DZ35,EB35), 2), "")</f>
        <v/>
      </c>
      <c r="EE35" s="6" t="n"/>
      <c r="EF35" s="6" t="n"/>
      <c r="EG35" s="6" t="n"/>
      <c r="EH35" s="6" t="n"/>
      <c r="EI35" s="6" t="n"/>
      <c r="EJ35" s="6" t="n"/>
      <c r="EK35" s="6" t="n"/>
      <c r="EL35" s="6" t="n"/>
      <c r="EM35" s="6" t="n"/>
      <c r="EN35" s="6" t="n"/>
      <c r="EO35" s="6" t="n"/>
      <c r="EP35" s="6" t="n"/>
      <c r="EQ35" s="6" t="n"/>
      <c r="ER35" s="6" t="n"/>
      <c r="ES35" s="6" t="n"/>
      <c r="ET35" s="6" t="n"/>
      <c r="EU35" s="6" t="n"/>
      <c r="EV35" s="6" t="n"/>
      <c r="EW35" s="6" t="n"/>
      <c r="EX35" s="6" t="n"/>
      <c r="EY35" s="6" t="n"/>
      <c r="EZ35" s="6" t="n"/>
      <c r="FA35" s="6" t="n"/>
      <c r="FB35" s="6" t="n"/>
      <c r="FC35" s="6" t="n"/>
      <c r="FD35" s="6" t="n"/>
      <c r="FE35" s="6" t="n"/>
      <c r="FF35" s="6" t="n"/>
      <c r="FG35" s="6" t="n"/>
      <c r="FH35" s="6" t="n"/>
      <c r="FI35" s="6">
        <f>IF(COUNTA(EE35:FH35)=0, "", SUMPRODUCT(--ISNUMBER(SEARCH("m", EE35:FH35))))</f>
        <v/>
      </c>
      <c r="FJ35" s="6">
        <f>IF(COUNTA(EE35:FH35)=0, "", COUNTA(EE35:FH35) - SUMPRODUCT(--ISNUMBER(SEARCH("m", EE35:FH35))))</f>
        <v/>
      </c>
      <c r="FK35" s="6" t="n"/>
      <c r="FL35" s="6" t="n"/>
      <c r="FM35" s="6" t="n"/>
      <c r="FN35" s="6" t="n"/>
      <c r="FO35" s="6" t="n"/>
      <c r="FP35" s="6" t="n"/>
      <c r="FQ35" s="6" t="n"/>
      <c r="FR35" s="6" t="n"/>
      <c r="FS35" s="6" t="n"/>
      <c r="FT35" s="6" t="n"/>
      <c r="FU35" s="6" t="n"/>
      <c r="FV35" s="6" t="n"/>
      <c r="FW35" s="6" t="n"/>
      <c r="FX35" s="6" t="n"/>
      <c r="FY35" s="6" t="n"/>
      <c r="FZ35" s="6" t="n"/>
      <c r="GA35" s="6" t="n"/>
      <c r="GB35" s="6" t="n"/>
      <c r="GC35" s="6" t="n"/>
      <c r="GD35" s="6" t="n"/>
      <c r="GE35" s="20">
        <f>IFERROR(ROUND(AVERAGE(FK35,FM35,FO35,FQ35,FS35,FU35,FW35,FY35,GA35,GC35), 2), "")</f>
        <v/>
      </c>
      <c r="GF35" s="6" t="n"/>
      <c r="GG35" s="6" t="n"/>
      <c r="GH35" s="6" t="n"/>
      <c r="GI35" s="6" t="n"/>
      <c r="GJ35" s="6" t="n"/>
      <c r="GK35" s="6" t="n"/>
      <c r="GL35" s="6" t="n"/>
      <c r="GM35" s="6" t="n"/>
      <c r="GN35" s="6" t="n"/>
      <c r="GO35" s="6" t="n"/>
      <c r="GP35" s="6" t="n"/>
      <c r="GQ35" s="6" t="n"/>
      <c r="GR35" s="6" t="n"/>
      <c r="GS35" s="6" t="n"/>
      <c r="GT35" s="6" t="n"/>
      <c r="GU35" s="6" t="n"/>
      <c r="GV35" s="6" t="n"/>
      <c r="GW35" s="6" t="n"/>
      <c r="GX35" s="6" t="n"/>
      <c r="GY35" s="6" t="n"/>
      <c r="GZ35" s="6" t="n"/>
      <c r="HA35" s="6" t="n"/>
      <c r="HB35" s="6" t="n"/>
      <c r="HC35" s="6" t="n"/>
      <c r="HD35" s="6" t="n"/>
      <c r="HE35" s="6" t="n"/>
      <c r="HF35" s="6" t="n"/>
      <c r="HG35" s="6" t="n"/>
      <c r="HH35" s="6" t="n"/>
      <c r="HI35" s="6" t="n"/>
      <c r="HJ35" s="6">
        <f>IF(COUNTA(GF35:HI35)=0, "", SUMPRODUCT(--ISNUMBER(SEARCH("m", GF35:HI35))))</f>
        <v/>
      </c>
      <c r="HK35" s="6">
        <f>IF(COUNTA(GF35:HI35)=0, "", COUNTA(GF35:HI35) - SUMPRODUCT(--ISNUMBER(SEARCH("m", GF35:HI35))))</f>
        <v/>
      </c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20">
        <f>IFERROR(ROUND(AVERAGE(HL35,HN35,HP35,HR35,HT35,HV35,HX35,HZ35,IB35,ID35), 2), "")</f>
        <v/>
      </c>
      <c r="IG35" s="6" t="n"/>
      <c r="IH35" s="6" t="n"/>
      <c r="II35" s="6" t="n"/>
      <c r="IJ35" s="6" t="n"/>
      <c r="IK35" s="6" t="n"/>
      <c r="IL35" s="6" t="n"/>
      <c r="IM35" s="6" t="n"/>
      <c r="IN35" s="6" t="n"/>
      <c r="IO35" s="6" t="n"/>
      <c r="IP35" s="6" t="n"/>
      <c r="IQ35" s="6" t="n"/>
      <c r="IR35" s="6" t="n"/>
      <c r="IS35" s="6" t="n"/>
      <c r="IT35" s="6" t="n"/>
      <c r="IU35" s="6" t="n"/>
      <c r="IV35" s="6" t="n"/>
      <c r="IW35" s="6" t="n"/>
      <c r="IX35" s="6" t="n"/>
      <c r="IY35" s="6" t="n"/>
      <c r="IZ35" s="6" t="n"/>
      <c r="JA35" s="6" t="n"/>
      <c r="JB35" s="6" t="n"/>
      <c r="JC35" s="6" t="n"/>
      <c r="JD35" s="6" t="n"/>
      <c r="JE35" s="6" t="n"/>
      <c r="JF35" s="6" t="n"/>
      <c r="JG35" s="6" t="n"/>
      <c r="JH35" s="6" t="n"/>
      <c r="JI35" s="6" t="n"/>
      <c r="JJ35" s="6" t="n"/>
      <c r="JK35" s="6">
        <f>IF(COUNTA(IG35:JJ35)=0, "", SUMPRODUCT(--ISNUMBER(SEARCH("m", IG35:JJ35))))</f>
        <v/>
      </c>
      <c r="JL35" s="6">
        <f>IF(COUNTA(IG35:JJ35)=0, "", COUNTA(IG35:JJ35) - SUMPRODUCT(--ISNUMBER(SEARCH("m", IG35:JJ35))))</f>
        <v/>
      </c>
      <c r="JM35" s="6" t="n"/>
      <c r="JN35" s="6" t="n"/>
      <c r="JO35" s="6" t="n"/>
      <c r="JP35" s="6" t="n"/>
      <c r="JQ35" s="6" t="n"/>
      <c r="JR35" s="6" t="n"/>
      <c r="JS35" s="6" t="n"/>
      <c r="JT35" s="6" t="n"/>
      <c r="JU35" s="6" t="n"/>
      <c r="JV35" s="6" t="n"/>
      <c r="JW35" s="6" t="n"/>
      <c r="JX35" s="6" t="n"/>
      <c r="JY35" s="6" t="n"/>
      <c r="JZ35" s="6" t="n"/>
      <c r="KA35" s="6" t="n"/>
      <c r="KB35" s="6" t="n"/>
      <c r="KC35" s="6" t="n"/>
      <c r="KD35" s="6" t="n"/>
      <c r="KE35" s="6" t="n"/>
      <c r="KF35" s="6" t="n"/>
      <c r="KG35" s="20">
        <f>IFERROR(ROUND(AVERAGE(JM35,JO35,JQ35,JS35,JU35,JW35,JY35,KA35,KC35,KE35), 2), "")</f>
        <v/>
      </c>
      <c r="KH35" s="6" t="n"/>
      <c r="KI35" s="6" t="n"/>
      <c r="KJ35" s="6" t="n"/>
      <c r="KK35" s="6" t="n"/>
      <c r="KL35" s="6" t="n"/>
      <c r="KM35" s="6" t="n"/>
      <c r="KN35" s="6" t="n"/>
      <c r="KO35" s="6" t="n"/>
      <c r="KP35" s="6" t="n"/>
      <c r="KQ35" s="6" t="n"/>
      <c r="KR35" s="6" t="n"/>
      <c r="KS35" s="6" t="n"/>
      <c r="KT35" s="6" t="n"/>
      <c r="KU35" s="6" t="n"/>
      <c r="KV35" s="6" t="n"/>
      <c r="KW35" s="6" t="n"/>
      <c r="KX35" s="6" t="n"/>
      <c r="KY35" s="6" t="n"/>
      <c r="KZ35" s="6" t="n"/>
      <c r="LA35" s="6" t="n"/>
      <c r="LB35" s="6" t="n"/>
      <c r="LC35" s="6" t="n"/>
      <c r="LD35" s="6" t="n"/>
      <c r="LE35" s="6" t="n"/>
      <c r="LF35" s="6" t="n"/>
      <c r="LG35" s="6" t="n"/>
      <c r="LH35" s="6" t="n"/>
      <c r="LI35" s="6" t="n"/>
      <c r="LJ35" s="6" t="n"/>
      <c r="LK35" s="6" t="n"/>
      <c r="LL35" s="6">
        <f>IF(COUNTA(KH35:LK35)=0, "", SUMPRODUCT(--ISNUMBER(SEARCH("m", KH35:LK35))))</f>
        <v/>
      </c>
      <c r="LM35" s="6">
        <f>IF(COUNTA(KH35:LK35)=0, "", COUNTA(KH35:LK35) - SUMPRODUCT(--ISNUMBER(SEARCH("m", KH35:LK35))))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8">
        <f>IFERROR(ROUND(AVERAGE(AB36,CC36,ED36,GE36,IF36,KG36), 2), "")</f>
        <v/>
      </c>
      <c r="F36" s="14">
        <f>IF(SUM(BH36,DI36,FJ36,HK36,JL36,LM36)=0, "", SUM(BH36,DI36,FJ36,HK36,JL36,LM36))</f>
        <v/>
      </c>
      <c r="G36" s="8">
        <f>IF(SUM(BG36,DH36,FI36,HJ36,JK36,LL36)=0, "", SUM(BG36,DH36,FI36,HJ36,JK36,LL36))</f>
        <v/>
      </c>
      <c r="H36" s="6" t="n"/>
      <c r="I36" s="79" t="n"/>
      <c r="J36" s="6" t="n"/>
      <c r="K36" s="79" t="n"/>
      <c r="L36" s="6" t="n"/>
      <c r="M36" s="79" t="n"/>
      <c r="N36" s="6" t="n"/>
      <c r="O36" s="79" t="n"/>
      <c r="P36" s="6" t="n"/>
      <c r="Q36" s="79" t="n"/>
      <c r="R36" s="18" t="n"/>
      <c r="S36" s="79" t="n"/>
      <c r="T36" s="79" t="n"/>
      <c r="U36" s="79" t="n"/>
      <c r="V36" s="79" t="n"/>
      <c r="W36" s="79" t="n"/>
      <c r="X36" s="79" t="n"/>
      <c r="Y36" s="79" t="n"/>
      <c r="Z36" s="79" t="n"/>
      <c r="AA36" s="18" t="n"/>
      <c r="AB36" s="14">
        <f>IFERROR(ROUND(AVERAGE(H36,J36,L36,N36,P36,R36,T36,V36,X36,Z36), 2), "")</f>
        <v/>
      </c>
      <c r="AC36" s="6" t="n"/>
      <c r="AD36" s="79" t="n"/>
      <c r="AE36" s="6" t="n"/>
      <c r="AF36" s="79" t="n"/>
      <c r="AG36" s="6" t="n"/>
      <c r="AH36" s="79" t="n"/>
      <c r="AI36" s="6" t="n"/>
      <c r="AJ36" s="79" t="n"/>
      <c r="AK36" s="6" t="n"/>
      <c r="AL36" s="79" t="n"/>
      <c r="AM36" s="18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18" t="n"/>
      <c r="AW36" s="19" t="n"/>
      <c r="AX36" s="6" t="n"/>
      <c r="AY36" s="79" t="n"/>
      <c r="AZ36" s="6" t="n"/>
      <c r="BA36" s="79" t="n"/>
      <c r="BB36" s="6" t="n"/>
      <c r="BC36" s="79" t="n"/>
      <c r="BD36" s="6" t="n"/>
      <c r="BE36" s="79" t="n"/>
      <c r="BF36" s="6" t="n"/>
      <c r="BG36" s="79">
        <f>IF(COUNTA(AC36:BF36)=0, "", SUMPRODUCT(--ISNUMBER(SEARCH("m", AC36:BF36))))</f>
        <v/>
      </c>
      <c r="BH36" s="18">
        <f>IF(COUNTA(AC36:BF36)=0, "", COUNTA(AC36:BF36) - SUMPRODUCT(--ISNUMBER(SEARCH("m", AC36:BF36))))</f>
        <v/>
      </c>
      <c r="BI36" s="79" t="n"/>
      <c r="BJ36" s="79" t="n"/>
      <c r="BK36" s="79" t="n"/>
      <c r="BL36" s="79" t="n"/>
      <c r="BM36" s="79" t="n"/>
      <c r="BN36" s="79" t="n"/>
      <c r="BO36" s="79" t="n"/>
      <c r="BP36" s="79" t="n"/>
      <c r="BQ36" s="18" t="n"/>
      <c r="BR36" s="19" t="n"/>
      <c r="BS36" s="6" t="n"/>
      <c r="BT36" s="79" t="n"/>
      <c r="BU36" s="6" t="n"/>
      <c r="BV36" s="79" t="n"/>
      <c r="BW36" s="6" t="n"/>
      <c r="BX36" s="79" t="n"/>
      <c r="BY36" s="6" t="n"/>
      <c r="BZ36" s="79" t="n"/>
      <c r="CA36" s="6" t="n"/>
      <c r="CB36" s="79" t="n"/>
      <c r="CC36" s="8">
        <f>IFERROR(ROUND(AVERAGE(BI36,BK36,BM36,BO36,BQ36,BS36,BU36,BW36,BY36,CA36), 2), "")</f>
        <v/>
      </c>
      <c r="CD36" s="79" t="n"/>
      <c r="CE36" s="79" t="n"/>
      <c r="CF36" s="79" t="n"/>
      <c r="CG36" s="79" t="n"/>
      <c r="CH36" s="79" t="n"/>
      <c r="CI36" s="79" t="n"/>
      <c r="CJ36" s="79" t="n"/>
      <c r="CK36" s="79" t="n"/>
      <c r="CL36" s="18" t="n"/>
      <c r="CM36" s="19" t="n"/>
      <c r="CN36" s="6" t="n"/>
      <c r="CO36" s="79" t="n"/>
      <c r="CP36" s="6" t="n"/>
      <c r="CQ36" s="79" t="n"/>
      <c r="CR36" s="6" t="n"/>
      <c r="CS36" s="79" t="n"/>
      <c r="CT36" s="6" t="n"/>
      <c r="CU36" s="79" t="n"/>
      <c r="CV36" s="6" t="n"/>
      <c r="CW36" s="79" t="n"/>
      <c r="CX36" s="18" t="n"/>
      <c r="CY36" s="79" t="n"/>
      <c r="CZ36" s="79" t="n"/>
      <c r="DA36" s="79" t="n"/>
      <c r="DB36" s="79" t="n"/>
      <c r="DC36" s="79" t="n"/>
      <c r="DD36" s="79" t="n"/>
      <c r="DE36" s="79" t="n"/>
      <c r="DF36" s="79" t="n"/>
      <c r="DG36" s="18" t="n"/>
      <c r="DH36" s="19">
        <f>IF(COUNTA(CD36:DG36)=0, "", SUMPRODUCT(--ISNUMBER(SEARCH("m", CD36:DG36))))</f>
        <v/>
      </c>
      <c r="DI36" s="6">
        <f>IF(COUNTA(CD36:DG36)=0, "", COUNTA(CD36:DG36) - SUMPRODUCT(--ISNUMBER(SEARCH("m", CD36:DG36))))</f>
        <v/>
      </c>
      <c r="DJ36" s="79" t="n"/>
      <c r="DK36" s="6" t="n"/>
      <c r="DL36" s="79" t="n"/>
      <c r="DM36" s="6" t="n"/>
      <c r="DN36" s="79" t="n"/>
      <c r="DO36" s="6" t="n"/>
      <c r="DP36" s="79" t="n"/>
      <c r="DQ36" s="6" t="n"/>
      <c r="DR36" s="79" t="n"/>
      <c r="DS36" s="18" t="n"/>
      <c r="DT36" s="79" t="n"/>
      <c r="DU36" s="79" t="n"/>
      <c r="DV36" s="79" t="n"/>
      <c r="DW36" s="79" t="n"/>
      <c r="DX36" s="79" t="n"/>
      <c r="DY36" s="79" t="n"/>
      <c r="DZ36" s="79" t="n"/>
      <c r="EA36" s="79" t="n"/>
      <c r="EB36" s="18" t="n"/>
      <c r="EC36" s="19" t="n"/>
      <c r="ED36" s="20">
        <f>IFERROR(ROUND(AVERAGE(DJ36,DL36,DN36,DP36,DR36,DT36,DV36,DX36,DZ36,EB36), 2), "")</f>
        <v/>
      </c>
      <c r="EE36" s="6" t="n"/>
      <c r="EF36" s="6" t="n"/>
      <c r="EG36" s="6" t="n"/>
      <c r="EH36" s="6" t="n"/>
      <c r="EI36" s="6" t="n"/>
      <c r="EJ36" s="6" t="n"/>
      <c r="EK36" s="6" t="n"/>
      <c r="EL36" s="6" t="n"/>
      <c r="EM36" s="6" t="n"/>
      <c r="EN36" s="6" t="n"/>
      <c r="EO36" s="6" t="n"/>
      <c r="EP36" s="6" t="n"/>
      <c r="EQ36" s="6" t="n"/>
      <c r="ER36" s="6" t="n"/>
      <c r="ES36" s="6" t="n"/>
      <c r="ET36" s="6" t="n"/>
      <c r="EU36" s="6" t="n"/>
      <c r="EV36" s="6" t="n"/>
      <c r="EW36" s="6" t="n"/>
      <c r="EX36" s="6" t="n"/>
      <c r="EY36" s="6" t="n"/>
      <c r="EZ36" s="6" t="n"/>
      <c r="FA36" s="6" t="n"/>
      <c r="FB36" s="6" t="n"/>
      <c r="FC36" s="6" t="n"/>
      <c r="FD36" s="6" t="n"/>
      <c r="FE36" s="6" t="n"/>
      <c r="FF36" s="6" t="n"/>
      <c r="FG36" s="6" t="n"/>
      <c r="FH36" s="6" t="n"/>
      <c r="FI36" s="6">
        <f>IF(COUNTA(EE36:FH36)=0, "", SUMPRODUCT(--ISNUMBER(SEARCH("m", EE36:FH36))))</f>
        <v/>
      </c>
      <c r="FJ36" s="6">
        <f>IF(COUNTA(EE36:FH36)=0, "", COUNTA(EE36:FH36) - SUMPRODUCT(--ISNUMBER(SEARCH("m", EE36:FH36))))</f>
        <v/>
      </c>
      <c r="FK36" s="6" t="n"/>
      <c r="FL36" s="6" t="n"/>
      <c r="FM36" s="6" t="n"/>
      <c r="FN36" s="6" t="n"/>
      <c r="FO36" s="6" t="n"/>
      <c r="FP36" s="6" t="n"/>
      <c r="FQ36" s="6" t="n"/>
      <c r="FR36" s="6" t="n"/>
      <c r="FS36" s="6" t="n"/>
      <c r="FT36" s="6" t="n"/>
      <c r="FU36" s="6" t="n"/>
      <c r="FV36" s="6" t="n"/>
      <c r="FW36" s="6" t="n"/>
      <c r="FX36" s="6" t="n"/>
      <c r="FY36" s="6" t="n"/>
      <c r="FZ36" s="6" t="n"/>
      <c r="GA36" s="6" t="n"/>
      <c r="GB36" s="6" t="n"/>
      <c r="GC36" s="6" t="n"/>
      <c r="GD36" s="6" t="n"/>
      <c r="GE36" s="20">
        <f>IFERROR(ROUND(AVERAGE(FK36,FM36,FO36,FQ36,FS36,FU36,FW36,FY36,GA36,GC36), 2), "")</f>
        <v/>
      </c>
      <c r="GF36" s="6" t="n"/>
      <c r="GG36" s="6" t="n"/>
      <c r="GH36" s="6" t="n"/>
      <c r="GI36" s="6" t="n"/>
      <c r="GJ36" s="6" t="n"/>
      <c r="GK36" s="6" t="n"/>
      <c r="GL36" s="6" t="n"/>
      <c r="GM36" s="6" t="n"/>
      <c r="GN36" s="6" t="n"/>
      <c r="GO36" s="6" t="n"/>
      <c r="GP36" s="6" t="n"/>
      <c r="GQ36" s="6" t="n"/>
      <c r="GR36" s="6" t="n"/>
      <c r="GS36" s="6" t="n"/>
      <c r="GT36" s="6" t="n"/>
      <c r="GU36" s="6" t="n"/>
      <c r="GV36" s="6" t="n"/>
      <c r="GW36" s="6" t="n"/>
      <c r="GX36" s="6" t="n"/>
      <c r="GY36" s="6" t="n"/>
      <c r="GZ36" s="6" t="n"/>
      <c r="HA36" s="6" t="n"/>
      <c r="HB36" s="6" t="n"/>
      <c r="HC36" s="6" t="n"/>
      <c r="HD36" s="6" t="n"/>
      <c r="HE36" s="6" t="n"/>
      <c r="HF36" s="6" t="n"/>
      <c r="HG36" s="6" t="n"/>
      <c r="HH36" s="6" t="n"/>
      <c r="HI36" s="6" t="n"/>
      <c r="HJ36" s="6">
        <f>IF(COUNTA(GF36:HI36)=0, "", SUMPRODUCT(--ISNUMBER(SEARCH("m", GF36:HI36))))</f>
        <v/>
      </c>
      <c r="HK36" s="6">
        <f>IF(COUNTA(GF36:HI36)=0, "", COUNTA(GF36:HI36) - SUMPRODUCT(--ISNUMBER(SEARCH("m", GF36:HI36))))</f>
        <v/>
      </c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20">
        <f>IFERROR(ROUND(AVERAGE(HL36,HN36,HP36,HR36,HT36,HV36,HX36,HZ36,IB36,ID36), 2), "")</f>
        <v/>
      </c>
      <c r="IG36" s="6" t="n"/>
      <c r="IH36" s="6" t="n"/>
      <c r="II36" s="6" t="n"/>
      <c r="IJ36" s="6" t="n"/>
      <c r="IK36" s="6" t="n"/>
      <c r="IL36" s="6" t="n"/>
      <c r="IM36" s="6" t="n"/>
      <c r="IN36" s="6" t="n"/>
      <c r="IO36" s="6" t="n"/>
      <c r="IP36" s="6" t="n"/>
      <c r="IQ36" s="6" t="n"/>
      <c r="IR36" s="6" t="n"/>
      <c r="IS36" s="6" t="n"/>
      <c r="IT36" s="6" t="n"/>
      <c r="IU36" s="6" t="n"/>
      <c r="IV36" s="6" t="n"/>
      <c r="IW36" s="6" t="n"/>
      <c r="IX36" s="6" t="n"/>
      <c r="IY36" s="6" t="n"/>
      <c r="IZ36" s="6" t="n"/>
      <c r="JA36" s="6" t="n"/>
      <c r="JB36" s="6" t="n"/>
      <c r="JC36" s="6" t="n"/>
      <c r="JD36" s="6" t="n"/>
      <c r="JE36" s="6" t="n"/>
      <c r="JF36" s="6" t="n"/>
      <c r="JG36" s="6" t="n"/>
      <c r="JH36" s="6" t="n"/>
      <c r="JI36" s="6" t="n"/>
      <c r="JJ36" s="6" t="n"/>
      <c r="JK36" s="6">
        <f>IF(COUNTA(IG36:JJ36)=0, "", SUMPRODUCT(--ISNUMBER(SEARCH("m", IG36:JJ36))))</f>
        <v/>
      </c>
      <c r="JL36" s="6">
        <f>IF(COUNTA(IG36:JJ36)=0, "", COUNTA(IG36:JJ36) - SUMPRODUCT(--ISNUMBER(SEARCH("m", IG36:JJ36))))</f>
        <v/>
      </c>
      <c r="JM36" s="6" t="n"/>
      <c r="JN36" s="6" t="n"/>
      <c r="JO36" s="6" t="n"/>
      <c r="JP36" s="6" t="n"/>
      <c r="JQ36" s="6" t="n"/>
      <c r="JR36" s="6" t="n"/>
      <c r="JS36" s="6" t="n"/>
      <c r="JT36" s="6" t="n"/>
      <c r="JU36" s="6" t="n"/>
      <c r="JV36" s="6" t="n"/>
      <c r="JW36" s="6" t="n"/>
      <c r="JX36" s="6" t="n"/>
      <c r="JY36" s="6" t="n"/>
      <c r="JZ36" s="6" t="n"/>
      <c r="KA36" s="6" t="n"/>
      <c r="KB36" s="6" t="n"/>
      <c r="KC36" s="6" t="n"/>
      <c r="KD36" s="6" t="n"/>
      <c r="KE36" s="6" t="n"/>
      <c r="KF36" s="6" t="n"/>
      <c r="KG36" s="20">
        <f>IFERROR(ROUND(AVERAGE(JM36,JO36,JQ36,JS36,JU36,JW36,JY36,KA36,KC36,KE36), 2), "")</f>
        <v/>
      </c>
      <c r="KH36" s="6" t="n"/>
      <c r="KI36" s="6" t="n"/>
      <c r="KJ36" s="6" t="n"/>
      <c r="KK36" s="6" t="n"/>
      <c r="KL36" s="6" t="n"/>
      <c r="KM36" s="6" t="n"/>
      <c r="KN36" s="6" t="n"/>
      <c r="KO36" s="6" t="n"/>
      <c r="KP36" s="6" t="n"/>
      <c r="KQ36" s="6" t="n"/>
      <c r="KR36" s="6" t="n"/>
      <c r="KS36" s="6" t="n"/>
      <c r="KT36" s="6" t="n"/>
      <c r="KU36" s="6" t="n"/>
      <c r="KV36" s="6" t="n"/>
      <c r="KW36" s="6" t="n"/>
      <c r="KX36" s="6" t="n"/>
      <c r="KY36" s="6" t="n"/>
      <c r="KZ36" s="6" t="n"/>
      <c r="LA36" s="6" t="n"/>
      <c r="LB36" s="6" t="n"/>
      <c r="LC36" s="6" t="n"/>
      <c r="LD36" s="6" t="n"/>
      <c r="LE36" s="6" t="n"/>
      <c r="LF36" s="6" t="n"/>
      <c r="LG36" s="6" t="n"/>
      <c r="LH36" s="6" t="n"/>
      <c r="LI36" s="6" t="n"/>
      <c r="LJ36" s="6" t="n"/>
      <c r="LK36" s="6" t="n"/>
      <c r="LL36" s="6">
        <f>IF(COUNTA(KH36:LK36)=0, "", SUMPRODUCT(--ISNUMBER(SEARCH("m", KH36:LK36))))</f>
        <v/>
      </c>
      <c r="LM36" s="6">
        <f>IF(COUNTA(KH36:LK36)=0, "", COUNTA(KH36:LK36) - SUMPRODUCT(--ISNUMBER(SEARCH("m", KH36:LK36))))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8">
        <f>IFERROR(ROUND(AVERAGE(AB37,CC37,ED37,GE37,IF37,KG37), 2), "")</f>
        <v/>
      </c>
      <c r="F37" s="14">
        <f>IF(SUM(BH37,DI37,FJ37,HK37,JL37,LM37)=0, "", SUM(BH37,DI37,FJ37,HK37,JL37,LM37))</f>
        <v/>
      </c>
      <c r="G37" s="8">
        <f>IF(SUM(BG37,DH37,FI37,HJ37,JK37,LL37)=0, "", SUM(BG37,DH37,FI37,HJ37,JK37,LL37))</f>
        <v/>
      </c>
      <c r="H37" s="6" t="n"/>
      <c r="I37" s="79" t="n"/>
      <c r="J37" s="6" t="n"/>
      <c r="K37" s="79" t="n"/>
      <c r="L37" s="6" t="n"/>
      <c r="M37" s="79" t="n"/>
      <c r="N37" s="6" t="n"/>
      <c r="O37" s="79" t="n"/>
      <c r="P37" s="6" t="n"/>
      <c r="Q37" s="79" t="n"/>
      <c r="R37" s="18" t="n"/>
      <c r="S37" s="79" t="n"/>
      <c r="T37" s="79" t="n"/>
      <c r="U37" s="79" t="n"/>
      <c r="V37" s="79" t="n"/>
      <c r="W37" s="79" t="n"/>
      <c r="X37" s="79" t="n"/>
      <c r="Y37" s="79" t="n"/>
      <c r="Z37" s="79" t="n"/>
      <c r="AA37" s="18" t="n"/>
      <c r="AB37" s="14">
        <f>IFERROR(ROUND(AVERAGE(H37,J37,L37,N37,P37,R37,T37,V37,X37,Z37), 2), "")</f>
        <v/>
      </c>
      <c r="AC37" s="6" t="n"/>
      <c r="AD37" s="79" t="n"/>
      <c r="AE37" s="6" t="n"/>
      <c r="AF37" s="79" t="n"/>
      <c r="AG37" s="6" t="n"/>
      <c r="AH37" s="79" t="n"/>
      <c r="AI37" s="6" t="n"/>
      <c r="AJ37" s="79" t="n"/>
      <c r="AK37" s="6" t="n"/>
      <c r="AL37" s="79" t="n"/>
      <c r="AM37" s="18" t="n"/>
      <c r="AN37" s="79" t="n"/>
      <c r="AO37" s="79" t="n"/>
      <c r="AP37" s="79" t="n"/>
      <c r="AQ37" s="79" t="n"/>
      <c r="AR37" s="79" t="n"/>
      <c r="AS37" s="79" t="n"/>
      <c r="AT37" s="79" t="n"/>
      <c r="AU37" s="79" t="n"/>
      <c r="AV37" s="18" t="n"/>
      <c r="AW37" s="19" t="n"/>
      <c r="AX37" s="6" t="n"/>
      <c r="AY37" s="79" t="n"/>
      <c r="AZ37" s="6" t="n"/>
      <c r="BA37" s="79" t="n"/>
      <c r="BB37" s="6" t="n"/>
      <c r="BC37" s="79" t="n"/>
      <c r="BD37" s="6" t="n"/>
      <c r="BE37" s="79" t="n"/>
      <c r="BF37" s="6" t="n"/>
      <c r="BG37" s="79">
        <f>IF(COUNTA(AC37:BF37)=0, "", SUMPRODUCT(--ISNUMBER(SEARCH("m", AC37:BF37))))</f>
        <v/>
      </c>
      <c r="BH37" s="18">
        <f>IF(COUNTA(AC37:BF37)=0, "", COUNTA(AC37:BF37) - SUMPRODUCT(--ISNUMBER(SEARCH("m", AC37:BF37))))</f>
        <v/>
      </c>
      <c r="BI37" s="79" t="n"/>
      <c r="BJ37" s="79" t="n"/>
      <c r="BK37" s="79" t="n"/>
      <c r="BL37" s="79" t="n"/>
      <c r="BM37" s="79" t="n"/>
      <c r="BN37" s="79" t="n"/>
      <c r="BO37" s="79" t="n"/>
      <c r="BP37" s="79" t="n"/>
      <c r="BQ37" s="18" t="n"/>
      <c r="BR37" s="19" t="n"/>
      <c r="BS37" s="6" t="n"/>
      <c r="BT37" s="79" t="n"/>
      <c r="BU37" s="6" t="n"/>
      <c r="BV37" s="79" t="n"/>
      <c r="BW37" s="6" t="n"/>
      <c r="BX37" s="79" t="n"/>
      <c r="BY37" s="6" t="n"/>
      <c r="BZ37" s="79" t="n"/>
      <c r="CA37" s="6" t="n"/>
      <c r="CB37" s="79" t="n"/>
      <c r="CC37" s="8">
        <f>IFERROR(ROUND(AVERAGE(BI37,BK37,BM37,BO37,BQ37,BS37,BU37,BW37,BY37,CA37), 2), "")</f>
        <v/>
      </c>
      <c r="CD37" s="79" t="n"/>
      <c r="CE37" s="79" t="n"/>
      <c r="CF37" s="79" t="n"/>
      <c r="CG37" s="79" t="n"/>
      <c r="CH37" s="79" t="n"/>
      <c r="CI37" s="79" t="n"/>
      <c r="CJ37" s="79" t="n"/>
      <c r="CK37" s="79" t="n"/>
      <c r="CL37" s="18" t="n"/>
      <c r="CM37" s="19" t="n"/>
      <c r="CN37" s="6" t="n"/>
      <c r="CO37" s="79" t="n"/>
      <c r="CP37" s="6" t="n"/>
      <c r="CQ37" s="79" t="n"/>
      <c r="CR37" s="6" t="n"/>
      <c r="CS37" s="79" t="n"/>
      <c r="CT37" s="6" t="n"/>
      <c r="CU37" s="79" t="n"/>
      <c r="CV37" s="6" t="n"/>
      <c r="CW37" s="79" t="n"/>
      <c r="CX37" s="18" t="n"/>
      <c r="CY37" s="79" t="n"/>
      <c r="CZ37" s="79" t="n"/>
      <c r="DA37" s="79" t="n"/>
      <c r="DB37" s="79" t="n"/>
      <c r="DC37" s="79" t="n"/>
      <c r="DD37" s="79" t="n"/>
      <c r="DE37" s="79" t="n"/>
      <c r="DF37" s="79" t="n"/>
      <c r="DG37" s="18" t="n"/>
      <c r="DH37" s="19">
        <f>IF(COUNTA(CD37:DG37)=0, "", SUMPRODUCT(--ISNUMBER(SEARCH("m", CD37:DG37))))</f>
        <v/>
      </c>
      <c r="DI37" s="6">
        <f>IF(COUNTA(CD37:DG37)=0, "", COUNTA(CD37:DG37) - SUMPRODUCT(--ISNUMBER(SEARCH("m", CD37:DG37))))</f>
        <v/>
      </c>
      <c r="DJ37" s="79" t="n"/>
      <c r="DK37" s="6" t="n"/>
      <c r="DL37" s="79" t="n"/>
      <c r="DM37" s="6" t="n"/>
      <c r="DN37" s="79" t="n"/>
      <c r="DO37" s="6" t="n"/>
      <c r="DP37" s="79" t="n"/>
      <c r="DQ37" s="6" t="n"/>
      <c r="DR37" s="79" t="n"/>
      <c r="DS37" s="18" t="n"/>
      <c r="DT37" s="79" t="n"/>
      <c r="DU37" s="79" t="n"/>
      <c r="DV37" s="79" t="n"/>
      <c r="DW37" s="79" t="n"/>
      <c r="DX37" s="79" t="n"/>
      <c r="DY37" s="79" t="n"/>
      <c r="DZ37" s="79" t="n"/>
      <c r="EA37" s="79" t="n"/>
      <c r="EB37" s="18" t="n"/>
      <c r="EC37" s="19" t="n"/>
      <c r="ED37" s="20">
        <f>IFERROR(ROUND(AVERAGE(DJ37,DL37,DN37,DP37,DR37,DT37,DV37,DX37,DZ37,EB37), 2), "")</f>
        <v/>
      </c>
      <c r="EE37" s="6" t="n"/>
      <c r="EF37" s="6" t="n"/>
      <c r="EG37" s="6" t="n"/>
      <c r="EH37" s="6" t="n"/>
      <c r="EI37" s="6" t="n"/>
      <c r="EJ37" s="6" t="n"/>
      <c r="EK37" s="6" t="n"/>
      <c r="EL37" s="6" t="n"/>
      <c r="EM37" s="6" t="n"/>
      <c r="EN37" s="6" t="n"/>
      <c r="EO37" s="6" t="n"/>
      <c r="EP37" s="6" t="n"/>
      <c r="EQ37" s="6" t="n"/>
      <c r="ER37" s="6" t="n"/>
      <c r="ES37" s="6" t="n"/>
      <c r="ET37" s="6" t="n"/>
      <c r="EU37" s="6" t="n"/>
      <c r="EV37" s="6" t="n"/>
      <c r="EW37" s="6" t="n"/>
      <c r="EX37" s="6" t="n"/>
      <c r="EY37" s="6" t="n"/>
      <c r="EZ37" s="6" t="n"/>
      <c r="FA37" s="6" t="n"/>
      <c r="FB37" s="6" t="n"/>
      <c r="FC37" s="6" t="n"/>
      <c r="FD37" s="6" t="n"/>
      <c r="FE37" s="6" t="n"/>
      <c r="FF37" s="6" t="n"/>
      <c r="FG37" s="6" t="n"/>
      <c r="FH37" s="6" t="n"/>
      <c r="FI37" s="6">
        <f>IF(COUNTA(EE37:FH37)=0, "", SUMPRODUCT(--ISNUMBER(SEARCH("m", EE37:FH37))))</f>
        <v/>
      </c>
      <c r="FJ37" s="6">
        <f>IF(COUNTA(EE37:FH37)=0, "", COUNTA(EE37:FH37) - SUMPRODUCT(--ISNUMBER(SEARCH("m", EE37:FH37))))</f>
        <v/>
      </c>
      <c r="FK37" s="6" t="n"/>
      <c r="FL37" s="6" t="n"/>
      <c r="FM37" s="6" t="n"/>
      <c r="FN37" s="6" t="n"/>
      <c r="FO37" s="6" t="n"/>
      <c r="FP37" s="6" t="n"/>
      <c r="FQ37" s="6" t="n"/>
      <c r="FR37" s="6" t="n"/>
      <c r="FS37" s="6" t="n"/>
      <c r="FT37" s="6" t="n"/>
      <c r="FU37" s="6" t="n"/>
      <c r="FV37" s="6" t="n"/>
      <c r="FW37" s="6" t="n"/>
      <c r="FX37" s="6" t="n"/>
      <c r="FY37" s="6" t="n"/>
      <c r="FZ37" s="6" t="n"/>
      <c r="GA37" s="6" t="n"/>
      <c r="GB37" s="6" t="n"/>
      <c r="GC37" s="6" t="n"/>
      <c r="GD37" s="6" t="n"/>
      <c r="GE37" s="20">
        <f>IFERROR(ROUND(AVERAGE(FK37,FM37,FO37,FQ37,FS37,FU37,FW37,FY37,GA37,GC37), 2), "")</f>
        <v/>
      </c>
      <c r="GF37" s="6" t="n"/>
      <c r="GG37" s="6" t="n"/>
      <c r="GH37" s="6" t="n"/>
      <c r="GI37" s="6" t="n"/>
      <c r="GJ37" s="6" t="n"/>
      <c r="GK37" s="6" t="n"/>
      <c r="GL37" s="6" t="n"/>
      <c r="GM37" s="6" t="n"/>
      <c r="GN37" s="6" t="n"/>
      <c r="GO37" s="6" t="n"/>
      <c r="GP37" s="6" t="n"/>
      <c r="GQ37" s="6" t="n"/>
      <c r="GR37" s="6" t="n"/>
      <c r="GS37" s="6" t="n"/>
      <c r="GT37" s="6" t="n"/>
      <c r="GU37" s="6" t="n"/>
      <c r="GV37" s="6" t="n"/>
      <c r="GW37" s="6" t="n"/>
      <c r="GX37" s="6" t="n"/>
      <c r="GY37" s="6" t="n"/>
      <c r="GZ37" s="6" t="n"/>
      <c r="HA37" s="6" t="n"/>
      <c r="HB37" s="6" t="n"/>
      <c r="HC37" s="6" t="n"/>
      <c r="HD37" s="6" t="n"/>
      <c r="HE37" s="6" t="n"/>
      <c r="HF37" s="6" t="n"/>
      <c r="HG37" s="6" t="n"/>
      <c r="HH37" s="6" t="n"/>
      <c r="HI37" s="6" t="n"/>
      <c r="HJ37" s="6">
        <f>IF(COUNTA(GF37:HI37)=0, "", SUMPRODUCT(--ISNUMBER(SEARCH("m", GF37:HI37))))</f>
        <v/>
      </c>
      <c r="HK37" s="6">
        <f>IF(COUNTA(GF37:HI37)=0, "", COUNTA(GF37:HI37) - SUMPRODUCT(--ISNUMBER(SEARCH("m", GF37:HI37))))</f>
        <v/>
      </c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20">
        <f>IFERROR(ROUND(AVERAGE(HL37,HN37,HP37,HR37,HT37,HV37,HX37,HZ37,IB37,ID37), 2), "")</f>
        <v/>
      </c>
      <c r="IG37" s="6" t="n"/>
      <c r="IH37" s="6" t="n"/>
      <c r="II37" s="6" t="n"/>
      <c r="IJ37" s="6" t="n"/>
      <c r="IK37" s="6" t="n"/>
      <c r="IL37" s="6" t="n"/>
      <c r="IM37" s="6" t="n"/>
      <c r="IN37" s="6" t="n"/>
      <c r="IO37" s="6" t="n"/>
      <c r="IP37" s="6" t="n"/>
      <c r="IQ37" s="6" t="n"/>
      <c r="IR37" s="6" t="n"/>
      <c r="IS37" s="6" t="n"/>
      <c r="IT37" s="6" t="n"/>
      <c r="IU37" s="6" t="n"/>
      <c r="IV37" s="6" t="n"/>
      <c r="IW37" s="6" t="n"/>
      <c r="IX37" s="6" t="n"/>
      <c r="IY37" s="6" t="n"/>
      <c r="IZ37" s="6" t="n"/>
      <c r="JA37" s="6" t="n"/>
      <c r="JB37" s="6" t="n"/>
      <c r="JC37" s="6" t="n"/>
      <c r="JD37" s="6" t="n"/>
      <c r="JE37" s="6" t="n"/>
      <c r="JF37" s="6" t="n"/>
      <c r="JG37" s="6" t="n"/>
      <c r="JH37" s="6" t="n"/>
      <c r="JI37" s="6" t="n"/>
      <c r="JJ37" s="6" t="n"/>
      <c r="JK37" s="6">
        <f>IF(COUNTA(IG37:JJ37)=0, "", SUMPRODUCT(--ISNUMBER(SEARCH("m", IG37:JJ37))))</f>
        <v/>
      </c>
      <c r="JL37" s="6">
        <f>IF(COUNTA(IG37:JJ37)=0, "", COUNTA(IG37:JJ37) - SUMPRODUCT(--ISNUMBER(SEARCH("m", IG37:JJ37))))</f>
        <v/>
      </c>
      <c r="JM37" s="6" t="n"/>
      <c r="JN37" s="6" t="n"/>
      <c r="JO37" s="6" t="n"/>
      <c r="JP37" s="6" t="n"/>
      <c r="JQ37" s="6" t="n"/>
      <c r="JR37" s="6" t="n"/>
      <c r="JS37" s="6" t="n"/>
      <c r="JT37" s="6" t="n"/>
      <c r="JU37" s="6" t="n"/>
      <c r="JV37" s="6" t="n"/>
      <c r="JW37" s="6" t="n"/>
      <c r="JX37" s="6" t="n"/>
      <c r="JY37" s="6" t="n"/>
      <c r="JZ37" s="6" t="n"/>
      <c r="KA37" s="6" t="n"/>
      <c r="KB37" s="6" t="n"/>
      <c r="KC37" s="6" t="n"/>
      <c r="KD37" s="6" t="n"/>
      <c r="KE37" s="6" t="n"/>
      <c r="KF37" s="6" t="n"/>
      <c r="KG37" s="20">
        <f>IFERROR(ROUND(AVERAGE(JM37,JO37,JQ37,JS37,JU37,JW37,JY37,KA37,KC37,KE37), 2), "")</f>
        <v/>
      </c>
      <c r="KH37" s="6" t="n"/>
      <c r="KI37" s="6" t="n"/>
      <c r="KJ37" s="6" t="n"/>
      <c r="KK37" s="6" t="n"/>
      <c r="KL37" s="6" t="n"/>
      <c r="KM37" s="6" t="n"/>
      <c r="KN37" s="6" t="n"/>
      <c r="KO37" s="6" t="n"/>
      <c r="KP37" s="6" t="n"/>
      <c r="KQ37" s="6" t="n"/>
      <c r="KR37" s="6" t="n"/>
      <c r="KS37" s="6" t="n"/>
      <c r="KT37" s="6" t="n"/>
      <c r="KU37" s="6" t="n"/>
      <c r="KV37" s="6" t="n"/>
      <c r="KW37" s="6" t="n"/>
      <c r="KX37" s="6" t="n"/>
      <c r="KY37" s="6" t="n"/>
      <c r="KZ37" s="6" t="n"/>
      <c r="LA37" s="6" t="n"/>
      <c r="LB37" s="6" t="n"/>
      <c r="LC37" s="6" t="n"/>
      <c r="LD37" s="6" t="n"/>
      <c r="LE37" s="6" t="n"/>
      <c r="LF37" s="6" t="n"/>
      <c r="LG37" s="6" t="n"/>
      <c r="LH37" s="6" t="n"/>
      <c r="LI37" s="6" t="n"/>
      <c r="LJ37" s="6" t="n"/>
      <c r="LK37" s="6" t="n"/>
      <c r="LL37" s="6">
        <f>IF(COUNTA(KH37:LK37)=0, "", SUMPRODUCT(--ISNUMBER(SEARCH("m", KH37:LK37))))</f>
        <v/>
      </c>
      <c r="LM37" s="6">
        <f>IF(COUNTA(KH37:LK37)=0, "", COUNTA(KH37:LK37) - SUMPRODUCT(--ISNUMBER(SEARCH("m", KH37:LK37))))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8">
        <f>IFERROR(ROUND(AVERAGE(AB38,CC38,ED38,GE38,IF38,KG38), 2), "")</f>
        <v/>
      </c>
      <c r="F38" s="14">
        <f>IF(SUM(BH38,DI38,FJ38,HK38,JL38,LM38)=0, "", SUM(BH38,DI38,FJ38,HK38,JL38,LM38))</f>
        <v/>
      </c>
      <c r="G38" s="8">
        <f>IF(SUM(BG38,DH38,FI38,HJ38,JK38,LL38)=0, "", SUM(BG38,DH38,FI38,HJ38,JK38,LL38))</f>
        <v/>
      </c>
      <c r="H38" s="6" t="n"/>
      <c r="I38" s="79" t="n"/>
      <c r="J38" s="6" t="n"/>
      <c r="K38" s="79" t="n"/>
      <c r="L38" s="6" t="n"/>
      <c r="M38" s="79" t="n"/>
      <c r="N38" s="6" t="n"/>
      <c r="O38" s="79" t="n"/>
      <c r="P38" s="6" t="n"/>
      <c r="Q38" s="79" t="n"/>
      <c r="R38" s="18" t="n"/>
      <c r="S38" s="79" t="n"/>
      <c r="T38" s="79" t="n"/>
      <c r="U38" s="79" t="n"/>
      <c r="V38" s="79" t="n"/>
      <c r="W38" s="79" t="n"/>
      <c r="X38" s="79" t="n"/>
      <c r="Y38" s="79" t="n"/>
      <c r="Z38" s="79" t="n"/>
      <c r="AA38" s="18" t="n"/>
      <c r="AB38" s="14">
        <f>IFERROR(ROUND(AVERAGE(H38,J38,L38,N38,P38,R38,T38,V38,X38,Z38), 2), "")</f>
        <v/>
      </c>
      <c r="AC38" s="6" t="n"/>
      <c r="AD38" s="79" t="n"/>
      <c r="AE38" s="6" t="n"/>
      <c r="AF38" s="79" t="n"/>
      <c r="AG38" s="6" t="n"/>
      <c r="AH38" s="79" t="n"/>
      <c r="AI38" s="6" t="n"/>
      <c r="AJ38" s="79" t="n"/>
      <c r="AK38" s="6" t="n"/>
      <c r="AL38" s="79" t="n"/>
      <c r="AM38" s="18" t="n"/>
      <c r="AN38" s="79" t="n"/>
      <c r="AO38" s="79" t="n"/>
      <c r="AP38" s="79" t="n"/>
      <c r="AQ38" s="79" t="n"/>
      <c r="AR38" s="79" t="n"/>
      <c r="AS38" s="79" t="n"/>
      <c r="AT38" s="79" t="n"/>
      <c r="AU38" s="79" t="n"/>
      <c r="AV38" s="18" t="n"/>
      <c r="AW38" s="19" t="n"/>
      <c r="AX38" s="6" t="n"/>
      <c r="AY38" s="79" t="n"/>
      <c r="AZ38" s="6" t="n"/>
      <c r="BA38" s="79" t="n"/>
      <c r="BB38" s="6" t="n"/>
      <c r="BC38" s="79" t="n"/>
      <c r="BD38" s="6" t="n"/>
      <c r="BE38" s="79" t="n"/>
      <c r="BF38" s="6" t="n"/>
      <c r="BG38" s="79">
        <f>IF(COUNTA(AC38:BF38)=0, "", SUMPRODUCT(--ISNUMBER(SEARCH("m", AC38:BF38))))</f>
        <v/>
      </c>
      <c r="BH38" s="18">
        <f>IF(COUNTA(AC38:BF38)=0, "", COUNTA(AC38:BF38) - SUMPRODUCT(--ISNUMBER(SEARCH("m", AC38:BF38))))</f>
        <v/>
      </c>
      <c r="BI38" s="79" t="n"/>
      <c r="BJ38" s="79" t="n"/>
      <c r="BK38" s="79" t="n"/>
      <c r="BL38" s="79" t="n"/>
      <c r="BM38" s="79" t="n"/>
      <c r="BN38" s="79" t="n"/>
      <c r="BO38" s="79" t="n"/>
      <c r="BP38" s="79" t="n"/>
      <c r="BQ38" s="18" t="n"/>
      <c r="BR38" s="19" t="n"/>
      <c r="BS38" s="6" t="n"/>
      <c r="BT38" s="79" t="n"/>
      <c r="BU38" s="6" t="n"/>
      <c r="BV38" s="79" t="n"/>
      <c r="BW38" s="6" t="n"/>
      <c r="BX38" s="79" t="n"/>
      <c r="BY38" s="6" t="n"/>
      <c r="BZ38" s="79" t="n"/>
      <c r="CA38" s="6" t="n"/>
      <c r="CB38" s="79" t="n"/>
      <c r="CC38" s="8">
        <f>IFERROR(ROUND(AVERAGE(BI38,BK38,BM38,BO38,BQ38,BS38,BU38,BW38,BY38,CA38), 2), "")</f>
        <v/>
      </c>
      <c r="CD38" s="79" t="n"/>
      <c r="CE38" s="79" t="n"/>
      <c r="CF38" s="79" t="n"/>
      <c r="CG38" s="79" t="n"/>
      <c r="CH38" s="79" t="n"/>
      <c r="CI38" s="79" t="n"/>
      <c r="CJ38" s="79" t="n"/>
      <c r="CK38" s="79" t="n"/>
      <c r="CL38" s="18" t="n"/>
      <c r="CM38" s="19" t="n"/>
      <c r="CN38" s="6" t="n"/>
      <c r="CO38" s="79" t="n"/>
      <c r="CP38" s="6" t="n"/>
      <c r="CQ38" s="79" t="n"/>
      <c r="CR38" s="6" t="n"/>
      <c r="CS38" s="79" t="n"/>
      <c r="CT38" s="6" t="n"/>
      <c r="CU38" s="79" t="n"/>
      <c r="CV38" s="6" t="n"/>
      <c r="CW38" s="79" t="n"/>
      <c r="CX38" s="18" t="n"/>
      <c r="CY38" s="79" t="n"/>
      <c r="CZ38" s="79" t="n"/>
      <c r="DA38" s="79" t="n"/>
      <c r="DB38" s="79" t="n"/>
      <c r="DC38" s="79" t="n"/>
      <c r="DD38" s="79" t="n"/>
      <c r="DE38" s="79" t="n"/>
      <c r="DF38" s="79" t="n"/>
      <c r="DG38" s="18" t="n"/>
      <c r="DH38" s="19">
        <f>IF(COUNTA(CD38:DG38)=0, "", SUMPRODUCT(--ISNUMBER(SEARCH("m", CD38:DG38))))</f>
        <v/>
      </c>
      <c r="DI38" s="6">
        <f>IF(COUNTA(CD38:DG38)=0, "", COUNTA(CD38:DG38) - SUMPRODUCT(--ISNUMBER(SEARCH("m", CD38:DG38))))</f>
        <v/>
      </c>
      <c r="DJ38" s="79" t="n"/>
      <c r="DK38" s="6" t="n"/>
      <c r="DL38" s="79" t="n"/>
      <c r="DM38" s="6" t="n"/>
      <c r="DN38" s="79" t="n"/>
      <c r="DO38" s="6" t="n"/>
      <c r="DP38" s="79" t="n"/>
      <c r="DQ38" s="6" t="n"/>
      <c r="DR38" s="79" t="n"/>
      <c r="DS38" s="18" t="n"/>
      <c r="DT38" s="79" t="n"/>
      <c r="DU38" s="79" t="n"/>
      <c r="DV38" s="79" t="n"/>
      <c r="DW38" s="79" t="n"/>
      <c r="DX38" s="79" t="n"/>
      <c r="DY38" s="79" t="n"/>
      <c r="DZ38" s="79" t="n"/>
      <c r="EA38" s="79" t="n"/>
      <c r="EB38" s="18" t="n"/>
      <c r="EC38" s="19" t="n"/>
      <c r="ED38" s="20">
        <f>IFERROR(ROUND(AVERAGE(DJ38,DL38,DN38,DP38,DR38,DT38,DV38,DX38,DZ38,EB38), 2), "")</f>
        <v/>
      </c>
      <c r="EE38" s="6" t="n"/>
      <c r="EF38" s="6" t="n"/>
      <c r="EG38" s="6" t="n"/>
      <c r="EH38" s="6" t="n"/>
      <c r="EI38" s="6" t="n"/>
      <c r="EJ38" s="6" t="n"/>
      <c r="EK38" s="6" t="n"/>
      <c r="EL38" s="6" t="n"/>
      <c r="EM38" s="6" t="n"/>
      <c r="EN38" s="6" t="n"/>
      <c r="EO38" s="6" t="n"/>
      <c r="EP38" s="6" t="n"/>
      <c r="EQ38" s="6" t="n"/>
      <c r="ER38" s="6" t="n"/>
      <c r="ES38" s="6" t="n"/>
      <c r="ET38" s="6" t="n"/>
      <c r="EU38" s="6" t="n"/>
      <c r="EV38" s="6" t="n"/>
      <c r="EW38" s="6" t="n"/>
      <c r="EX38" s="6" t="n"/>
      <c r="EY38" s="6" t="n"/>
      <c r="EZ38" s="6" t="n"/>
      <c r="FA38" s="6" t="n"/>
      <c r="FB38" s="6" t="n"/>
      <c r="FC38" s="6" t="n"/>
      <c r="FD38" s="6" t="n"/>
      <c r="FE38" s="6" t="n"/>
      <c r="FF38" s="6" t="n"/>
      <c r="FG38" s="6" t="n"/>
      <c r="FH38" s="6" t="n"/>
      <c r="FI38" s="6">
        <f>IF(COUNTA(EE38:FH38)=0, "", SUMPRODUCT(--ISNUMBER(SEARCH("m", EE38:FH38))))</f>
        <v/>
      </c>
      <c r="FJ38" s="6">
        <f>IF(COUNTA(EE38:FH38)=0, "", COUNTA(EE38:FH38) - SUMPRODUCT(--ISNUMBER(SEARCH("m", EE38:FH38))))</f>
        <v/>
      </c>
      <c r="FK38" s="6" t="n"/>
      <c r="FL38" s="6" t="n"/>
      <c r="FM38" s="6" t="n"/>
      <c r="FN38" s="6" t="n"/>
      <c r="FO38" s="6" t="n"/>
      <c r="FP38" s="6" t="n"/>
      <c r="FQ38" s="6" t="n"/>
      <c r="FR38" s="6" t="n"/>
      <c r="FS38" s="6" t="n"/>
      <c r="FT38" s="6" t="n"/>
      <c r="FU38" s="6" t="n"/>
      <c r="FV38" s="6" t="n"/>
      <c r="FW38" s="6" t="n"/>
      <c r="FX38" s="6" t="n"/>
      <c r="FY38" s="6" t="n"/>
      <c r="FZ38" s="6" t="n"/>
      <c r="GA38" s="6" t="n"/>
      <c r="GB38" s="6" t="n"/>
      <c r="GC38" s="6" t="n"/>
      <c r="GD38" s="6" t="n"/>
      <c r="GE38" s="20">
        <f>IFERROR(ROUND(AVERAGE(FK38,FM38,FO38,FQ38,FS38,FU38,FW38,FY38,GA38,GC38), 2), "")</f>
        <v/>
      </c>
      <c r="GF38" s="6" t="n"/>
      <c r="GG38" s="6" t="n"/>
      <c r="GH38" s="6" t="n"/>
      <c r="GI38" s="6" t="n"/>
      <c r="GJ38" s="6" t="n"/>
      <c r="GK38" s="6" t="n"/>
      <c r="GL38" s="6" t="n"/>
      <c r="GM38" s="6" t="n"/>
      <c r="GN38" s="6" t="n"/>
      <c r="GO38" s="6" t="n"/>
      <c r="GP38" s="6" t="n"/>
      <c r="GQ38" s="6" t="n"/>
      <c r="GR38" s="6" t="n"/>
      <c r="GS38" s="6" t="n"/>
      <c r="GT38" s="6" t="n"/>
      <c r="GU38" s="6" t="n"/>
      <c r="GV38" s="6" t="n"/>
      <c r="GW38" s="6" t="n"/>
      <c r="GX38" s="6" t="n"/>
      <c r="GY38" s="6" t="n"/>
      <c r="GZ38" s="6" t="n"/>
      <c r="HA38" s="6" t="n"/>
      <c r="HB38" s="6" t="n"/>
      <c r="HC38" s="6" t="n"/>
      <c r="HD38" s="6" t="n"/>
      <c r="HE38" s="6" t="n"/>
      <c r="HF38" s="6" t="n"/>
      <c r="HG38" s="6" t="n"/>
      <c r="HH38" s="6" t="n"/>
      <c r="HI38" s="6" t="n"/>
      <c r="HJ38" s="6">
        <f>IF(COUNTA(GF38:HI38)=0, "", SUMPRODUCT(--ISNUMBER(SEARCH("m", GF38:HI38))))</f>
        <v/>
      </c>
      <c r="HK38" s="6">
        <f>IF(COUNTA(GF38:HI38)=0, "", COUNTA(GF38:HI38) - SUMPRODUCT(--ISNUMBER(SEARCH("m", GF38:HI38))))</f>
        <v/>
      </c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20">
        <f>IFERROR(ROUND(AVERAGE(HL38,HN38,HP38,HR38,HT38,HV38,HX38,HZ38,IB38,ID38), 2), "")</f>
        <v/>
      </c>
      <c r="IG38" s="6" t="n"/>
      <c r="IH38" s="6" t="n"/>
      <c r="II38" s="6" t="n"/>
      <c r="IJ38" s="6" t="n"/>
      <c r="IK38" s="6" t="n"/>
      <c r="IL38" s="6" t="n"/>
      <c r="IM38" s="6" t="n"/>
      <c r="IN38" s="6" t="n"/>
      <c r="IO38" s="6" t="n"/>
      <c r="IP38" s="6" t="n"/>
      <c r="IQ38" s="6" t="n"/>
      <c r="IR38" s="6" t="n"/>
      <c r="IS38" s="6" t="n"/>
      <c r="IT38" s="6" t="n"/>
      <c r="IU38" s="6" t="n"/>
      <c r="IV38" s="6" t="n"/>
      <c r="IW38" s="6" t="n"/>
      <c r="IX38" s="6" t="n"/>
      <c r="IY38" s="6" t="n"/>
      <c r="IZ38" s="6" t="n"/>
      <c r="JA38" s="6" t="n"/>
      <c r="JB38" s="6" t="n"/>
      <c r="JC38" s="6" t="n"/>
      <c r="JD38" s="6" t="n"/>
      <c r="JE38" s="6" t="n"/>
      <c r="JF38" s="6" t="n"/>
      <c r="JG38" s="6" t="n"/>
      <c r="JH38" s="6" t="n"/>
      <c r="JI38" s="6" t="n"/>
      <c r="JJ38" s="6" t="n"/>
      <c r="JK38" s="6">
        <f>IF(COUNTA(IG38:JJ38)=0, "", SUMPRODUCT(--ISNUMBER(SEARCH("m", IG38:JJ38))))</f>
        <v/>
      </c>
      <c r="JL38" s="6">
        <f>IF(COUNTA(IG38:JJ38)=0, "", COUNTA(IG38:JJ38) - SUMPRODUCT(--ISNUMBER(SEARCH("m", IG38:JJ38))))</f>
        <v/>
      </c>
      <c r="JM38" s="6" t="n"/>
      <c r="JN38" s="6" t="n"/>
      <c r="JO38" s="6" t="n"/>
      <c r="JP38" s="6" t="n"/>
      <c r="JQ38" s="6" t="n"/>
      <c r="JR38" s="6" t="n"/>
      <c r="JS38" s="6" t="n"/>
      <c r="JT38" s="6" t="n"/>
      <c r="JU38" s="6" t="n"/>
      <c r="JV38" s="6" t="n"/>
      <c r="JW38" s="6" t="n"/>
      <c r="JX38" s="6" t="n"/>
      <c r="JY38" s="6" t="n"/>
      <c r="JZ38" s="6" t="n"/>
      <c r="KA38" s="6" t="n"/>
      <c r="KB38" s="6" t="n"/>
      <c r="KC38" s="6" t="n"/>
      <c r="KD38" s="6" t="n"/>
      <c r="KE38" s="6" t="n"/>
      <c r="KF38" s="6" t="n"/>
      <c r="KG38" s="20">
        <f>IFERROR(ROUND(AVERAGE(JM38,JO38,JQ38,JS38,JU38,JW38,JY38,KA38,KC38,KE38), 2), "")</f>
        <v/>
      </c>
      <c r="KH38" s="6" t="n"/>
      <c r="KI38" s="6" t="n"/>
      <c r="KJ38" s="6" t="n"/>
      <c r="KK38" s="6" t="n"/>
      <c r="KL38" s="6" t="n"/>
      <c r="KM38" s="6" t="n"/>
      <c r="KN38" s="6" t="n"/>
      <c r="KO38" s="6" t="n"/>
      <c r="KP38" s="6" t="n"/>
      <c r="KQ38" s="6" t="n"/>
      <c r="KR38" s="6" t="n"/>
      <c r="KS38" s="6" t="n"/>
      <c r="KT38" s="6" t="n"/>
      <c r="KU38" s="6" t="n"/>
      <c r="KV38" s="6" t="n"/>
      <c r="KW38" s="6" t="n"/>
      <c r="KX38" s="6" t="n"/>
      <c r="KY38" s="6" t="n"/>
      <c r="KZ38" s="6" t="n"/>
      <c r="LA38" s="6" t="n"/>
      <c r="LB38" s="6" t="n"/>
      <c r="LC38" s="6" t="n"/>
      <c r="LD38" s="6" t="n"/>
      <c r="LE38" s="6" t="n"/>
      <c r="LF38" s="6" t="n"/>
      <c r="LG38" s="6" t="n"/>
      <c r="LH38" s="6" t="n"/>
      <c r="LI38" s="6" t="n"/>
      <c r="LJ38" s="6" t="n"/>
      <c r="LK38" s="6" t="n"/>
      <c r="LL38" s="6">
        <f>IF(COUNTA(KH38:LK38)=0, "", SUMPRODUCT(--ISNUMBER(SEARCH("m", KH38:LK38))))</f>
        <v/>
      </c>
      <c r="LM38" s="6">
        <f>IF(COUNTA(KH38:LK38)=0, "", COUNTA(KH38:LK38) - SUMPRODUCT(--ISNUMBER(SEARCH("m", KH38:LK38))))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8">
        <f>IFERROR(ROUND(AVERAGE(AB39,CC39,ED39,GE39,IF39,KG39), 2), "")</f>
        <v/>
      </c>
      <c r="F39" s="14">
        <f>IF(SUM(BH39,DI39,FJ39,HK39,JL39,LM39)=0, "", SUM(BH39,DI39,FJ39,HK39,JL39,LM39))</f>
        <v/>
      </c>
      <c r="G39" s="8">
        <f>IF(SUM(BG39,DH39,FI39,HJ39,JK39,LL39)=0, "", SUM(BG39,DH39,FI39,HJ39,JK39,LL39))</f>
        <v/>
      </c>
      <c r="H39" s="6" t="n"/>
      <c r="I39" s="79" t="n"/>
      <c r="J39" s="6" t="n"/>
      <c r="K39" s="79" t="n"/>
      <c r="L39" s="6" t="n"/>
      <c r="M39" s="79" t="n"/>
      <c r="N39" s="6" t="n"/>
      <c r="O39" s="79" t="n"/>
      <c r="P39" s="6" t="n"/>
      <c r="Q39" s="79" t="n"/>
      <c r="R39" s="18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18" t="n"/>
      <c r="AB39" s="14">
        <f>IFERROR(ROUND(AVERAGE(H39,J39,L39,N39,P39,R39,T39,V39,X39,Z39), 2), "")</f>
        <v/>
      </c>
      <c r="AC39" s="6" t="n"/>
      <c r="AD39" s="79" t="n"/>
      <c r="AE39" s="6" t="n"/>
      <c r="AF39" s="79" t="n"/>
      <c r="AG39" s="6" t="n"/>
      <c r="AH39" s="79" t="n"/>
      <c r="AI39" s="6" t="n"/>
      <c r="AJ39" s="79" t="n"/>
      <c r="AK39" s="6" t="n"/>
      <c r="AL39" s="79" t="n"/>
      <c r="AM39" s="18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18" t="n"/>
      <c r="AW39" s="19" t="n"/>
      <c r="AX39" s="6" t="n"/>
      <c r="AY39" s="79" t="n"/>
      <c r="AZ39" s="6" t="n"/>
      <c r="BA39" s="79" t="n"/>
      <c r="BB39" s="6" t="n"/>
      <c r="BC39" s="79" t="n"/>
      <c r="BD39" s="6" t="n"/>
      <c r="BE39" s="79" t="n"/>
      <c r="BF39" s="6" t="n"/>
      <c r="BG39" s="79">
        <f>IF(COUNTA(AC39:BF39)=0, "", SUMPRODUCT(--ISNUMBER(SEARCH("m", AC39:BF39))))</f>
        <v/>
      </c>
      <c r="BH39" s="18">
        <f>IF(COUNTA(AC39:BF39)=0, "", COUNTA(AC39:BF39) - SUMPRODUCT(--ISNUMBER(SEARCH("m", AC39:BF39))))</f>
        <v/>
      </c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18" t="n"/>
      <c r="BR39" s="19" t="n"/>
      <c r="BS39" s="6" t="n"/>
      <c r="BT39" s="79" t="n"/>
      <c r="BU39" s="6" t="n"/>
      <c r="BV39" s="79" t="n"/>
      <c r="BW39" s="6" t="n"/>
      <c r="BX39" s="79" t="n"/>
      <c r="BY39" s="6" t="n"/>
      <c r="BZ39" s="79" t="n"/>
      <c r="CA39" s="6" t="n"/>
      <c r="CB39" s="79" t="n"/>
      <c r="CC39" s="8">
        <f>IFERROR(ROUND(AVERAGE(BI39,BK39,BM39,BO39,BQ39,BS39,BU39,BW39,BY39,CA39), 2), "")</f>
        <v/>
      </c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18" t="n"/>
      <c r="CM39" s="19" t="n"/>
      <c r="CN39" s="6" t="n"/>
      <c r="CO39" s="79" t="n"/>
      <c r="CP39" s="6" t="n"/>
      <c r="CQ39" s="79" t="n"/>
      <c r="CR39" s="6" t="n"/>
      <c r="CS39" s="79" t="n"/>
      <c r="CT39" s="6" t="n"/>
      <c r="CU39" s="79" t="n"/>
      <c r="CV39" s="6" t="n"/>
      <c r="CW39" s="79" t="n"/>
      <c r="CX39" s="18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18" t="n"/>
      <c r="DH39" s="19">
        <f>IF(COUNTA(CD39:DG39)=0, "", SUMPRODUCT(--ISNUMBER(SEARCH("m", CD39:DG39))))</f>
        <v/>
      </c>
      <c r="DI39" s="6">
        <f>IF(COUNTA(CD39:DG39)=0, "", COUNTA(CD39:DG39) - SUMPRODUCT(--ISNUMBER(SEARCH("m", CD39:DG39))))</f>
        <v/>
      </c>
      <c r="DJ39" s="79" t="n"/>
      <c r="DK39" s="6" t="n"/>
      <c r="DL39" s="79" t="n"/>
      <c r="DM39" s="6" t="n"/>
      <c r="DN39" s="79" t="n"/>
      <c r="DO39" s="6" t="n"/>
      <c r="DP39" s="79" t="n"/>
      <c r="DQ39" s="6" t="n"/>
      <c r="DR39" s="79" t="n"/>
      <c r="DS39" s="18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18" t="n"/>
      <c r="EC39" s="19" t="n"/>
      <c r="ED39" s="20">
        <f>IFERROR(ROUND(AVERAGE(DJ39,DL39,DN39,DP39,DR39,DT39,DV39,DX39,DZ39,EB39), 2), "")</f>
        <v/>
      </c>
      <c r="EE39" s="6" t="n"/>
      <c r="EF39" s="6" t="n"/>
      <c r="EG39" s="6" t="n"/>
      <c r="EH39" s="6" t="n"/>
      <c r="EI39" s="6" t="n"/>
      <c r="EJ39" s="6" t="n"/>
      <c r="EK39" s="6" t="n"/>
      <c r="EL39" s="6" t="n"/>
      <c r="EM39" s="6" t="n"/>
      <c r="EN39" s="6" t="n"/>
      <c r="EO39" s="6" t="n"/>
      <c r="EP39" s="6" t="n"/>
      <c r="EQ39" s="6" t="n"/>
      <c r="ER39" s="6" t="n"/>
      <c r="ES39" s="6" t="n"/>
      <c r="ET39" s="6" t="n"/>
      <c r="EU39" s="6" t="n"/>
      <c r="EV39" s="6" t="n"/>
      <c r="EW39" s="6" t="n"/>
      <c r="EX39" s="6" t="n"/>
      <c r="EY39" s="6" t="n"/>
      <c r="EZ39" s="6" t="n"/>
      <c r="FA39" s="6" t="n"/>
      <c r="FB39" s="6" t="n"/>
      <c r="FC39" s="6" t="n"/>
      <c r="FD39" s="6" t="n"/>
      <c r="FE39" s="6" t="n"/>
      <c r="FF39" s="6" t="n"/>
      <c r="FG39" s="6" t="n"/>
      <c r="FH39" s="6" t="n"/>
      <c r="FI39" s="6">
        <f>IF(COUNTA(EE39:FH39)=0, "", SUMPRODUCT(--ISNUMBER(SEARCH("m", EE39:FH39))))</f>
        <v/>
      </c>
      <c r="FJ39" s="6">
        <f>IF(COUNTA(EE39:FH39)=0, "", COUNTA(EE39:FH39) - SUMPRODUCT(--ISNUMBER(SEARCH("m", EE39:FH39))))</f>
        <v/>
      </c>
      <c r="FK39" s="6" t="n"/>
      <c r="FL39" s="6" t="n"/>
      <c r="FM39" s="6" t="n"/>
      <c r="FN39" s="6" t="n"/>
      <c r="FO39" s="6" t="n"/>
      <c r="FP39" s="6" t="n"/>
      <c r="FQ39" s="6" t="n"/>
      <c r="FR39" s="6" t="n"/>
      <c r="FS39" s="6" t="n"/>
      <c r="FT39" s="6" t="n"/>
      <c r="FU39" s="6" t="n"/>
      <c r="FV39" s="6" t="n"/>
      <c r="FW39" s="6" t="n"/>
      <c r="FX39" s="6" t="n"/>
      <c r="FY39" s="6" t="n"/>
      <c r="FZ39" s="6" t="n"/>
      <c r="GA39" s="6" t="n"/>
      <c r="GB39" s="6" t="n"/>
      <c r="GC39" s="6" t="n"/>
      <c r="GD39" s="6" t="n"/>
      <c r="GE39" s="20">
        <f>IFERROR(ROUND(AVERAGE(FK39,FM39,FO39,FQ39,FS39,FU39,FW39,FY39,GA39,GC39), 2), "")</f>
        <v/>
      </c>
      <c r="GF39" s="6" t="n"/>
      <c r="GG39" s="6" t="n"/>
      <c r="GH39" s="6" t="n"/>
      <c r="GI39" s="6" t="n"/>
      <c r="GJ39" s="6" t="n"/>
      <c r="GK39" s="6" t="n"/>
      <c r="GL39" s="6" t="n"/>
      <c r="GM39" s="6" t="n"/>
      <c r="GN39" s="6" t="n"/>
      <c r="GO39" s="6" t="n"/>
      <c r="GP39" s="6" t="n"/>
      <c r="GQ39" s="6" t="n"/>
      <c r="GR39" s="6" t="n"/>
      <c r="GS39" s="6" t="n"/>
      <c r="GT39" s="6" t="n"/>
      <c r="GU39" s="6" t="n"/>
      <c r="GV39" s="6" t="n"/>
      <c r="GW39" s="6" t="n"/>
      <c r="GX39" s="6" t="n"/>
      <c r="GY39" s="6" t="n"/>
      <c r="GZ39" s="6" t="n"/>
      <c r="HA39" s="6" t="n"/>
      <c r="HB39" s="6" t="n"/>
      <c r="HC39" s="6" t="n"/>
      <c r="HD39" s="6" t="n"/>
      <c r="HE39" s="6" t="n"/>
      <c r="HF39" s="6" t="n"/>
      <c r="HG39" s="6" t="n"/>
      <c r="HH39" s="6" t="n"/>
      <c r="HI39" s="6" t="n"/>
      <c r="HJ39" s="6">
        <f>IF(COUNTA(GF39:HI39)=0, "", SUMPRODUCT(--ISNUMBER(SEARCH("m", GF39:HI39))))</f>
        <v/>
      </c>
      <c r="HK39" s="6">
        <f>IF(COUNTA(GF39:HI39)=0, "", COUNTA(GF39:HI39) - SUMPRODUCT(--ISNUMBER(SEARCH("m", GF39:HI39))))</f>
        <v/>
      </c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20">
        <f>IFERROR(ROUND(AVERAGE(HL39,HN39,HP39,HR39,HT39,HV39,HX39,HZ39,IB39,ID39), 2), "")</f>
        <v/>
      </c>
      <c r="IG39" s="6" t="n"/>
      <c r="IH39" s="6" t="n"/>
      <c r="II39" s="6" t="n"/>
      <c r="IJ39" s="6" t="n"/>
      <c r="IK39" s="6" t="n"/>
      <c r="IL39" s="6" t="n"/>
      <c r="IM39" s="6" t="n"/>
      <c r="IN39" s="6" t="n"/>
      <c r="IO39" s="6" t="n"/>
      <c r="IP39" s="6" t="n"/>
      <c r="IQ39" s="6" t="n"/>
      <c r="IR39" s="6" t="n"/>
      <c r="IS39" s="6" t="n"/>
      <c r="IT39" s="6" t="n"/>
      <c r="IU39" s="6" t="n"/>
      <c r="IV39" s="6" t="n"/>
      <c r="IW39" s="6" t="n"/>
      <c r="IX39" s="6" t="n"/>
      <c r="IY39" s="6" t="n"/>
      <c r="IZ39" s="6" t="n"/>
      <c r="JA39" s="6" t="n"/>
      <c r="JB39" s="6" t="n"/>
      <c r="JC39" s="6" t="n"/>
      <c r="JD39" s="6" t="n"/>
      <c r="JE39" s="6" t="n"/>
      <c r="JF39" s="6" t="n"/>
      <c r="JG39" s="6" t="n"/>
      <c r="JH39" s="6" t="n"/>
      <c r="JI39" s="6" t="n"/>
      <c r="JJ39" s="6" t="n"/>
      <c r="JK39" s="6">
        <f>IF(COUNTA(IG39:JJ39)=0, "", SUMPRODUCT(--ISNUMBER(SEARCH("m", IG39:JJ39))))</f>
        <v/>
      </c>
      <c r="JL39" s="6">
        <f>IF(COUNTA(IG39:JJ39)=0, "", COUNTA(IG39:JJ39) - SUMPRODUCT(--ISNUMBER(SEARCH("m", IG39:JJ39))))</f>
        <v/>
      </c>
      <c r="JM39" s="6" t="n"/>
      <c r="JN39" s="6" t="n"/>
      <c r="JO39" s="6" t="n"/>
      <c r="JP39" s="6" t="n"/>
      <c r="JQ39" s="6" t="n"/>
      <c r="JR39" s="6" t="n"/>
      <c r="JS39" s="6" t="n"/>
      <c r="JT39" s="6" t="n"/>
      <c r="JU39" s="6" t="n"/>
      <c r="JV39" s="6" t="n"/>
      <c r="JW39" s="6" t="n"/>
      <c r="JX39" s="6" t="n"/>
      <c r="JY39" s="6" t="n"/>
      <c r="JZ39" s="6" t="n"/>
      <c r="KA39" s="6" t="n"/>
      <c r="KB39" s="6" t="n"/>
      <c r="KC39" s="6" t="n"/>
      <c r="KD39" s="6" t="n"/>
      <c r="KE39" s="6" t="n"/>
      <c r="KF39" s="6" t="n"/>
      <c r="KG39" s="20">
        <f>IFERROR(ROUND(AVERAGE(JM39,JO39,JQ39,JS39,JU39,JW39,JY39,KA39,KC39,KE39), 2), "")</f>
        <v/>
      </c>
      <c r="KH39" s="6" t="n"/>
      <c r="KI39" s="6" t="n"/>
      <c r="KJ39" s="6" t="n"/>
      <c r="KK39" s="6" t="n"/>
      <c r="KL39" s="6" t="n"/>
      <c r="KM39" s="6" t="n"/>
      <c r="KN39" s="6" t="n"/>
      <c r="KO39" s="6" t="n"/>
      <c r="KP39" s="6" t="n"/>
      <c r="KQ39" s="6" t="n"/>
      <c r="KR39" s="6" t="n"/>
      <c r="KS39" s="6" t="n"/>
      <c r="KT39" s="6" t="n"/>
      <c r="KU39" s="6" t="n"/>
      <c r="KV39" s="6" t="n"/>
      <c r="KW39" s="6" t="n"/>
      <c r="KX39" s="6" t="n"/>
      <c r="KY39" s="6" t="n"/>
      <c r="KZ39" s="6" t="n"/>
      <c r="LA39" s="6" t="n"/>
      <c r="LB39" s="6" t="n"/>
      <c r="LC39" s="6" t="n"/>
      <c r="LD39" s="6" t="n"/>
      <c r="LE39" s="6" t="n"/>
      <c r="LF39" s="6" t="n"/>
      <c r="LG39" s="6" t="n"/>
      <c r="LH39" s="6" t="n"/>
      <c r="LI39" s="6" t="n"/>
      <c r="LJ39" s="6" t="n"/>
      <c r="LK39" s="6" t="n"/>
      <c r="LL39" s="6">
        <f>IF(COUNTA(KH39:LK39)=0, "", SUMPRODUCT(--ISNUMBER(SEARCH("m", KH39:LK39))))</f>
        <v/>
      </c>
      <c r="LM39" s="6">
        <f>IF(COUNTA(KH39:LK39)=0, "", COUNTA(KH39:LK39) - SUMPRODUCT(--ISNUMBER(SEARCH("m", KH39:LK39))))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8">
        <f>IFERROR(ROUND(AVERAGE(AB40,CC40,ED40,GE40,IF40,KG40), 2), "")</f>
        <v/>
      </c>
      <c r="F40" s="14">
        <f>IF(SUM(BH40,DI40,FJ40,HK40,JL40,LM40)=0, "", SUM(BH40,DI40,FJ40,HK40,JL40,LM40))</f>
        <v/>
      </c>
      <c r="G40" s="8">
        <f>IF(SUM(BG40,DH40,FI40,HJ40,JK40,LL40)=0, "", SUM(BG40,DH40,FI40,HJ40,JK40,LL40))</f>
        <v/>
      </c>
      <c r="H40" s="6" t="n"/>
      <c r="I40" s="79" t="n"/>
      <c r="J40" s="6" t="n"/>
      <c r="K40" s="79" t="n"/>
      <c r="L40" s="6" t="n"/>
      <c r="M40" s="79" t="n"/>
      <c r="N40" s="6" t="n"/>
      <c r="O40" s="79" t="n"/>
      <c r="P40" s="6" t="n"/>
      <c r="Q40" s="79" t="n"/>
      <c r="R40" s="18" t="n"/>
      <c r="S40" s="79" t="n"/>
      <c r="T40" s="79" t="n"/>
      <c r="U40" s="79" t="n"/>
      <c r="V40" s="79" t="n"/>
      <c r="W40" s="79" t="n"/>
      <c r="X40" s="79" t="n"/>
      <c r="Y40" s="79" t="n"/>
      <c r="Z40" s="79" t="n"/>
      <c r="AA40" s="18" t="n"/>
      <c r="AB40" s="14">
        <f>IFERROR(ROUND(AVERAGE(H40,J40,L40,N40,P40,R40,T40,V40,X40,Z40), 2), "")</f>
        <v/>
      </c>
      <c r="AC40" s="6" t="n"/>
      <c r="AD40" s="79" t="n"/>
      <c r="AE40" s="6" t="n"/>
      <c r="AF40" s="79" t="n"/>
      <c r="AG40" s="6" t="n"/>
      <c r="AH40" s="79" t="n"/>
      <c r="AI40" s="6" t="n"/>
      <c r="AJ40" s="79" t="n"/>
      <c r="AK40" s="6" t="n"/>
      <c r="AL40" s="79" t="n"/>
      <c r="AM40" s="18" t="n"/>
      <c r="AN40" s="79" t="n"/>
      <c r="AO40" s="79" t="n"/>
      <c r="AP40" s="79" t="n"/>
      <c r="AQ40" s="79" t="n"/>
      <c r="AR40" s="79" t="n"/>
      <c r="AS40" s="79" t="n"/>
      <c r="AT40" s="79" t="n"/>
      <c r="AU40" s="79" t="n"/>
      <c r="AV40" s="18" t="n"/>
      <c r="AW40" s="19" t="n"/>
      <c r="AX40" s="6" t="n"/>
      <c r="AY40" s="79" t="n"/>
      <c r="AZ40" s="6" t="n"/>
      <c r="BA40" s="79" t="n"/>
      <c r="BB40" s="6" t="n"/>
      <c r="BC40" s="79" t="n"/>
      <c r="BD40" s="6" t="n"/>
      <c r="BE40" s="79" t="n"/>
      <c r="BF40" s="6" t="n"/>
      <c r="BG40" s="79">
        <f>IF(COUNTA(AC40:BF40)=0, "", SUMPRODUCT(--ISNUMBER(SEARCH("m", AC40:BF40))))</f>
        <v/>
      </c>
      <c r="BH40" s="18">
        <f>IF(COUNTA(AC40:BF40)=0, "", COUNTA(AC40:BF40) - SUMPRODUCT(--ISNUMBER(SEARCH("m", AC40:BF40))))</f>
        <v/>
      </c>
      <c r="BI40" s="79" t="n"/>
      <c r="BJ40" s="79" t="n"/>
      <c r="BK40" s="79" t="n"/>
      <c r="BL40" s="79" t="n"/>
      <c r="BM40" s="79" t="n"/>
      <c r="BN40" s="79" t="n"/>
      <c r="BO40" s="79" t="n"/>
      <c r="BP40" s="79" t="n"/>
      <c r="BQ40" s="18" t="n"/>
      <c r="BR40" s="19" t="n"/>
      <c r="BS40" s="6" t="n"/>
      <c r="BT40" s="79" t="n"/>
      <c r="BU40" s="6" t="n"/>
      <c r="BV40" s="79" t="n"/>
      <c r="BW40" s="6" t="n"/>
      <c r="BX40" s="79" t="n"/>
      <c r="BY40" s="6" t="n"/>
      <c r="BZ40" s="79" t="n"/>
      <c r="CA40" s="6" t="n"/>
      <c r="CB40" s="79" t="n"/>
      <c r="CC40" s="8">
        <f>IFERROR(ROUND(AVERAGE(BI40,BK40,BM40,BO40,BQ40,BS40,BU40,BW40,BY40,CA40), 2), "")</f>
        <v/>
      </c>
      <c r="CD40" s="79" t="n"/>
      <c r="CE40" s="79" t="n"/>
      <c r="CF40" s="79" t="n"/>
      <c r="CG40" s="79" t="n"/>
      <c r="CH40" s="79" t="n"/>
      <c r="CI40" s="79" t="n"/>
      <c r="CJ40" s="79" t="n"/>
      <c r="CK40" s="79" t="n"/>
      <c r="CL40" s="18" t="n"/>
      <c r="CM40" s="19" t="n"/>
      <c r="CN40" s="6" t="n"/>
      <c r="CO40" s="79" t="n"/>
      <c r="CP40" s="6" t="n"/>
      <c r="CQ40" s="79" t="n"/>
      <c r="CR40" s="6" t="n"/>
      <c r="CS40" s="79" t="n"/>
      <c r="CT40" s="6" t="n"/>
      <c r="CU40" s="79" t="n"/>
      <c r="CV40" s="6" t="n"/>
      <c r="CW40" s="79" t="n"/>
      <c r="CX40" s="18" t="n"/>
      <c r="CY40" s="79" t="n"/>
      <c r="CZ40" s="79" t="n"/>
      <c r="DA40" s="79" t="n"/>
      <c r="DB40" s="79" t="n"/>
      <c r="DC40" s="79" t="n"/>
      <c r="DD40" s="79" t="n"/>
      <c r="DE40" s="79" t="n"/>
      <c r="DF40" s="79" t="n"/>
      <c r="DG40" s="18" t="n"/>
      <c r="DH40" s="19">
        <f>IF(COUNTA(CD40:DG40)=0, "", SUMPRODUCT(--ISNUMBER(SEARCH("m", CD40:DG40))))</f>
        <v/>
      </c>
      <c r="DI40" s="6">
        <f>IF(COUNTA(CD40:DG40)=0, "", COUNTA(CD40:DG40) - SUMPRODUCT(--ISNUMBER(SEARCH("m", CD40:DG40))))</f>
        <v/>
      </c>
      <c r="DJ40" s="79" t="n"/>
      <c r="DK40" s="6" t="n"/>
      <c r="DL40" s="79" t="n"/>
      <c r="DM40" s="6" t="n"/>
      <c r="DN40" s="79" t="n"/>
      <c r="DO40" s="6" t="n"/>
      <c r="DP40" s="79" t="n"/>
      <c r="DQ40" s="6" t="n"/>
      <c r="DR40" s="79" t="n"/>
      <c r="DS40" s="18" t="n"/>
      <c r="DT40" s="79" t="n"/>
      <c r="DU40" s="79" t="n"/>
      <c r="DV40" s="79" t="n"/>
      <c r="DW40" s="79" t="n"/>
      <c r="DX40" s="79" t="n"/>
      <c r="DY40" s="79" t="n"/>
      <c r="DZ40" s="79" t="n"/>
      <c r="EA40" s="79" t="n"/>
      <c r="EB40" s="18" t="n"/>
      <c r="EC40" s="19" t="n"/>
      <c r="ED40" s="20">
        <f>IFERROR(ROUND(AVERAGE(DJ40,DL40,DN40,DP40,DR40,DT40,DV40,DX40,DZ40,EB40), 2), "")</f>
        <v/>
      </c>
      <c r="EE40" s="6" t="n"/>
      <c r="EF40" s="6" t="n"/>
      <c r="EG40" s="6" t="n"/>
      <c r="EH40" s="6" t="n"/>
      <c r="EI40" s="6" t="n"/>
      <c r="EJ40" s="6" t="n"/>
      <c r="EK40" s="6" t="n"/>
      <c r="EL40" s="6" t="n"/>
      <c r="EM40" s="6" t="n"/>
      <c r="EN40" s="6" t="n"/>
      <c r="EO40" s="6" t="n"/>
      <c r="EP40" s="6" t="n"/>
      <c r="EQ40" s="6" t="n"/>
      <c r="ER40" s="6" t="n"/>
      <c r="ES40" s="6" t="n"/>
      <c r="ET40" s="6" t="n"/>
      <c r="EU40" s="6" t="n"/>
      <c r="EV40" s="6" t="n"/>
      <c r="EW40" s="6" t="n"/>
      <c r="EX40" s="6" t="n"/>
      <c r="EY40" s="6" t="n"/>
      <c r="EZ40" s="6" t="n"/>
      <c r="FA40" s="6" t="n"/>
      <c r="FB40" s="6" t="n"/>
      <c r="FC40" s="6" t="n"/>
      <c r="FD40" s="6" t="n"/>
      <c r="FE40" s="6" t="n"/>
      <c r="FF40" s="6" t="n"/>
      <c r="FG40" s="6" t="n"/>
      <c r="FH40" s="6" t="n"/>
      <c r="FI40" s="6">
        <f>IF(COUNTA(EE40:FH40)=0, "", SUMPRODUCT(--ISNUMBER(SEARCH("m", EE40:FH40))))</f>
        <v/>
      </c>
      <c r="FJ40" s="6">
        <f>IF(COUNTA(EE40:FH40)=0, "", COUNTA(EE40:FH40) - SUMPRODUCT(--ISNUMBER(SEARCH("m", EE40:FH40))))</f>
        <v/>
      </c>
      <c r="FK40" s="6" t="n"/>
      <c r="FL40" s="6" t="n"/>
      <c r="FM40" s="6" t="n"/>
      <c r="FN40" s="6" t="n"/>
      <c r="FO40" s="6" t="n"/>
      <c r="FP40" s="6" t="n"/>
      <c r="FQ40" s="6" t="n"/>
      <c r="FR40" s="6" t="n"/>
      <c r="FS40" s="6" t="n"/>
      <c r="FT40" s="6" t="n"/>
      <c r="FU40" s="6" t="n"/>
      <c r="FV40" s="6" t="n"/>
      <c r="FW40" s="6" t="n"/>
      <c r="FX40" s="6" t="n"/>
      <c r="FY40" s="6" t="n"/>
      <c r="FZ40" s="6" t="n"/>
      <c r="GA40" s="6" t="n"/>
      <c r="GB40" s="6" t="n"/>
      <c r="GC40" s="6" t="n"/>
      <c r="GD40" s="6" t="n"/>
      <c r="GE40" s="20">
        <f>IFERROR(ROUND(AVERAGE(FK40,FM40,FO40,FQ40,FS40,FU40,FW40,FY40,GA40,GC40), 2), "")</f>
        <v/>
      </c>
      <c r="GF40" s="6" t="n"/>
      <c r="GG40" s="6" t="n"/>
      <c r="GH40" s="6" t="n"/>
      <c r="GI40" s="6" t="n"/>
      <c r="GJ40" s="6" t="n"/>
      <c r="GK40" s="6" t="n"/>
      <c r="GL40" s="6" t="n"/>
      <c r="GM40" s="6" t="n"/>
      <c r="GN40" s="6" t="n"/>
      <c r="GO40" s="6" t="n"/>
      <c r="GP40" s="6" t="n"/>
      <c r="GQ40" s="6" t="n"/>
      <c r="GR40" s="6" t="n"/>
      <c r="GS40" s="6" t="n"/>
      <c r="GT40" s="6" t="n"/>
      <c r="GU40" s="6" t="n"/>
      <c r="GV40" s="6" t="n"/>
      <c r="GW40" s="6" t="n"/>
      <c r="GX40" s="6" t="n"/>
      <c r="GY40" s="6" t="n"/>
      <c r="GZ40" s="6" t="n"/>
      <c r="HA40" s="6" t="n"/>
      <c r="HB40" s="6" t="n"/>
      <c r="HC40" s="6" t="n"/>
      <c r="HD40" s="6" t="n"/>
      <c r="HE40" s="6" t="n"/>
      <c r="HF40" s="6" t="n"/>
      <c r="HG40" s="6" t="n"/>
      <c r="HH40" s="6" t="n"/>
      <c r="HI40" s="6" t="n"/>
      <c r="HJ40" s="6">
        <f>IF(COUNTA(GF40:HI40)=0, "", SUMPRODUCT(--ISNUMBER(SEARCH("m", GF40:HI40))))</f>
        <v/>
      </c>
      <c r="HK40" s="6">
        <f>IF(COUNTA(GF40:HI40)=0, "", COUNTA(GF40:HI40) - SUMPRODUCT(--ISNUMBER(SEARCH("m", GF40:HI40))))</f>
        <v/>
      </c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20">
        <f>IFERROR(ROUND(AVERAGE(HL40,HN40,HP40,HR40,HT40,HV40,HX40,HZ40,IB40,ID40), 2), "")</f>
        <v/>
      </c>
      <c r="IG40" s="6" t="n"/>
      <c r="IH40" s="6" t="n"/>
      <c r="II40" s="6" t="n"/>
      <c r="IJ40" s="6" t="n"/>
      <c r="IK40" s="6" t="n"/>
      <c r="IL40" s="6" t="n"/>
      <c r="IM40" s="6" t="n"/>
      <c r="IN40" s="6" t="n"/>
      <c r="IO40" s="6" t="n"/>
      <c r="IP40" s="6" t="n"/>
      <c r="IQ40" s="6" t="n"/>
      <c r="IR40" s="6" t="n"/>
      <c r="IS40" s="6" t="n"/>
      <c r="IT40" s="6" t="n"/>
      <c r="IU40" s="6" t="n"/>
      <c r="IV40" s="6" t="n"/>
      <c r="IW40" s="6" t="n"/>
      <c r="IX40" s="6" t="n"/>
      <c r="IY40" s="6" t="n"/>
      <c r="IZ40" s="6" t="n"/>
      <c r="JA40" s="6" t="n"/>
      <c r="JB40" s="6" t="n"/>
      <c r="JC40" s="6" t="n"/>
      <c r="JD40" s="6" t="n"/>
      <c r="JE40" s="6" t="n"/>
      <c r="JF40" s="6" t="n"/>
      <c r="JG40" s="6" t="n"/>
      <c r="JH40" s="6" t="n"/>
      <c r="JI40" s="6" t="n"/>
      <c r="JJ40" s="6" t="n"/>
      <c r="JK40" s="6">
        <f>IF(COUNTA(IG40:JJ40)=0, "", SUMPRODUCT(--ISNUMBER(SEARCH("m", IG40:JJ40))))</f>
        <v/>
      </c>
      <c r="JL40" s="6">
        <f>IF(COUNTA(IG40:JJ40)=0, "", COUNTA(IG40:JJ40) - SUMPRODUCT(--ISNUMBER(SEARCH("m", IG40:JJ40))))</f>
        <v/>
      </c>
      <c r="JM40" s="6" t="n"/>
      <c r="JN40" s="6" t="n"/>
      <c r="JO40" s="6" t="n"/>
      <c r="JP40" s="6" t="n"/>
      <c r="JQ40" s="6" t="n"/>
      <c r="JR40" s="6" t="n"/>
      <c r="JS40" s="6" t="n"/>
      <c r="JT40" s="6" t="n"/>
      <c r="JU40" s="6" t="n"/>
      <c r="JV40" s="6" t="n"/>
      <c r="JW40" s="6" t="n"/>
      <c r="JX40" s="6" t="n"/>
      <c r="JY40" s="6" t="n"/>
      <c r="JZ40" s="6" t="n"/>
      <c r="KA40" s="6" t="n"/>
      <c r="KB40" s="6" t="n"/>
      <c r="KC40" s="6" t="n"/>
      <c r="KD40" s="6" t="n"/>
      <c r="KE40" s="6" t="n"/>
      <c r="KF40" s="6" t="n"/>
      <c r="KG40" s="20">
        <f>IFERROR(ROUND(AVERAGE(JM40,JO40,JQ40,JS40,JU40,JW40,JY40,KA40,KC40,KE40), 2), "")</f>
        <v/>
      </c>
      <c r="KH40" s="6" t="n"/>
      <c r="KI40" s="6" t="n"/>
      <c r="KJ40" s="6" t="n"/>
      <c r="KK40" s="6" t="n"/>
      <c r="KL40" s="6" t="n"/>
      <c r="KM40" s="6" t="n"/>
      <c r="KN40" s="6" t="n"/>
      <c r="KO40" s="6" t="n"/>
      <c r="KP40" s="6" t="n"/>
      <c r="KQ40" s="6" t="n"/>
      <c r="KR40" s="6" t="n"/>
      <c r="KS40" s="6" t="n"/>
      <c r="KT40" s="6" t="n"/>
      <c r="KU40" s="6" t="n"/>
      <c r="KV40" s="6" t="n"/>
      <c r="KW40" s="6" t="n"/>
      <c r="KX40" s="6" t="n"/>
      <c r="KY40" s="6" t="n"/>
      <c r="KZ40" s="6" t="n"/>
      <c r="LA40" s="6" t="n"/>
      <c r="LB40" s="6" t="n"/>
      <c r="LC40" s="6" t="n"/>
      <c r="LD40" s="6" t="n"/>
      <c r="LE40" s="6" t="n"/>
      <c r="LF40" s="6" t="n"/>
      <c r="LG40" s="6" t="n"/>
      <c r="LH40" s="6" t="n"/>
      <c r="LI40" s="6" t="n"/>
      <c r="LJ40" s="6" t="n"/>
      <c r="LK40" s="6" t="n"/>
      <c r="LL40" s="6">
        <f>IF(COUNTA(KH40:LK40)=0, "", SUMPRODUCT(--ISNUMBER(SEARCH("m", KH40:LK40))))</f>
        <v/>
      </c>
      <c r="LM40" s="6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14" customWidth="1" min="8" max="8"/>
    <col width="40" customWidth="1" min="9" max="9"/>
    <col width="12" customWidth="1" min="10" max="10"/>
    <col width="12" customWidth="1" min="11" max="11"/>
  </cols>
  <sheetData>
    <row r="1">
      <c r="A1" s="1" t="inlineStr">
        <is>
          <t>COLEGIUL 'EMIL NEGRUȚIU' TURDA — EVIDENȚĂ CENTRALIZATĂ ABSENȚE &amp; NOTA LA PURTARE</t>
        </is>
      </c>
    </row>
    <row r="2">
      <c r="A2" s="2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>
      <c r="A8" s="5" t="inlineStr">
        <is>
          <t>NR.</t>
        </is>
      </c>
      <c r="B8" s="5" t="inlineStr">
        <is>
          <t>NUME SI PRENUME</t>
        </is>
      </c>
      <c r="C8" s="5" t="inlineStr">
        <is>
          <t>NR. MATR.</t>
        </is>
      </c>
      <c r="D8" s="5" t="inlineStr">
        <is>
          <t>RM / PG</t>
        </is>
      </c>
      <c r="E8" s="5" t="inlineStr">
        <is>
          <t>ABS. NEMOTIVATE</t>
        </is>
      </c>
      <c r="F8" s="5" t="inlineStr">
        <is>
          <t>ABS. MOTIVATE</t>
        </is>
      </c>
      <c r="G8" s="5" t="inlineStr">
        <is>
          <t>TOTAL ABSENȚE</t>
        </is>
      </c>
      <c r="H8" s="5" t="inlineStr">
        <is>
          <t>NOTĂ PURTARE</t>
        </is>
      </c>
      <c r="I8" s="5" t="inlineStr">
        <is>
          <t>MĂSURI DISCIPLINARE / OBSERVAȚII</t>
        </is>
      </c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19">
        <f>IF(SUM('Cultură Generală'!F9, 'Module Tehnologice'!F9)=0, "", SUM('Cultură Generală'!F9, 'Module Tehnologice'!F9))</f>
        <v/>
      </c>
      <c r="F9" s="18">
        <f>IF(SUM('Cultură Generală'!G9, 'Module Tehnologice'!G9)=0, "", SUM('Cultură Generală'!G9, 'Module Tehnologice'!G9))</f>
        <v/>
      </c>
      <c r="G9" s="20">
        <f>IF(AND(E9="", F9=""), "", SUM(E9:F9))</f>
        <v/>
      </c>
      <c r="H9" s="20">
        <f>IF(E9="", 10, MAX(1, 10 - INT(E9/20)))</f>
        <v/>
      </c>
      <c r="I9" s="6">
        <f>IF(E9&gt;=40, "Preaviz exmatriculare", IF(E9&gt;=20, "Avertisment scris / Scădere nota purtare", "Purtare exemplară"))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19">
        <f>IF(SUM('Cultură Generală'!F10, 'Module Tehnologice'!F10)=0, "", SUM('Cultură Generală'!F10, 'Module Tehnologice'!F10))</f>
        <v/>
      </c>
      <c r="F10" s="18">
        <f>IF(SUM('Cultură Generală'!G10, 'Module Tehnologice'!G10)=0, "", SUM('Cultură Generală'!G10, 'Module Tehnologice'!G10))</f>
        <v/>
      </c>
      <c r="G10" s="20">
        <f>IF(AND(E10="", F10=""), "", SUM(E10:F10))</f>
        <v/>
      </c>
      <c r="H10" s="20">
        <f>IF(E10="", 10, MAX(1, 10 - INT(E10/20)))</f>
        <v/>
      </c>
      <c r="I10" s="6">
        <f>IF(E10&gt;=40, "Preaviz exmatriculare", IF(E10&gt;=20, "Avertisment scris / Scădere nota purtare", "Purtare exemplară"))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19">
        <f>IF(SUM('Cultură Generală'!F11, 'Module Tehnologice'!F11)=0, "", SUM('Cultură Generală'!F11, 'Module Tehnologice'!F11))</f>
        <v/>
      </c>
      <c r="F11" s="18">
        <f>IF(SUM('Cultură Generală'!G11, 'Module Tehnologice'!G11)=0, "", SUM('Cultură Generală'!G11, 'Module Tehnologice'!G11))</f>
        <v/>
      </c>
      <c r="G11" s="20">
        <f>IF(AND(E11="", F11=""), "", SUM(E11:F11))</f>
        <v/>
      </c>
      <c r="H11" s="20">
        <f>IF(E11="", 10, MAX(1, 10 - INT(E11/20)))</f>
        <v/>
      </c>
      <c r="I11" s="6">
        <f>IF(E11&gt;=40, "Preaviz exmatriculare", IF(E11&gt;=20, "Avertisment scris / Scădere nota purtare", "Purtare exemplară"))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19">
        <f>IF(SUM('Cultură Generală'!F12, 'Module Tehnologice'!F12)=0, "", SUM('Cultură Generală'!F12, 'Module Tehnologice'!F12))</f>
        <v/>
      </c>
      <c r="F12" s="18">
        <f>IF(SUM('Cultură Generală'!G12, 'Module Tehnologice'!G12)=0, "", SUM('Cultură Generală'!G12, 'Module Tehnologice'!G12))</f>
        <v/>
      </c>
      <c r="G12" s="20">
        <f>IF(AND(E12="", F12=""), "", SUM(E12:F12))</f>
        <v/>
      </c>
      <c r="H12" s="20">
        <f>IF(E12="", 10, MAX(1, 10 - INT(E12/20)))</f>
        <v/>
      </c>
      <c r="I12" s="6">
        <f>IF(E12&gt;=40, "Preaviz exmatriculare", IF(E12&gt;=20, "Avertisment scris / Scădere nota purtare", "Purtare exemplară"))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19">
        <f>IF(SUM('Cultură Generală'!F13, 'Module Tehnologice'!F13)=0, "", SUM('Cultură Generală'!F13, 'Module Tehnologice'!F13))</f>
        <v/>
      </c>
      <c r="F13" s="18">
        <f>IF(SUM('Cultură Generală'!G13, 'Module Tehnologice'!G13)=0, "", SUM('Cultură Generală'!G13, 'Module Tehnologice'!G13))</f>
        <v/>
      </c>
      <c r="G13" s="20">
        <f>IF(AND(E13="", F13=""), "", SUM(E13:F13))</f>
        <v/>
      </c>
      <c r="H13" s="20">
        <f>IF(E13="", 10, MAX(1, 10 - INT(E13/20)))</f>
        <v/>
      </c>
      <c r="I13" s="6">
        <f>IF(E13&gt;=40, "Preaviz exmatriculare", IF(E13&gt;=20, "Avertisment scris / Scădere nota purtare", "Purtare exemplară"))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19">
        <f>IF(SUM('Cultură Generală'!F14, 'Module Tehnologice'!F14)=0, "", SUM('Cultură Generală'!F14, 'Module Tehnologice'!F14))</f>
        <v/>
      </c>
      <c r="F14" s="18">
        <f>IF(SUM('Cultură Generală'!G14, 'Module Tehnologice'!G14)=0, "", SUM('Cultură Generală'!G14, 'Module Tehnologice'!G14))</f>
        <v/>
      </c>
      <c r="G14" s="20">
        <f>IF(AND(E14="", F14=""), "", SUM(E14:F14))</f>
        <v/>
      </c>
      <c r="H14" s="20">
        <f>IF(E14="", 10, MAX(1, 10 - INT(E14/20)))</f>
        <v/>
      </c>
      <c r="I14" s="6">
        <f>IF(E14&gt;=40, "Preaviz exmatriculare", IF(E14&gt;=20, "Avertisment scris / Scădere nota purtare", "Purtare exemplară"))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19">
        <f>IF(SUM('Cultură Generală'!F15, 'Module Tehnologice'!F15)=0, "", SUM('Cultură Generală'!F15, 'Module Tehnologice'!F15))</f>
        <v/>
      </c>
      <c r="F15" s="18">
        <f>IF(SUM('Cultură Generală'!G15, 'Module Tehnologice'!G15)=0, "", SUM('Cultură Generală'!G15, 'Module Tehnologice'!G15))</f>
        <v/>
      </c>
      <c r="G15" s="20">
        <f>IF(AND(E15="", F15=""), "", SUM(E15:F15))</f>
        <v/>
      </c>
      <c r="H15" s="20">
        <f>IF(E15="", 10, MAX(1, 10 - INT(E15/20)))</f>
        <v/>
      </c>
      <c r="I15" s="6">
        <f>IF(E15&gt;=40, "Preaviz exmatriculare", IF(E15&gt;=20, "Avertisment scris / Scădere nota purtare", "Purtare exemplară"))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19">
        <f>IF(SUM('Cultură Generală'!F16, 'Module Tehnologice'!F16)=0, "", SUM('Cultură Generală'!F16, 'Module Tehnologice'!F16))</f>
        <v/>
      </c>
      <c r="F16" s="18">
        <f>IF(SUM('Cultură Generală'!G16, 'Module Tehnologice'!G16)=0, "", SUM('Cultură Generală'!G16, 'Module Tehnologice'!G16))</f>
        <v/>
      </c>
      <c r="G16" s="20">
        <f>IF(AND(E16="", F16=""), "", SUM(E16:F16))</f>
        <v/>
      </c>
      <c r="H16" s="20">
        <f>IF(E16="", 10, MAX(1, 10 - INT(E16/20)))</f>
        <v/>
      </c>
      <c r="I16" s="6">
        <f>IF(E16&gt;=40, "Preaviz exmatriculare", IF(E16&gt;=20, "Avertisment scris / Scădere nota purtare", "Purtare exemplară"))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19">
        <f>IF(SUM('Cultură Generală'!F17, 'Module Tehnologice'!F17)=0, "", SUM('Cultură Generală'!F17, 'Module Tehnologice'!F17))</f>
        <v/>
      </c>
      <c r="F17" s="18">
        <f>IF(SUM('Cultură Generală'!G17, 'Module Tehnologice'!G17)=0, "", SUM('Cultură Generală'!G17, 'Module Tehnologice'!G17))</f>
        <v/>
      </c>
      <c r="G17" s="20">
        <f>IF(AND(E17="", F17=""), "", SUM(E17:F17))</f>
        <v/>
      </c>
      <c r="H17" s="20">
        <f>IF(E17="", 10, MAX(1, 10 - INT(E17/20)))</f>
        <v/>
      </c>
      <c r="I17" s="6">
        <f>IF(E17&gt;=40, "Preaviz exmatriculare", IF(E17&gt;=20, "Avertisment scris / Scădere nota purtare", "Purtare exemplară"))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19">
        <f>IF(SUM('Cultură Generală'!F18, 'Module Tehnologice'!F18)=0, "", SUM('Cultură Generală'!F18, 'Module Tehnologice'!F18))</f>
        <v/>
      </c>
      <c r="F18" s="18">
        <f>IF(SUM('Cultură Generală'!G18, 'Module Tehnologice'!G18)=0, "", SUM('Cultură Generală'!G18, 'Module Tehnologice'!G18))</f>
        <v/>
      </c>
      <c r="G18" s="20">
        <f>IF(AND(E18="", F18=""), "", SUM(E18:F18))</f>
        <v/>
      </c>
      <c r="H18" s="20">
        <f>IF(E18="", 10, MAX(1, 10 - INT(E18/20)))</f>
        <v/>
      </c>
      <c r="I18" s="6">
        <f>IF(E18&gt;=40, "Preaviz exmatriculare", IF(E18&gt;=20, "Avertisment scris / Scădere nota purtare", "Purtare exemplară"))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19">
        <f>IF(SUM('Cultură Generală'!F19, 'Module Tehnologice'!F19)=0, "", SUM('Cultură Generală'!F19, 'Module Tehnologice'!F19))</f>
        <v/>
      </c>
      <c r="F19" s="18">
        <f>IF(SUM('Cultură Generală'!G19, 'Module Tehnologice'!G19)=0, "", SUM('Cultură Generală'!G19, 'Module Tehnologice'!G19))</f>
        <v/>
      </c>
      <c r="G19" s="20">
        <f>IF(AND(E19="", F19=""), "", SUM(E19:F19))</f>
        <v/>
      </c>
      <c r="H19" s="20">
        <f>IF(E19="", 10, MAX(1, 10 - INT(E19/20)))</f>
        <v/>
      </c>
      <c r="I19" s="6">
        <f>IF(E19&gt;=40, "Preaviz exmatriculare", IF(E19&gt;=20, "Avertisment scris / Scădere nota purtare", "Purtare exemplară"))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19">
        <f>IF(SUM('Cultură Generală'!F20, 'Module Tehnologice'!F20)=0, "", SUM('Cultură Generală'!F20, 'Module Tehnologice'!F20))</f>
        <v/>
      </c>
      <c r="F20" s="18">
        <f>IF(SUM('Cultură Generală'!G20, 'Module Tehnologice'!G20)=0, "", SUM('Cultură Generală'!G20, 'Module Tehnologice'!G20))</f>
        <v/>
      </c>
      <c r="G20" s="20">
        <f>IF(AND(E20="", F20=""), "", SUM(E20:F20))</f>
        <v/>
      </c>
      <c r="H20" s="20">
        <f>IF(E20="", 10, MAX(1, 10 - INT(E20/20)))</f>
        <v/>
      </c>
      <c r="I20" s="6">
        <f>IF(E20&gt;=40, "Preaviz exmatriculare", IF(E20&gt;=20, "Avertisment scris / Scădere nota purtare", "Purtare exemplară"))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19">
        <f>IF(SUM('Cultură Generală'!F21, 'Module Tehnologice'!F21)=0, "", SUM('Cultură Generală'!F21, 'Module Tehnologice'!F21))</f>
        <v/>
      </c>
      <c r="F21" s="18">
        <f>IF(SUM('Cultură Generală'!G21, 'Module Tehnologice'!G21)=0, "", SUM('Cultură Generală'!G21, 'Module Tehnologice'!G21))</f>
        <v/>
      </c>
      <c r="G21" s="20">
        <f>IF(AND(E21="", F21=""), "", SUM(E21:F21))</f>
        <v/>
      </c>
      <c r="H21" s="20">
        <f>IF(E21="", 10, MAX(1, 10 - INT(E21/20)))</f>
        <v/>
      </c>
      <c r="I21" s="6">
        <f>IF(E21&gt;=40, "Preaviz exmatriculare", IF(E21&gt;=20, "Avertisment scris / Scădere nota purtare", "Purtare exemplară"))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19">
        <f>IF(SUM('Cultură Generală'!F22, 'Module Tehnologice'!F22)=0, "", SUM('Cultură Generală'!F22, 'Module Tehnologice'!F22))</f>
        <v/>
      </c>
      <c r="F22" s="18">
        <f>IF(SUM('Cultură Generală'!G22, 'Module Tehnologice'!G22)=0, "", SUM('Cultură Generală'!G22, 'Module Tehnologice'!G22))</f>
        <v/>
      </c>
      <c r="G22" s="20">
        <f>IF(AND(E22="", F22=""), "", SUM(E22:F22))</f>
        <v/>
      </c>
      <c r="H22" s="20">
        <f>IF(E22="", 10, MAX(1, 10 - INT(E22/20)))</f>
        <v/>
      </c>
      <c r="I22" s="6">
        <f>IF(E22&gt;=40, "Preaviz exmatriculare", IF(E22&gt;=20, "Avertisment scris / Scădere nota purtare", "Purtare exemplară"))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19">
        <f>IF(SUM('Cultură Generală'!F23, 'Module Tehnologice'!F23)=0, "", SUM('Cultură Generală'!F23, 'Module Tehnologice'!F23))</f>
        <v/>
      </c>
      <c r="F23" s="18">
        <f>IF(SUM('Cultură Generală'!G23, 'Module Tehnologice'!G23)=0, "", SUM('Cultură Generală'!G23, 'Module Tehnologice'!G23))</f>
        <v/>
      </c>
      <c r="G23" s="20">
        <f>IF(AND(E23="", F23=""), "", SUM(E23:F23))</f>
        <v/>
      </c>
      <c r="H23" s="20">
        <f>IF(E23="", 10, MAX(1, 10 - INT(E23/20)))</f>
        <v/>
      </c>
      <c r="I23" s="6">
        <f>IF(E23&gt;=40, "Preaviz exmatriculare", IF(E23&gt;=20, "Avertisment scris / Scădere nota purtare", "Purtare exemplară"))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19">
        <f>IF(SUM('Cultură Generală'!F24, 'Module Tehnologice'!F24)=0, "", SUM('Cultură Generală'!F24, 'Module Tehnologice'!F24))</f>
        <v/>
      </c>
      <c r="F24" s="18">
        <f>IF(SUM('Cultură Generală'!G24, 'Module Tehnologice'!G24)=0, "", SUM('Cultură Generală'!G24, 'Module Tehnologice'!G24))</f>
        <v/>
      </c>
      <c r="G24" s="20">
        <f>IF(AND(E24="", F24=""), "", SUM(E24:F24))</f>
        <v/>
      </c>
      <c r="H24" s="20">
        <f>IF(E24="", 10, MAX(1, 10 - INT(E24/20)))</f>
        <v/>
      </c>
      <c r="I24" s="6">
        <f>IF(E24&gt;=40, "Preaviz exmatriculare", IF(E24&gt;=20, "Avertisment scris / Scădere nota purtare", "Purtare exemplară"))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19">
        <f>IF(SUM('Cultură Generală'!F25, 'Module Tehnologice'!F25)=0, "", SUM('Cultură Generală'!F25, 'Module Tehnologice'!F25))</f>
        <v/>
      </c>
      <c r="F25" s="18">
        <f>IF(SUM('Cultură Generală'!G25, 'Module Tehnologice'!G25)=0, "", SUM('Cultură Generală'!G25, 'Module Tehnologice'!G25))</f>
        <v/>
      </c>
      <c r="G25" s="20">
        <f>IF(AND(E25="", F25=""), "", SUM(E25:F25))</f>
        <v/>
      </c>
      <c r="H25" s="20">
        <f>IF(E25="", 10, MAX(1, 10 - INT(E25/20)))</f>
        <v/>
      </c>
      <c r="I25" s="6">
        <f>IF(E25&gt;=40, "Preaviz exmatriculare", IF(E25&gt;=20, "Avertisment scris / Scădere nota purtare", "Purtare exemplară"))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19">
        <f>IF(SUM('Cultură Generală'!F26, 'Module Tehnologice'!F26)=0, "", SUM('Cultură Generală'!F26, 'Module Tehnologice'!F26))</f>
        <v/>
      </c>
      <c r="F26" s="18">
        <f>IF(SUM('Cultură Generală'!G26, 'Module Tehnologice'!G26)=0, "", SUM('Cultură Generală'!G26, 'Module Tehnologice'!G26))</f>
        <v/>
      </c>
      <c r="G26" s="20">
        <f>IF(AND(E26="", F26=""), "", SUM(E26:F26))</f>
        <v/>
      </c>
      <c r="H26" s="20">
        <f>IF(E26="", 10, MAX(1, 10 - INT(E26/20)))</f>
        <v/>
      </c>
      <c r="I26" s="6">
        <f>IF(E26&gt;=40, "Preaviz exmatriculare", IF(E26&gt;=20, "Avertisment scris / Scădere nota purtare", "Purtare exemplară"))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19">
        <f>IF(SUM('Cultură Generală'!F27, 'Module Tehnologice'!F27)=0, "", SUM('Cultură Generală'!F27, 'Module Tehnologice'!F27))</f>
        <v/>
      </c>
      <c r="F27" s="18">
        <f>IF(SUM('Cultură Generală'!G27, 'Module Tehnologice'!G27)=0, "", SUM('Cultură Generală'!G27, 'Module Tehnologice'!G27))</f>
        <v/>
      </c>
      <c r="G27" s="20">
        <f>IF(AND(E27="", F27=""), "", SUM(E27:F27))</f>
        <v/>
      </c>
      <c r="H27" s="20">
        <f>IF(E27="", 10, MAX(1, 10 - INT(E27/20)))</f>
        <v/>
      </c>
      <c r="I27" s="6">
        <f>IF(E27&gt;=40, "Preaviz exmatriculare", IF(E27&gt;=20, "Avertisment scris / Scădere nota purtare", "Purtare exemplară"))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19">
        <f>IF(SUM('Cultură Generală'!F28, 'Module Tehnologice'!F28)=0, "", SUM('Cultură Generală'!F28, 'Module Tehnologice'!F28))</f>
        <v/>
      </c>
      <c r="F28" s="18">
        <f>IF(SUM('Cultură Generală'!G28, 'Module Tehnologice'!G28)=0, "", SUM('Cultură Generală'!G28, 'Module Tehnologice'!G28))</f>
        <v/>
      </c>
      <c r="G28" s="20">
        <f>IF(AND(E28="", F28=""), "", SUM(E28:F28))</f>
        <v/>
      </c>
      <c r="H28" s="20">
        <f>IF(E28="", 10, MAX(1, 10 - INT(E28/20)))</f>
        <v/>
      </c>
      <c r="I28" s="6">
        <f>IF(E28&gt;=40, "Preaviz exmatriculare", IF(E28&gt;=20, "Avertisment scris / Scădere nota purtare", "Purtare exemplară"))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19">
        <f>IF(SUM('Cultură Generală'!F29, 'Module Tehnologice'!F29)=0, "", SUM('Cultură Generală'!F29, 'Module Tehnologice'!F29))</f>
        <v/>
      </c>
      <c r="F29" s="18">
        <f>IF(SUM('Cultură Generală'!G29, 'Module Tehnologice'!G29)=0, "", SUM('Cultură Generală'!G29, 'Module Tehnologice'!G29))</f>
        <v/>
      </c>
      <c r="G29" s="20">
        <f>IF(AND(E29="", F29=""), "", SUM(E29:F29))</f>
        <v/>
      </c>
      <c r="H29" s="20">
        <f>IF(E29="", 10, MAX(1, 10 - INT(E29/20)))</f>
        <v/>
      </c>
      <c r="I29" s="6">
        <f>IF(E29&gt;=40, "Preaviz exmatriculare", IF(E29&gt;=20, "Avertisment scris / Scădere nota purtare", "Purtare exemplară"))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19">
        <f>IF(SUM('Cultură Generală'!F30, 'Module Tehnologice'!F30)=0, "", SUM('Cultură Generală'!F30, 'Module Tehnologice'!F30))</f>
        <v/>
      </c>
      <c r="F30" s="18">
        <f>IF(SUM('Cultură Generală'!G30, 'Module Tehnologice'!G30)=0, "", SUM('Cultură Generală'!G30, 'Module Tehnologice'!G30))</f>
        <v/>
      </c>
      <c r="G30" s="20">
        <f>IF(AND(E30="", F30=""), "", SUM(E30:F30))</f>
        <v/>
      </c>
      <c r="H30" s="20">
        <f>IF(E30="", 10, MAX(1, 10 - INT(E30/20)))</f>
        <v/>
      </c>
      <c r="I30" s="6">
        <f>IF(E30&gt;=40, "Preaviz exmatriculare", IF(E30&gt;=20, "Avertisment scris / Scădere nota purtare", "Purtare exemplară"))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19">
        <f>IF(SUM('Cultură Generală'!F31, 'Module Tehnologice'!F31)=0, "", SUM('Cultură Generală'!F31, 'Module Tehnologice'!F31))</f>
        <v/>
      </c>
      <c r="F31" s="18">
        <f>IF(SUM('Cultură Generală'!G31, 'Module Tehnologice'!G31)=0, "", SUM('Cultură Generală'!G31, 'Module Tehnologice'!G31))</f>
        <v/>
      </c>
      <c r="G31" s="20">
        <f>IF(AND(E31="", F31=""), "", SUM(E31:F31))</f>
        <v/>
      </c>
      <c r="H31" s="20">
        <f>IF(E31="", 10, MAX(1, 10 - INT(E31/20)))</f>
        <v/>
      </c>
      <c r="I31" s="6">
        <f>IF(E31&gt;=40, "Preaviz exmatriculare", IF(E31&gt;=20, "Avertisment scris / Scădere nota purtare", "Purtare exemplară"))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19">
        <f>IF(SUM('Cultură Generală'!F32, 'Module Tehnologice'!F32)=0, "", SUM('Cultură Generală'!F32, 'Module Tehnologice'!F32))</f>
        <v/>
      </c>
      <c r="F32" s="18">
        <f>IF(SUM('Cultură Generală'!G32, 'Module Tehnologice'!G32)=0, "", SUM('Cultură Generală'!G32, 'Module Tehnologice'!G32))</f>
        <v/>
      </c>
      <c r="G32" s="20">
        <f>IF(AND(E32="", F32=""), "", SUM(E32:F32))</f>
        <v/>
      </c>
      <c r="H32" s="20">
        <f>IF(E32="", 10, MAX(1, 10 - INT(E32/20)))</f>
        <v/>
      </c>
      <c r="I32" s="6">
        <f>IF(E32&gt;=40, "Preaviz exmatriculare", IF(E32&gt;=20, "Avertisment scris / Scădere nota purtare", "Purtare exemplară"))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19">
        <f>IF(SUM('Cultură Generală'!F33, 'Module Tehnologice'!F33)=0, "", SUM('Cultură Generală'!F33, 'Module Tehnologice'!F33))</f>
        <v/>
      </c>
      <c r="F33" s="18">
        <f>IF(SUM('Cultură Generală'!G33, 'Module Tehnologice'!G33)=0, "", SUM('Cultură Generală'!G33, 'Module Tehnologice'!G33))</f>
        <v/>
      </c>
      <c r="G33" s="20">
        <f>IF(AND(E33="", F33=""), "", SUM(E33:F33))</f>
        <v/>
      </c>
      <c r="H33" s="20">
        <f>IF(E33="", 10, MAX(1, 10 - INT(E33/20)))</f>
        <v/>
      </c>
      <c r="I33" s="6">
        <f>IF(E33&gt;=40, "Preaviz exmatriculare", IF(E33&gt;=20, "Avertisment scris / Scădere nota purtare", "Purtare exemplară"))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19">
        <f>IF(SUM('Cultură Generală'!F34, 'Module Tehnologice'!F34)=0, "", SUM('Cultură Generală'!F34, 'Module Tehnologice'!F34))</f>
        <v/>
      </c>
      <c r="F34" s="18">
        <f>IF(SUM('Cultură Generală'!G34, 'Module Tehnologice'!G34)=0, "", SUM('Cultură Generală'!G34, 'Module Tehnologice'!G34))</f>
        <v/>
      </c>
      <c r="G34" s="20">
        <f>IF(AND(E34="", F34=""), "", SUM(E34:F34))</f>
        <v/>
      </c>
      <c r="H34" s="20">
        <f>IF(E34="", 10, MAX(1, 10 - INT(E34/20)))</f>
        <v/>
      </c>
      <c r="I34" s="6">
        <f>IF(E34&gt;=40, "Preaviz exmatriculare", IF(E34&gt;=20, "Avertisment scris / Scădere nota purtare", "Purtare exemplară"))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19">
        <f>IF(SUM('Cultură Generală'!F35, 'Module Tehnologice'!F35)=0, "", SUM('Cultură Generală'!F35, 'Module Tehnologice'!F35))</f>
        <v/>
      </c>
      <c r="F35" s="18">
        <f>IF(SUM('Cultură Generală'!G35, 'Module Tehnologice'!G35)=0, "", SUM('Cultură Generală'!G35, 'Module Tehnologice'!G35))</f>
        <v/>
      </c>
      <c r="G35" s="20">
        <f>IF(AND(E35="", F35=""), "", SUM(E35:F35))</f>
        <v/>
      </c>
      <c r="H35" s="20">
        <f>IF(E35="", 10, MAX(1, 10 - INT(E35/20)))</f>
        <v/>
      </c>
      <c r="I35" s="6">
        <f>IF(E35&gt;=40, "Preaviz exmatriculare", IF(E35&gt;=20, "Avertisment scris / Scădere nota purtare", "Purtare exemplară"))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19">
        <f>IF(SUM('Cultură Generală'!F36, 'Module Tehnologice'!F36)=0, "", SUM('Cultură Generală'!F36, 'Module Tehnologice'!F36))</f>
        <v/>
      </c>
      <c r="F36" s="18">
        <f>IF(SUM('Cultură Generală'!G36, 'Module Tehnologice'!G36)=0, "", SUM('Cultură Generală'!G36, 'Module Tehnologice'!G36))</f>
        <v/>
      </c>
      <c r="G36" s="20">
        <f>IF(AND(E36="", F36=""), "", SUM(E36:F36))</f>
        <v/>
      </c>
      <c r="H36" s="20">
        <f>IF(E36="", 10, MAX(1, 10 - INT(E36/20)))</f>
        <v/>
      </c>
      <c r="I36" s="6">
        <f>IF(E36&gt;=40, "Preaviz exmatriculare", IF(E36&gt;=20, "Avertisment scris / Scădere nota purtare", "Purtare exemplară"))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19">
        <f>IF(SUM('Cultură Generală'!F37, 'Module Tehnologice'!F37)=0, "", SUM('Cultură Generală'!F37, 'Module Tehnologice'!F37))</f>
        <v/>
      </c>
      <c r="F37" s="18">
        <f>IF(SUM('Cultură Generală'!G37, 'Module Tehnologice'!G37)=0, "", SUM('Cultură Generală'!G37, 'Module Tehnologice'!G37))</f>
        <v/>
      </c>
      <c r="G37" s="20">
        <f>IF(AND(E37="", F37=""), "", SUM(E37:F37))</f>
        <v/>
      </c>
      <c r="H37" s="20">
        <f>IF(E37="", 10, MAX(1, 10 - INT(E37/20)))</f>
        <v/>
      </c>
      <c r="I37" s="6">
        <f>IF(E37&gt;=40, "Preaviz exmatriculare", IF(E37&gt;=20, "Avertisment scris / Scădere nota purtare", "Purtare exemplară"))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19">
        <f>IF(SUM('Cultură Generală'!F38, 'Module Tehnologice'!F38)=0, "", SUM('Cultură Generală'!F38, 'Module Tehnologice'!F38))</f>
        <v/>
      </c>
      <c r="F38" s="18">
        <f>IF(SUM('Cultură Generală'!G38, 'Module Tehnologice'!G38)=0, "", SUM('Cultură Generală'!G38, 'Module Tehnologice'!G38))</f>
        <v/>
      </c>
      <c r="G38" s="20">
        <f>IF(AND(E38="", F38=""), "", SUM(E38:F38))</f>
        <v/>
      </c>
      <c r="H38" s="20">
        <f>IF(E38="", 10, MAX(1, 10 - INT(E38/20)))</f>
        <v/>
      </c>
      <c r="I38" s="6">
        <f>IF(E38&gt;=40, "Preaviz exmatriculare", IF(E38&gt;=20, "Avertisment scris / Scădere nota purtare", "Purtare exemplară"))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19">
        <f>IF(SUM('Cultură Generală'!F39, 'Module Tehnologice'!F39)=0, "", SUM('Cultură Generală'!F39, 'Module Tehnologice'!F39))</f>
        <v/>
      </c>
      <c r="F39" s="18">
        <f>IF(SUM('Cultură Generală'!G39, 'Module Tehnologice'!G39)=0, "", SUM('Cultură Generală'!G39, 'Module Tehnologice'!G39))</f>
        <v/>
      </c>
      <c r="G39" s="20">
        <f>IF(AND(E39="", F39=""), "", SUM(E39:F39))</f>
        <v/>
      </c>
      <c r="H39" s="20">
        <f>IF(E39="", 10, MAX(1, 10 - INT(E39/20)))</f>
        <v/>
      </c>
      <c r="I39" s="6">
        <f>IF(E39&gt;=40, "Preaviz exmatriculare", IF(E39&gt;=20, "Avertisment scris / Scădere nota purtare", "Purtare exemplară"))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19">
        <f>IF(SUM('Cultură Generală'!F40, 'Module Tehnologice'!F40)=0, "", SUM('Cultură Generală'!F40, 'Module Tehnologice'!F40))</f>
        <v/>
      </c>
      <c r="F40" s="18">
        <f>IF(SUM('Cultură Generală'!G40, 'Module Tehnologice'!G40)=0, "", SUM('Cultură Generală'!G40, 'Module Tehnologice'!G40))</f>
        <v/>
      </c>
      <c r="G40" s="20">
        <f>IF(AND(E40="", F40=""), "", SUM(E40:F40))</f>
        <v/>
      </c>
      <c r="H40" s="20">
        <f>IF(E40="", 10, MAX(1, 10 - INT(E40/20)))</f>
        <v/>
      </c>
      <c r="I40" s="6">
        <f>IF(E40&gt;=40, "Preaviz exmatriculare", IF(E40&gt;=20, "Avertisment scris / Scădere nota purtare", "Purtare exemplară"))</f>
        <v/>
      </c>
    </row>
    <row r="41">
      <c r="A41" s="21" t="inlineStr">
        <is>
          <t>TOTAL ABSENȚE CLASĂ</t>
        </is>
      </c>
      <c r="E41" s="22">
        <f>SUM(E9:E40)</f>
        <v/>
      </c>
      <c r="F41" s="23">
        <f>SUM(F9:F40)</f>
        <v/>
      </c>
      <c r="G41" s="2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12" customWidth="1" min="4" max="4"/>
    <col width="12" customWidth="1" min="5" max="5"/>
    <col width="12" customWidth="1" min="6" max="6"/>
    <col width="38" customWidth="1" min="7" max="7"/>
    <col width="20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COLEGIUL 'EMIL NEGRUȚIU' TURDA — FIȘĂ INDIVIDUALĂ DE EVALUARE</t>
        </is>
      </c>
    </row>
    <row r="2">
      <c r="A2" s="2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>
      <c r="A4" s="25" t="inlineStr">
        <is>
          <t>SELECTEAZĂ ELEVUL (1 - 32):</t>
        </is>
      </c>
      <c r="B4" s="26" t="n">
        <v>1</v>
      </c>
      <c r="D4" s="25" t="inlineStr">
        <is>
          <t>NUME SI PRENUME:</t>
        </is>
      </c>
      <c r="E4" s="27">
        <f>VLOOKUP($B$4, 'Centralizator Medii'!$A$9:$D$40, 2, FALSE)</f>
        <v/>
      </c>
    </row>
    <row r="5">
      <c r="D5" s="25" t="inlineStr">
        <is>
          <t>NR. MATRICOL:</t>
        </is>
      </c>
      <c r="E5" s="25">
        <f>VLOOKUP($B$4, 'Centralizator Medii'!$A$9:$D$40, 3, FALSE)</f>
        <v/>
      </c>
      <c r="G5" s="25" t="inlineStr">
        <is>
          <t>RM / PG:</t>
        </is>
      </c>
      <c r="H5" s="25">
        <f>VLOOKUP($B$4, 'Centralizator Medii'!$A$9:$D$40, 4, FALSE)</f>
        <v/>
      </c>
    </row>
    <row r="7">
      <c r="A7" s="3" t="inlineStr">
        <is>
          <t>MEDIA CULTURĂ GEN.</t>
        </is>
      </c>
      <c r="C7" s="3" t="inlineStr">
        <is>
          <t>MEDIA MODULE TH.</t>
        </is>
      </c>
      <c r="E7" s="3" t="inlineStr">
        <is>
          <t>MEDIA GENERALĂ</t>
        </is>
      </c>
      <c r="G7" s="3" t="inlineStr">
        <is>
          <t>NOTĂ PURTARE</t>
        </is>
      </c>
    </row>
    <row r="8">
      <c r="A8" s="4">
        <f>VLOOKUP($B$4, 'Centralizator Medii'!$A$9:$G$40, 5, FALSE)</f>
        <v/>
      </c>
      <c r="C8" s="4">
        <f>VLOOKUP($B$4, 'Centralizator Medii'!$A$9:$G$40, 6, FALSE)</f>
        <v/>
      </c>
      <c r="E8" s="4">
        <f>VLOOKUP($B$4, 'Centralizator Medii'!$A$9:$G$40, 7, FALSE)</f>
        <v/>
      </c>
      <c r="G8" s="4">
        <f>VLOOKUP($B$4, 'Centralizator Medii'!$A$9:$H$40, 8, FALSE)</f>
        <v/>
      </c>
    </row>
    <row r="11">
      <c r="A11" s="28" t="inlineStr">
        <is>
          <t>SITUAȚIA DETALIATĂ PE DISCIPLINE ȘI MODULE</t>
        </is>
      </c>
    </row>
    <row r="12">
      <c r="A12" s="9" t="inlineStr">
        <is>
          <t>DISCIPLINĂ / MODUL</t>
        </is>
      </c>
      <c r="B12" s="40" t="n"/>
      <c r="C12" s="9" t="inlineStr">
        <is>
          <t>CATEGORIE</t>
        </is>
      </c>
      <c r="D12" s="9" t="inlineStr">
        <is>
          <t>MEDIE</t>
        </is>
      </c>
      <c r="E12" s="9" t="inlineStr">
        <is>
          <t>ABS. NEM.</t>
        </is>
      </c>
      <c r="F12" s="9" t="inlineStr">
        <is>
          <t>ABS. MOT.</t>
        </is>
      </c>
      <c r="G12" s="9" t="inlineStr">
        <is>
          <t>DATE ABSENȚE (CALENDARIC)</t>
        </is>
      </c>
    </row>
    <row r="13">
      <c r="A13" s="29" t="inlineStr">
        <is>
          <t>Limba și literatura română</t>
        </is>
      </c>
      <c r="B13" s="42" t="n"/>
      <c r="C13" s="6" t="inlineStr">
        <is>
          <t>Cultură Generală</t>
        </is>
      </c>
      <c r="D13" s="8">
        <f>INDIRECT("'Cultură Generală'!AB" &amp; ($B$4+8))</f>
        <v/>
      </c>
      <c r="E13" s="19">
        <f>INDIRECT("'Cultură Generală'!BH" &amp; ($B$4+8))</f>
        <v/>
      </c>
      <c r="F13" s="18">
        <f>INDIRECT("'Cultură Generală'!BG" &amp; ($B$4+8))</f>
        <v/>
      </c>
      <c r="G13" s="65">
        <f>_xlfn.TEXTJOIN(", ", TRUE, INDIRECT("'Cultură Generală'!AC" &amp; ($B$4+8) &amp; ":BF" &amp; ($B$4+8)))</f>
        <v/>
      </c>
    </row>
    <row r="14">
      <c r="A14" s="29" t="inlineStr">
        <is>
          <t>Limba engleză (L1)</t>
        </is>
      </c>
      <c r="B14" s="42" t="n"/>
      <c r="C14" s="6" t="inlineStr">
        <is>
          <t>Cultură Generală</t>
        </is>
      </c>
      <c r="D14" s="8">
        <f>INDIRECT("'Cultură Generală'!CC" &amp; ($B$4+8))</f>
        <v/>
      </c>
      <c r="E14" s="19">
        <f>INDIRECT("'Cultură Generală'!DI" &amp; ($B$4+8))</f>
        <v/>
      </c>
      <c r="F14" s="18">
        <f>INDIRECT("'Cultură Generală'!DH" &amp; ($B$4+8))</f>
        <v/>
      </c>
      <c r="G14" s="65">
        <f>_xlfn.TEXTJOIN(", ", TRUE, INDIRECT("'Cultură Generală'!CD" &amp; ($B$4+8) &amp; ":DG" &amp; ($B$4+8)))</f>
        <v/>
      </c>
    </row>
    <row r="15">
      <c r="A15" s="29" t="inlineStr">
        <is>
          <t>Limba franceză (L2)</t>
        </is>
      </c>
      <c r="B15" s="42" t="n"/>
      <c r="C15" s="6" t="inlineStr">
        <is>
          <t>Cultură Generală</t>
        </is>
      </c>
      <c r="D15" s="8">
        <f>INDIRECT("'Cultură Generală'!ED" &amp; ($B$4+8))</f>
        <v/>
      </c>
      <c r="E15" s="19">
        <f>INDIRECT("'Cultură Generală'!FJ" &amp; ($B$4+8))</f>
        <v/>
      </c>
      <c r="F15" s="18">
        <f>INDIRECT("'Cultură Generală'!FI" &amp; ($B$4+8))</f>
        <v/>
      </c>
      <c r="G15" s="65">
        <f>_xlfn.TEXTJOIN(", ", TRUE, INDIRECT("'Cultură Generală'!EE" &amp; ($B$4+8) &amp; ":FH" &amp; ($B$4+8)))</f>
        <v/>
      </c>
    </row>
    <row r="16">
      <c r="A16" s="29" t="inlineStr">
        <is>
          <t>Matematică</t>
        </is>
      </c>
      <c r="B16" s="42" t="n"/>
      <c r="C16" s="6" t="inlineStr">
        <is>
          <t>Cultură Generală</t>
        </is>
      </c>
      <c r="D16" s="8">
        <f>INDIRECT("'Cultură Generală'!GE" &amp; ($B$4+8))</f>
        <v/>
      </c>
      <c r="E16" s="19">
        <f>INDIRECT("'Cultură Generală'!HK" &amp; ($B$4+8))</f>
        <v/>
      </c>
      <c r="F16" s="18">
        <f>INDIRECT("'Cultură Generală'!HJ" &amp; ($B$4+8))</f>
        <v/>
      </c>
      <c r="G16" s="65">
        <f>_xlfn.TEXTJOIN(", ", TRUE, INDIRECT("'Cultură Generală'!GF" &amp; ($B$4+8) &amp; ":HI" &amp; ($B$4+8)))</f>
        <v/>
      </c>
    </row>
    <row r="17">
      <c r="A17" s="29" t="inlineStr">
        <is>
          <t>Fizică</t>
        </is>
      </c>
      <c r="B17" s="42" t="n"/>
      <c r="C17" s="6" t="inlineStr">
        <is>
          <t>Cultură Generală</t>
        </is>
      </c>
      <c r="D17" s="8">
        <f>INDIRECT("'Cultură Generală'!IF" &amp; ($B$4+8))</f>
        <v/>
      </c>
      <c r="E17" s="19">
        <f>INDIRECT("'Cultură Generală'!JL" &amp; ($B$4+8))</f>
        <v/>
      </c>
      <c r="F17" s="18">
        <f>INDIRECT("'Cultură Generală'!JK" &amp; ($B$4+8))</f>
        <v/>
      </c>
      <c r="G17" s="65">
        <f>_xlfn.TEXTJOIN(", ", TRUE, INDIRECT("'Cultură Generală'!IG" &amp; ($B$4+8) &amp; ":JJ" &amp; ($B$4+8)))</f>
        <v/>
      </c>
    </row>
    <row r="18">
      <c r="A18" s="29" t="inlineStr">
        <is>
          <t>Chimie</t>
        </is>
      </c>
      <c r="B18" s="42" t="n"/>
      <c r="C18" s="6" t="inlineStr">
        <is>
          <t>Cultură Generală</t>
        </is>
      </c>
      <c r="D18" s="8">
        <f>INDIRECT("'Cultură Generală'!KG" &amp; ($B$4+8))</f>
        <v/>
      </c>
      <c r="E18" s="19">
        <f>INDIRECT("'Cultură Generală'!LM" &amp; ($B$4+8))</f>
        <v/>
      </c>
      <c r="F18" s="18">
        <f>INDIRECT("'Cultură Generală'!LL" &amp; ($B$4+8))</f>
        <v/>
      </c>
      <c r="G18" s="65">
        <f>_xlfn.TEXTJOIN(", ", TRUE, INDIRECT("'Cultură Generală'!KH" &amp; ($B$4+8) &amp; ":LK" &amp; ($B$4+8)))</f>
        <v/>
      </c>
    </row>
    <row r="19">
      <c r="A19" s="29" t="inlineStr">
        <is>
          <t>Biologie</t>
        </is>
      </c>
      <c r="B19" s="42" t="n"/>
      <c r="C19" s="6" t="inlineStr">
        <is>
          <t>Cultură Generală</t>
        </is>
      </c>
      <c r="D19" s="8">
        <f>INDIRECT("'Cultură Generală'!MH" &amp; ($B$4+8))</f>
        <v/>
      </c>
      <c r="E19" s="19">
        <f>INDIRECT("'Cultură Generală'!NN" &amp; ($B$4+8))</f>
        <v/>
      </c>
      <c r="F19" s="18">
        <f>INDIRECT("'Cultură Generală'!NM" &amp; ($B$4+8))</f>
        <v/>
      </c>
      <c r="G19" s="65">
        <f>_xlfn.TEXTJOIN(", ", TRUE, INDIRECT("'Cultură Generală'!MI" &amp; ($B$4+8) &amp; ":NL" &amp; ($B$4+8)))</f>
        <v/>
      </c>
    </row>
    <row r="20">
      <c r="A20" s="29" t="inlineStr">
        <is>
          <t>Istorie</t>
        </is>
      </c>
      <c r="B20" s="42" t="n"/>
      <c r="C20" s="6" t="inlineStr">
        <is>
          <t>Cultură Generală</t>
        </is>
      </c>
      <c r="D20" s="8">
        <f>INDIRECT("'Cultură Generală'!OI" &amp; ($B$4+8))</f>
        <v/>
      </c>
      <c r="E20" s="19">
        <f>INDIRECT("'Cultură Generală'!PO" &amp; ($B$4+8))</f>
        <v/>
      </c>
      <c r="F20" s="18">
        <f>INDIRECT("'Cultură Generală'!PN" &amp; ($B$4+8))</f>
        <v/>
      </c>
      <c r="G20" s="65">
        <f>_xlfn.TEXTJOIN(", ", TRUE, INDIRECT("'Cultură Generală'!OJ" &amp; ($B$4+8) &amp; ":PM" &amp; ($B$4+8)))</f>
        <v/>
      </c>
    </row>
    <row r="21">
      <c r="A21" s="29" t="inlineStr">
        <is>
          <t>Geografie</t>
        </is>
      </c>
      <c r="B21" s="42" t="n"/>
      <c r="C21" s="6" t="inlineStr">
        <is>
          <t>Cultură Generală</t>
        </is>
      </c>
      <c r="D21" s="8">
        <f>INDIRECT("'Cultură Generală'!QJ" &amp; ($B$4+8))</f>
        <v/>
      </c>
      <c r="E21" s="19">
        <f>INDIRECT("'Cultură Generală'!RP" &amp; ($B$4+8))</f>
        <v/>
      </c>
      <c r="F21" s="18">
        <f>INDIRECT("'Cultură Generală'!RO" &amp; ($B$4+8))</f>
        <v/>
      </c>
      <c r="G21" s="65">
        <f>_xlfn.TEXTJOIN(", ", TRUE, INDIRECT("'Cultură Generală'!QK" &amp; ($B$4+8) &amp; ":RN" &amp; ($B$4+8)))</f>
        <v/>
      </c>
    </row>
    <row r="22">
      <c r="A22" s="29" t="inlineStr">
        <is>
          <t>Logică, argumentare și comunicare</t>
        </is>
      </c>
      <c r="B22" s="42" t="n"/>
      <c r="C22" s="6" t="inlineStr">
        <is>
          <t>Cultură Generală</t>
        </is>
      </c>
      <c r="D22" s="8">
        <f>INDIRECT("'Cultură Generală'!SK" &amp; ($B$4+8))</f>
        <v/>
      </c>
      <c r="E22" s="19">
        <f>INDIRECT("'Cultură Generală'!TQ" &amp; ($B$4+8))</f>
        <v/>
      </c>
      <c r="F22" s="18">
        <f>INDIRECT("'Cultură Generală'!TP" &amp; ($B$4+8))</f>
        <v/>
      </c>
      <c r="G22" s="65">
        <f>_xlfn.TEXTJOIN(", ", TRUE, INDIRECT("'Cultură Generală'!SL" &amp; ($B$4+8) &amp; ":TO" &amp; ($B$4+8)))</f>
        <v/>
      </c>
    </row>
    <row r="23">
      <c r="A23" s="29" t="inlineStr">
        <is>
          <t>Informatică / TIC</t>
        </is>
      </c>
      <c r="B23" s="42" t="n"/>
      <c r="C23" s="6" t="inlineStr">
        <is>
          <t>Cultură Generală</t>
        </is>
      </c>
      <c r="D23" s="8">
        <f>INDIRECT("'Cultură Generală'!UL" &amp; ($B$4+8))</f>
        <v/>
      </c>
      <c r="E23" s="19">
        <f>INDIRECT("'Cultură Generală'!VR" &amp; ($B$4+8))</f>
        <v/>
      </c>
      <c r="F23" s="18">
        <f>INDIRECT("'Cultură Generală'!VQ" &amp; ($B$4+8))</f>
        <v/>
      </c>
      <c r="G23" s="65">
        <f>_xlfn.TEXTJOIN(", ", TRUE, INDIRECT("'Cultură Generală'!UM" &amp; ($B$4+8) &amp; ":VP" &amp; ($B$4+8)))</f>
        <v/>
      </c>
    </row>
    <row r="24">
      <c r="A24" s="29" t="inlineStr">
        <is>
          <t>Educație fizică</t>
        </is>
      </c>
      <c r="B24" s="42" t="n"/>
      <c r="C24" s="6" t="inlineStr">
        <is>
          <t>Cultură Generală</t>
        </is>
      </c>
      <c r="D24" s="8">
        <f>INDIRECT("'Cultură Generală'!WM" &amp; ($B$4+8))</f>
        <v/>
      </c>
      <c r="E24" s="19">
        <f>INDIRECT("'Cultură Generală'!XS" &amp; ($B$4+8))</f>
        <v/>
      </c>
      <c r="F24" s="18">
        <f>INDIRECT("'Cultură Generală'!XR" &amp; ($B$4+8))</f>
        <v/>
      </c>
      <c r="G24" s="65">
        <f>_xlfn.TEXTJOIN(", ", TRUE, INDIRECT("'Cultură Generală'!WN" &amp; ($B$4+8) &amp; ":XQ" &amp; ($B$4+8)))</f>
        <v/>
      </c>
    </row>
    <row r="25">
      <c r="A25" s="29" t="inlineStr">
        <is>
          <t>Religie</t>
        </is>
      </c>
      <c r="B25" s="42" t="n"/>
      <c r="C25" s="6" t="inlineStr">
        <is>
          <t>Cultură Generală</t>
        </is>
      </c>
      <c r="D25" s="8">
        <f>INDIRECT("'Cultură Generală'!YN" &amp; ($B$4+8))</f>
        <v/>
      </c>
      <c r="E25" s="19">
        <f>INDIRECT("'Cultură Generală'!ZT" &amp; ($B$4+8))</f>
        <v/>
      </c>
      <c r="F25" s="18">
        <f>INDIRECT("'Cultură Generală'!ZS" &amp; ($B$4+8))</f>
        <v/>
      </c>
      <c r="G25" s="65">
        <f>_xlfn.TEXTJOIN(", ", TRUE, INDIRECT("'Cultură Generală'!YO" &amp; ($B$4+8) &amp; ":ZR" &amp; ($B$4+8)))</f>
        <v/>
      </c>
    </row>
    <row r="26">
      <c r="A26" s="29" t="inlineStr">
        <is>
          <t>Arte vizuale și educație plastică</t>
        </is>
      </c>
      <c r="B26" s="42" t="n"/>
      <c r="C26" s="6" t="inlineStr">
        <is>
          <t>Cultură Generală</t>
        </is>
      </c>
      <c r="D26" s="8">
        <f>INDIRECT("'Cultură Generală'!AAO" &amp; ($B$4+8))</f>
        <v/>
      </c>
      <c r="E26" s="19">
        <f>INDIRECT("'Cultură Generală'!ABU" &amp; ($B$4+8))</f>
        <v/>
      </c>
      <c r="F26" s="18">
        <f>INDIRECT("'Cultură Generală'!ABT" &amp; ($B$4+8))</f>
        <v/>
      </c>
      <c r="G26" s="65">
        <f>_xlfn.TEXTJOIN(", ", TRUE, INDIRECT("'Cultură Generală'!AAP" &amp; ($B$4+8) &amp; ":ABS" &amp; ($B$4+8)))</f>
        <v/>
      </c>
    </row>
    <row r="27">
      <c r="A27" s="29" t="inlineStr">
        <is>
          <t>M1: Bazele contabilității</t>
        </is>
      </c>
      <c r="B27" s="42" t="n"/>
      <c r="C27" s="6" t="inlineStr">
        <is>
          <t>Module Tehnologice</t>
        </is>
      </c>
      <c r="D27" s="8">
        <f>INDIRECT("'Module Tehnologice'!AB" &amp; ($B$4+8))</f>
        <v/>
      </c>
      <c r="E27" s="19">
        <f>INDIRECT("'Module Tehnologice'!BH" &amp; ($B$4+8))</f>
        <v/>
      </c>
      <c r="F27" s="18">
        <f>INDIRECT("'Module Tehnologice'!BG" &amp; ($B$4+8))</f>
        <v/>
      </c>
      <c r="G27" s="65">
        <f>_xlfn.TEXTJOIN(", ", TRUE, INDIRECT("'Module Tehnologice'!AC" &amp; ($B$4+8) &amp; ":BF" &amp; ($B$4+8)))</f>
        <v/>
      </c>
    </row>
    <row r="28">
      <c r="A28" s="29" t="inlineStr">
        <is>
          <t>M2: Etică și comunicare</t>
        </is>
      </c>
      <c r="B28" s="42" t="n"/>
      <c r="C28" s="6" t="inlineStr">
        <is>
          <t>Module Tehnologice</t>
        </is>
      </c>
      <c r="D28" s="8">
        <f>INDIRECT("'Module Tehnologice'!CC" &amp; ($B$4+8))</f>
        <v/>
      </c>
      <c r="E28" s="19">
        <f>INDIRECT("'Module Tehnologice'!DI" &amp; ($B$4+8))</f>
        <v/>
      </c>
      <c r="F28" s="18">
        <f>INDIRECT("'Module Tehnologice'!DH" &amp; ($B$4+8))</f>
        <v/>
      </c>
      <c r="G28" s="65">
        <f>_xlfn.TEXTJOIN(", ", TRUE, INDIRECT("'Module Tehnologice'!CD" &amp; ($B$4+8) &amp; ":DG" &amp; ($B$4+8)))</f>
        <v/>
      </c>
    </row>
    <row r="29">
      <c r="A29" s="29" t="inlineStr">
        <is>
          <t>M3: Structuri de primire turistică</t>
        </is>
      </c>
      <c r="B29" s="42" t="n"/>
      <c r="C29" s="6" t="inlineStr">
        <is>
          <t>Module Tehnologice</t>
        </is>
      </c>
      <c r="D29" s="8">
        <f>INDIRECT("'Module Tehnologice'!ED" &amp; ($B$4+8))</f>
        <v/>
      </c>
      <c r="E29" s="19">
        <f>INDIRECT("'Module Tehnologice'!FJ" &amp; ($B$4+8))</f>
        <v/>
      </c>
      <c r="F29" s="18">
        <f>INDIRECT("'Module Tehnologice'!FI" &amp; ($B$4+8))</f>
        <v/>
      </c>
      <c r="G29" s="65">
        <f>_xlfn.TEXTJOIN(", ", TRUE, INDIRECT("'Module Tehnologice'!EE" &amp; ($B$4+8) &amp; ":FH" &amp; ($B$4+8)))</f>
        <v/>
      </c>
    </row>
    <row r="30">
      <c r="A30" s="29" t="inlineStr">
        <is>
          <t>M4: Procese și calitate în HoReCa</t>
        </is>
      </c>
      <c r="B30" s="42" t="n"/>
      <c r="C30" s="6" t="inlineStr">
        <is>
          <t>Module Tehnologice</t>
        </is>
      </c>
      <c r="D30" s="8">
        <f>INDIRECT("'Module Tehnologice'!GE" &amp; ($B$4+8))</f>
        <v/>
      </c>
      <c r="E30" s="19">
        <f>INDIRECT("'Module Tehnologice'!HK" &amp; ($B$4+8))</f>
        <v/>
      </c>
      <c r="F30" s="18">
        <f>INDIRECT("'Module Tehnologice'!HJ" &amp; ($B$4+8))</f>
        <v/>
      </c>
      <c r="G30" s="65">
        <f>_xlfn.TEXTJOIN(", ", TRUE, INDIRECT("'Module Tehnologice'!GF" &amp; ($B$4+8) &amp; ":HI" &amp; ($B$4+8)))</f>
        <v/>
      </c>
    </row>
    <row r="31">
      <c r="A31" s="29" t="inlineStr">
        <is>
          <t>M5: CDEOȘ (IP) - Instruire Practică</t>
        </is>
      </c>
      <c r="B31" s="42" t="n"/>
      <c r="C31" s="6" t="inlineStr">
        <is>
          <t>Module Tehnologice</t>
        </is>
      </c>
      <c r="D31" s="8">
        <f>INDIRECT("'Module Tehnologice'!IF" &amp; ($B$4+8))</f>
        <v/>
      </c>
      <c r="E31" s="19">
        <f>INDIRECT("'Module Tehnologice'!JL" &amp; ($B$4+8))</f>
        <v/>
      </c>
      <c r="F31" s="18">
        <f>INDIRECT("'Module Tehnologice'!JK" &amp; ($B$4+8))</f>
        <v/>
      </c>
      <c r="G31" s="65">
        <f>_xlfn.TEXTJOIN(", ", TRUE, INDIRECT("'Module Tehnologice'!IG" &amp; ($B$4+8) &amp; ":JJ" &amp; ($B$4+8)))</f>
        <v/>
      </c>
    </row>
    <row r="32">
      <c r="A32" s="29" t="inlineStr">
        <is>
          <t>M6: Curriculum de aprofundare și inserție profesională</t>
        </is>
      </c>
      <c r="B32" s="42" t="n"/>
      <c r="C32" s="6" t="inlineStr">
        <is>
          <t>Module Tehnologice</t>
        </is>
      </c>
      <c r="D32" s="8">
        <f>INDIRECT("'Module Tehnologice'!KG" &amp; ($B$4+8))</f>
        <v/>
      </c>
      <c r="E32" s="19">
        <f>INDIRECT("'Module Tehnologice'!LM" &amp; ($B$4+8))</f>
        <v/>
      </c>
      <c r="F32" s="18">
        <f>INDIRECT("'Module Tehnologice'!LL" &amp; ($B$4+8))</f>
        <v/>
      </c>
      <c r="G32" s="65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23:B23"/>
    <mergeCell ref="A17:B17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5" customWidth="1" min="3" max="3"/>
    <col width="25" customWidth="1" min="4" max="4"/>
    <col width="15" customWidth="1" min="5" max="5"/>
    <col width="25" customWidth="1" min="6" max="6"/>
  </cols>
  <sheetData>
    <row r="2">
      <c r="B2" s="27" t="inlineStr">
        <is>
          <t>COLEGIUL 'EMIL NEGRUȚIU' TURDA</t>
        </is>
      </c>
    </row>
    <row r="3">
      <c r="B3" s="31" t="inlineStr">
        <is>
          <t>Str. Agronomilor Nr. 1, Turda, Jud. Cluj | Tel/Fax: 0264.311.660</t>
        </is>
      </c>
    </row>
    <row r="4">
      <c r="B4" s="25" t="inlineStr">
        <is>
          <t>Nr. Înregistrare: ______ / Data: ____________</t>
        </is>
      </c>
    </row>
    <row r="6">
      <c r="C6" s="25" t="inlineStr">
        <is>
          <t>SELECTAȚI ELEVUL (NR. CRT):</t>
        </is>
      </c>
      <c r="E6" s="26" t="n">
        <v>1</v>
      </c>
    </row>
    <row r="8">
      <c r="B8" s="32" t="inlineStr">
        <is>
          <t>ADEVERINȚĂ DE ELEV</t>
        </is>
      </c>
    </row>
    <row r="10">
      <c r="B10" s="33" t="inlineStr">
        <is>
          <t>Se adeverește prin prezenta că elevul(a):</t>
        </is>
      </c>
    </row>
    <row r="11">
      <c r="B11" s="34">
        <f>VLOOKUP($E$6, 'Centralizator Medii'!$A$9:$D$40, 2, FALSE)</f>
        <v/>
      </c>
    </row>
    <row r="13">
      <c r="B13" s="33">
        <f> 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33">
        <f> 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33" t="inlineStr">
        <is>
          <t>Prezenta adeverință s-a eliberat pentru a-i servi la: _________________________________________.</t>
        </is>
      </c>
    </row>
    <row r="20">
      <c r="B20" s="25" t="inlineStr">
        <is>
          <t>DIRECTOR,</t>
        </is>
      </c>
      <c r="D20" s="25" t="inlineStr">
        <is>
          <t>SECRETAR ȘEF,</t>
        </is>
      </c>
      <c r="F20" s="25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>
      <c r="A1" s="43" t="inlineStr">
        <is>
          <t>COLEGIUL 'EMIL NEGRUȚIU' TURDA — RAPORT SEMESTRIAL / ANUAL AL DIRIGINTELUI</t>
        </is>
      </c>
    </row>
    <row r="2">
      <c r="A2" s="44" t="inlineStr">
        <is>
          <t>CLASA a IX-a TH — Domeniul Turism și Alimentație (Lucrător Hotelier) | An școlar 2026-2027 | Prof. Diriginte: _____________________</t>
        </is>
      </c>
    </row>
    <row r="4">
      <c r="A4" s="45" t="inlineStr">
        <is>
          <t>I. INDICATORI CHEIE DE PERFORMANȚĂ ȘI FRECVENȚĂ (SITUAȚIE GENERALĂ CLASĂ)</t>
        </is>
      </c>
    </row>
    <row r="5">
      <c r="A5" s="46" t="inlineStr">
        <is>
          <t>TOTAL ELEVI ÎNSCRIȘI</t>
        </is>
      </c>
      <c r="B5" s="42" t="n"/>
      <c r="C5" s="46" t="inlineStr">
        <is>
          <t>PROMOVABILITATE (%)</t>
        </is>
      </c>
      <c r="D5" s="42" t="n"/>
      <c r="E5" s="46" t="inlineStr">
        <is>
          <t>MEDIA GENERALĂ CLASĂ</t>
        </is>
      </c>
      <c r="F5" s="42" t="n"/>
      <c r="G5" s="46" t="inlineStr">
        <is>
          <t>MEDIA LA PURTARE</t>
        </is>
      </c>
      <c r="H5" s="42" t="n"/>
      <c r="I5" s="46" t="inlineStr">
        <is>
          <t>TOTAL ABSENȚE</t>
        </is>
      </c>
    </row>
    <row r="6">
      <c r="A6" s="47">
        <f>COUNTA('Centralizator Medii'!B9:B40)</f>
        <v/>
      </c>
      <c r="B6" s="42" t="n"/>
      <c r="C6" s="48">
        <f>IFERROR(COUNTIF('Centralizator Medii'!I9:I40, "Promovat")/COUNTA('Centralizator Medii'!B9:B40), 0)</f>
        <v/>
      </c>
      <c r="D6" s="42" t="n"/>
      <c r="E6" s="47">
        <f>IFERROR(ROUND(AVERAGE('Centralizator Medii'!G9:G40), 2), "-")</f>
        <v/>
      </c>
      <c r="F6" s="42" t="n"/>
      <c r="G6" s="47">
        <f>IFERROR(ROUND(AVERAGE('Centralizator Medii'!H9:H40), 2), "-")</f>
        <v/>
      </c>
      <c r="H6" s="42" t="n"/>
      <c r="I6" s="47">
        <f>'Absențe &amp; Purtare'!G41</f>
        <v/>
      </c>
    </row>
    <row r="8">
      <c r="A8" s="45" t="inlineStr">
        <is>
          <t>II. DISTRIBUȚIA ELEVILOR PE TRANȘE DE MEDII ȘI SITUAȚIA FRECVENȚEI</t>
        </is>
      </c>
    </row>
    <row r="9">
      <c r="A9" s="49" t="inlineStr">
        <is>
          <t>DISTRIBUȚIA MEDIILOR GENERALE</t>
        </is>
      </c>
      <c r="F9" s="49" t="inlineStr">
        <is>
          <t>CENTRALIZATOR ABSENȚE ȘI DISCIPLINĂ</t>
        </is>
      </c>
    </row>
    <row r="10">
      <c r="A10" s="50" t="inlineStr">
        <is>
          <t>TRANȘĂ MEDIE</t>
        </is>
      </c>
      <c r="B10" s="50" t="inlineStr">
        <is>
          <t>NUMĂR ELEVI</t>
        </is>
      </c>
      <c r="D10" s="50" t="inlineStr">
        <is>
          <t>PONDERE (%)</t>
        </is>
      </c>
      <c r="F10" s="51" t="inlineStr">
        <is>
          <t>CATEGORIE ABSENȚE / DISCIPLINĂ</t>
        </is>
      </c>
      <c r="I10" s="50" t="inlineStr">
        <is>
          <t>VALOARE</t>
        </is>
      </c>
    </row>
    <row r="11">
      <c r="A11" s="52" t="inlineStr">
        <is>
          <t>9.00 - 10.00 (Excelent)</t>
        </is>
      </c>
      <c r="B11" s="53">
        <f>COUNTIFS('Centralizator Medii'!G9:G40, "&gt;=9", 'Centralizator Medii'!G9:G40, "&lt;=10")</f>
        <v/>
      </c>
      <c r="C11" s="42" t="n"/>
      <c r="D11" s="54">
        <f>IFERROR(B11/$A$6, 0)</f>
        <v/>
      </c>
      <c r="F11" s="52" t="inlineStr">
        <is>
          <t>Total Absențe Nemotivate Clasă</t>
        </is>
      </c>
      <c r="G11" s="66" t="n"/>
      <c r="H11" s="42" t="n"/>
      <c r="I11" s="53">
        <f>'Absențe &amp; Purtare'!E41</f>
        <v/>
      </c>
    </row>
    <row r="12">
      <c r="A12" s="52" t="inlineStr">
        <is>
          <t>8.00 - 8.99 (Foarte Bine)</t>
        </is>
      </c>
      <c r="B12" s="53">
        <f>COUNTIFS('Centralizator Medii'!G9:G40, "&gt;=8", 'Centralizator Medii'!G9:G40, "&lt;9")</f>
        <v/>
      </c>
      <c r="C12" s="42" t="n"/>
      <c r="D12" s="54">
        <f>IFERROR(B12/$A$6, 0)</f>
        <v/>
      </c>
      <c r="F12" s="52" t="inlineStr">
        <is>
          <t>Total Absențe Motivate Clasă</t>
        </is>
      </c>
      <c r="G12" s="66" t="n"/>
      <c r="H12" s="42" t="n"/>
      <c r="I12" s="53">
        <f>'Absențe &amp; Purtare'!F41</f>
        <v/>
      </c>
    </row>
    <row r="13">
      <c r="A13" s="52" t="inlineStr">
        <is>
          <t>7.00 - 7.99 (Bine)</t>
        </is>
      </c>
      <c r="B13" s="53">
        <f>COUNTIFS('Centralizator Medii'!G9:G40, "&gt;=7", 'Centralizator Medii'!G9:G40, "&lt;8")</f>
        <v/>
      </c>
      <c r="C13" s="42" t="n"/>
      <c r="D13" s="54">
        <f>IFERROR(B13/$A$6, 0)</f>
        <v/>
      </c>
      <c r="F13" s="52" t="inlineStr">
        <is>
          <t>Total General Absențe Clasă</t>
        </is>
      </c>
      <c r="G13" s="66" t="n"/>
      <c r="H13" s="42" t="n"/>
      <c r="I13" s="53">
        <f>'Absențe &amp; Purtare'!G41</f>
        <v/>
      </c>
    </row>
    <row r="14">
      <c r="A14" s="52" t="inlineStr">
        <is>
          <t>6.00 - 6.99 (Satisfăcător)</t>
        </is>
      </c>
      <c r="B14" s="53">
        <f>COUNTIFS('Centralizator Medii'!G9:G40, "&gt;=6", 'Centralizator Medii'!G9:G40, "&lt;7")</f>
        <v/>
      </c>
      <c r="C14" s="42" t="n"/>
      <c r="D14" s="54">
        <f>IFERROR(B14/$A$6, 0)</f>
        <v/>
      </c>
      <c r="F14" s="52" t="inlineStr">
        <is>
          <t>Media Absențelor per Elev</t>
        </is>
      </c>
      <c r="G14" s="66" t="n"/>
      <c r="H14" s="42" t="n"/>
      <c r="I14" s="53">
        <f>IFERROR(ROUND('Absențe &amp; Purtare'!G41/A6, 1), 0)</f>
        <v/>
      </c>
    </row>
    <row r="15">
      <c r="A15" s="52" t="inlineStr">
        <is>
          <t>5.00 - 5.99 (Suficient)</t>
        </is>
      </c>
      <c r="B15" s="53">
        <f>COUNTIFS('Centralizator Medii'!G9:G40, "&gt;=5", 'Centralizator Medii'!G9:G40, "&lt;6")</f>
        <v/>
      </c>
      <c r="C15" s="42" t="n"/>
      <c r="D15" s="54">
        <f>IFERROR(B15/$A$6, 0)</f>
        <v/>
      </c>
      <c r="F15" s="52" t="inlineStr">
        <is>
          <t>Elevi cu Nota la Purtare &lt; 10</t>
        </is>
      </c>
      <c r="G15" s="66" t="n"/>
      <c r="H15" s="42" t="n"/>
      <c r="I15" s="53">
        <f>COUNTIF('Centralizator Medii'!H9:H40, "&lt;10")</f>
        <v/>
      </c>
    </row>
    <row r="16">
      <c r="A16" s="52" t="inlineStr">
        <is>
          <t>&lt; 5.00 / Corigenți</t>
        </is>
      </c>
      <c r="B16" s="53">
        <f>COUNTIFS('Centralizator Medii'!G9:G40, "&gt;0", 'Centralizator Medii'!G9:G40, "&lt;5")</f>
        <v/>
      </c>
      <c r="C16" s="42" t="n"/>
      <c r="D16" s="54">
        <f>IFERROR(B16/$A$6, 0)</f>
        <v/>
      </c>
      <c r="F16" s="52" t="inlineStr">
        <is>
          <t>Elevi cu Preaviz Exmatriculare (&gt;=40 nemotivate)</t>
        </is>
      </c>
      <c r="G16" s="66" t="n"/>
      <c r="H16" s="42" t="n"/>
      <c r="I16" s="53">
        <f>COUNTIF('Absențe &amp; Purtare'!E9:E40, "&gt;=40")</f>
        <v/>
      </c>
    </row>
    <row r="17">
      <c r="A17" s="55" t="inlineStr">
        <is>
          <t>TOTAL EVALUAȚI</t>
        </is>
      </c>
      <c r="B17" s="81">
        <f>SUM(B11:B16)</f>
        <v/>
      </c>
      <c r="C17" s="67" t="n"/>
      <c r="D17" s="58">
        <f>SUM(D11:D16)</f>
        <v/>
      </c>
    </row>
    <row r="19">
      <c r="A19" s="45" t="inlineStr">
        <is>
          <t>III. PRIMII 5 ELEVI AI CLASEI (TOP PERFORMANȚĂ ȘCOLARĂ)</t>
        </is>
      </c>
    </row>
    <row r="20">
      <c r="A20" s="59" t="inlineStr">
        <is>
          <t>POZIȚIE</t>
        </is>
      </c>
      <c r="B20" s="60" t="inlineStr">
        <is>
          <t>NUME ȘI PRENUME ELEV</t>
        </is>
      </c>
      <c r="C20" s="66" t="n"/>
      <c r="D20" s="42" t="n"/>
      <c r="E20" s="59" t="inlineStr">
        <is>
          <t>NR. MATR.</t>
        </is>
      </c>
      <c r="F20" s="59" t="inlineStr">
        <is>
          <t>MEDIA CG</t>
        </is>
      </c>
      <c r="G20" s="59" t="inlineStr">
        <is>
          <t>MEDIA TH</t>
        </is>
      </c>
      <c r="H20" s="59" t="inlineStr">
        <is>
          <t>MEDIA GEN.</t>
        </is>
      </c>
      <c r="I20" s="59" t="inlineStr">
        <is>
          <t>PREMIU / STATUT</t>
        </is>
      </c>
    </row>
    <row r="21">
      <c r="A21" s="53" t="inlineStr">
        <is>
          <t>Locul 1</t>
        </is>
      </c>
      <c r="B21" s="52">
        <f>IFERROR(INDEX('Centralizator Medii'!$B$9:$B$40, MATCH(1, 'Centralizator Medii'!$K$9:$K$40, 0)), "-")</f>
        <v/>
      </c>
      <c r="C21" s="66" t="n"/>
      <c r="D21" s="42" t="n"/>
      <c r="E21" s="37">
        <f>IFERROR(INDEX('Centralizator Medii'!$C$9:$C$40, MATCH(1, 'Centralizator Medii'!$K$9:$K$40, 0)), "-")</f>
        <v/>
      </c>
      <c r="F21" s="37">
        <f>IFERROR(INDEX('Centralizator Medii'!$E$9:$E$40, MATCH(1, 'Centralizator Medii'!$K$9:$K$40, 0)), "-")</f>
        <v/>
      </c>
      <c r="G21" s="37">
        <f>IFERROR(INDEX('Centralizator Medii'!$F$9:$F$40, MATCH(1, 'Centralizator Medii'!$K$9:$K$40, 0)), "-")</f>
        <v/>
      </c>
      <c r="H21" s="53">
        <f>IFERROR(INDEX('Centralizator Medii'!$G$9:$G$40, MATCH(1, 'Centralizator Medii'!$K$9:$K$40, 0)), "-")</f>
        <v/>
      </c>
      <c r="I21" s="37">
        <f>IFERROR(INDEX('Centralizator Medii'!$L$9:$L$40, MATCH(1, 'Centralizator Medii'!$K$9:$K$40, 0)), "-")</f>
        <v/>
      </c>
    </row>
    <row r="22">
      <c r="A22" s="53" t="inlineStr">
        <is>
          <t>Locul 2</t>
        </is>
      </c>
      <c r="B22" s="52">
        <f>IFERROR(INDEX('Centralizator Medii'!$B$9:$B$40, MATCH(2, 'Centralizator Medii'!$K$9:$K$40, 0)), "-")</f>
        <v/>
      </c>
      <c r="C22" s="66" t="n"/>
      <c r="D22" s="42" t="n"/>
      <c r="E22" s="37">
        <f>IFERROR(INDEX('Centralizator Medii'!$C$9:$C$40, MATCH(2, 'Centralizator Medii'!$K$9:$K$40, 0)), "-")</f>
        <v/>
      </c>
      <c r="F22" s="37">
        <f>IFERROR(INDEX('Centralizator Medii'!$E$9:$E$40, MATCH(2, 'Centralizator Medii'!$K$9:$K$40, 0)), "-")</f>
        <v/>
      </c>
      <c r="G22" s="37">
        <f>IFERROR(INDEX('Centralizator Medii'!$F$9:$F$40, MATCH(2, 'Centralizator Medii'!$K$9:$K$40, 0)), "-")</f>
        <v/>
      </c>
      <c r="H22" s="53">
        <f>IFERROR(INDEX('Centralizator Medii'!$G$9:$G$40, MATCH(2, 'Centralizator Medii'!$K$9:$K$40, 0)), "-")</f>
        <v/>
      </c>
      <c r="I22" s="37">
        <f>IFERROR(INDEX('Centralizator Medii'!$L$9:$L$40, MATCH(2, 'Centralizator Medii'!$K$9:$K$40, 0)), "-")</f>
        <v/>
      </c>
    </row>
    <row r="23">
      <c r="A23" s="53" t="inlineStr">
        <is>
          <t>Locul 3</t>
        </is>
      </c>
      <c r="B23" s="52">
        <f>IFERROR(INDEX('Centralizator Medii'!$B$9:$B$40, MATCH(3, 'Centralizator Medii'!$K$9:$K$40, 0)), "-")</f>
        <v/>
      </c>
      <c r="C23" s="66" t="n"/>
      <c r="D23" s="42" t="n"/>
      <c r="E23" s="37">
        <f>IFERROR(INDEX('Centralizator Medii'!$C$9:$C$40, MATCH(3, 'Centralizator Medii'!$K$9:$K$40, 0)), "-")</f>
        <v/>
      </c>
      <c r="F23" s="37">
        <f>IFERROR(INDEX('Centralizator Medii'!$E$9:$E$40, MATCH(3, 'Centralizator Medii'!$K$9:$K$40, 0)), "-")</f>
        <v/>
      </c>
      <c r="G23" s="37">
        <f>IFERROR(INDEX('Centralizator Medii'!$F$9:$F$40, MATCH(3, 'Centralizator Medii'!$K$9:$K$40, 0)), "-")</f>
        <v/>
      </c>
      <c r="H23" s="53">
        <f>IFERROR(INDEX('Centralizator Medii'!$G$9:$G$40, MATCH(3, 'Centralizator Medii'!$K$9:$K$40, 0)), "-")</f>
        <v/>
      </c>
      <c r="I23" s="37">
        <f>IFERROR(INDEX('Centralizator Medii'!$L$9:$L$40, MATCH(3, 'Centralizator Medii'!$K$9:$K$40, 0)), "-")</f>
        <v/>
      </c>
    </row>
    <row r="24">
      <c r="A24" s="53" t="inlineStr">
        <is>
          <t>Locul 4</t>
        </is>
      </c>
      <c r="B24" s="52">
        <f>IFERROR(INDEX('Centralizator Medii'!$B$9:$B$40, MATCH(4, 'Centralizator Medii'!$K$9:$K$40, 0)), "-")</f>
        <v/>
      </c>
      <c r="C24" s="66" t="n"/>
      <c r="D24" s="42" t="n"/>
      <c r="E24" s="37">
        <f>IFERROR(INDEX('Centralizator Medii'!$C$9:$C$40, MATCH(4, 'Centralizator Medii'!$K$9:$K$40, 0)), "-")</f>
        <v/>
      </c>
      <c r="F24" s="37">
        <f>IFERROR(INDEX('Centralizator Medii'!$E$9:$E$40, MATCH(4, 'Centralizator Medii'!$K$9:$K$40, 0)), "-")</f>
        <v/>
      </c>
      <c r="G24" s="37">
        <f>IFERROR(INDEX('Centralizator Medii'!$F$9:$F$40, MATCH(4, 'Centralizator Medii'!$K$9:$K$40, 0)), "-")</f>
        <v/>
      </c>
      <c r="H24" s="53">
        <f>IFERROR(INDEX('Centralizator Medii'!$G$9:$G$40, MATCH(4, 'Centralizator Medii'!$K$9:$K$40, 0)), "-")</f>
        <v/>
      </c>
      <c r="I24" s="37">
        <f>IFERROR(INDEX('Centralizator Medii'!$L$9:$L$40, MATCH(4, 'Centralizator Medii'!$K$9:$K$40, 0)), "-")</f>
        <v/>
      </c>
    </row>
    <row r="25">
      <c r="A25" s="53" t="inlineStr">
        <is>
          <t>Locul 5</t>
        </is>
      </c>
      <c r="B25" s="52">
        <f>IFERROR(INDEX('Centralizator Medii'!$B$9:$B$40, MATCH(5, 'Centralizator Medii'!$K$9:$K$40, 0)), "-")</f>
        <v/>
      </c>
      <c r="C25" s="66" t="n"/>
      <c r="D25" s="42" t="n"/>
      <c r="E25" s="37">
        <f>IFERROR(INDEX('Centralizator Medii'!$C$9:$C$40, MATCH(5, 'Centralizator Medii'!$K$9:$K$40, 0)), "-")</f>
        <v/>
      </c>
      <c r="F25" s="37">
        <f>IFERROR(INDEX('Centralizator Medii'!$E$9:$E$40, MATCH(5, 'Centralizator Medii'!$K$9:$K$40, 0)), "-")</f>
        <v/>
      </c>
      <c r="G25" s="37">
        <f>IFERROR(INDEX('Centralizator Medii'!$F$9:$F$40, MATCH(5, 'Centralizator Medii'!$K$9:$K$40, 0)), "-")</f>
        <v/>
      </c>
      <c r="H25" s="53">
        <f>IFERROR(INDEX('Centralizator Medii'!$G$9:$G$40, MATCH(5, 'Centralizator Medii'!$K$9:$K$40, 0)), "-")</f>
        <v/>
      </c>
      <c r="I25" s="37">
        <f>IFERROR(INDEX('Centralizator Medii'!$L$9:$L$40, MATCH(5, 'Centralizator Medii'!$K$9:$K$40, 0)), "-")</f>
        <v/>
      </c>
    </row>
    <row r="27">
      <c r="A27" s="45" t="inlineStr">
        <is>
          <t>IV. OBSERVAȚII CALITATIVE ȘI MĂSURI PEDAGOGICE</t>
        </is>
      </c>
    </row>
    <row r="28">
      <c r="A28" s="25" t="inlineStr">
        <is>
          <t>1. Aspecte pozitive privind integrarea colectivului și activitatea la ore:</t>
        </is>
      </c>
    </row>
    <row r="29">
      <c r="A29" s="62" t="inlineStr">
        <is>
          <t>____________________________________________________________________________________________________________________________________</t>
        </is>
      </c>
    </row>
    <row r="30">
      <c r="A30" s="25" t="inlineStr">
        <is>
          <t>2. Dificultăți identificate (frecvență redusă, probleme de disciplină, corigențe):</t>
        </is>
      </c>
    </row>
    <row r="31">
      <c r="A31" s="62" t="inlineStr">
        <is>
          <t>____________________________________________________________________________________________________________________________________</t>
        </is>
      </c>
    </row>
    <row r="32">
      <c r="A32" s="25" t="inlineStr">
        <is>
          <t>3. Măsuri de consiliere, instruire remedială și parteneriatul cu părinții / operatorii economici (stagii HoReCa):</t>
        </is>
      </c>
    </row>
    <row r="33">
      <c r="A33" s="62" t="inlineStr">
        <is>
          <t>____________________________________________________________________________________________________________________________________</t>
        </is>
      </c>
    </row>
    <row r="35">
      <c r="A35" s="25" t="inlineStr">
        <is>
          <t>Data întocmirii: _______________</t>
        </is>
      </c>
      <c r="D35" s="50" t="inlineStr">
        <is>
          <t>PROF. DIRIGINTE,</t>
        </is>
      </c>
      <c r="G35" s="50" t="inlineStr">
        <is>
          <t>DIRECTOR,</t>
        </is>
      </c>
    </row>
    <row r="36">
      <c r="D36" s="38" t="inlineStr">
        <is>
          <t>Prof. _____________________</t>
        </is>
      </c>
      <c r="G36" s="38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2:I2"/>
    <mergeCell ref="A33:I33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G5:H5"/>
    <mergeCell ref="D35:F3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2026-09-21T20:21:54Z</dcterms:created>
  <dcterms:modified xmlns:dcterms="http://purl.org/dc/terms/" xmlns:xsi="http://www.w3.org/2001/XMLSchema-instance" xsi:type="dcterms:W3CDTF">2026-09-22T17:09:24Z</dcterms:modified>
</cp:coreProperties>
</file>